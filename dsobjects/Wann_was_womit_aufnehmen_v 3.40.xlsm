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7" codeName="{643B0D74-A683-FBA9-23B4-8A0AA6E0B6B9}"/>
  <workbookPr codeName="DieseArbeitsmappe" defaultThemeVersion="166925"/>
  <mc:AlternateContent xmlns:mc="http://schemas.openxmlformats.org/markup-compatibility/2006">
    <mc:Choice Requires="x15">
      <x15ac:absPath xmlns:x15ac="http://schemas.microsoft.com/office/spreadsheetml/2010/11/ac" url="/Users/sven/Documents/Astro/"/>
    </mc:Choice>
  </mc:AlternateContent>
  <xr:revisionPtr revIDLastSave="0" documentId="13_ncr:1_{61205EC6-31F3-6043-8E31-F93B60DC0B63}" xr6:coauthVersionLast="47" xr6:coauthVersionMax="47" xr10:uidLastSave="{00000000-0000-0000-0000-000000000000}"/>
  <bookViews>
    <workbookView xWindow="0" yWindow="660" windowWidth="30240" windowHeight="18980" xr2:uid="{04637E2A-183E-4C01-AFF7-8B61F7B6D0F0}"/>
  </bookViews>
  <sheets>
    <sheet name="Main" sheetId="2" r:id="rId1"/>
    <sheet name="Help" sheetId="5" r:id="rId2"/>
    <sheet name="Teleskope" sheetId="1" r:id="rId3"/>
    <sheet name="Changelog" sheetId="6" r:id="rId4"/>
    <sheet name="Settings" sheetId="7" r:id="rId5"/>
  </sheets>
  <functionGroups builtInGroupCount="19"/>
  <definedNames>
    <definedName name="_xlnm._FilterDatabase" localSheetId="0" hidden="1">Main!$A$1:$AI$3</definedName>
    <definedName name="_xlnm.Print_Area" localSheetId="0">Main!$A$11:$AH$908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 i="2" l="1"/>
  <c r="C654" i="2"/>
  <c r="C653" i="2"/>
  <c r="C652" i="2"/>
  <c r="C651" i="2"/>
  <c r="C650" i="2"/>
  <c r="C649" i="2"/>
  <c r="C648" i="2"/>
  <c r="C647" i="2"/>
  <c r="C646" i="2"/>
  <c r="C645" i="2"/>
  <c r="C644" i="2"/>
  <c r="C643" i="2"/>
  <c r="C642" i="2"/>
  <c r="C641" i="2"/>
  <c r="C640" i="2"/>
  <c r="C639" i="2"/>
  <c r="C638" i="2"/>
  <c r="C637" i="2"/>
  <c r="C636" i="2"/>
  <c r="C635" i="2"/>
  <c r="C634" i="2"/>
  <c r="C633" i="2"/>
  <c r="C632" i="2"/>
  <c r="C631" i="2"/>
  <c r="C630" i="2"/>
  <c r="C629" i="2"/>
  <c r="C628" i="2"/>
  <c r="C627" i="2"/>
  <c r="C626" i="2"/>
  <c r="C625" i="2"/>
  <c r="C624" i="2"/>
  <c r="C623" i="2"/>
  <c r="C622" i="2"/>
  <c r="C621" i="2"/>
  <c r="C620" i="2"/>
  <c r="C619" i="2"/>
  <c r="C618" i="2"/>
  <c r="C617" i="2"/>
  <c r="C616" i="2"/>
  <c r="C615" i="2"/>
  <c r="C614" i="2"/>
  <c r="C613" i="2"/>
  <c r="C612" i="2"/>
  <c r="C611" i="2"/>
  <c r="C610" i="2"/>
  <c r="C609" i="2"/>
  <c r="C608" i="2"/>
  <c r="C607" i="2"/>
  <c r="C606" i="2"/>
  <c r="C605" i="2"/>
  <c r="C604" i="2"/>
  <c r="C603" i="2"/>
  <c r="C602" i="2"/>
  <c r="C601" i="2"/>
  <c r="C600" i="2"/>
  <c r="C599" i="2"/>
  <c r="C598" i="2"/>
  <c r="C597" i="2"/>
  <c r="C596" i="2"/>
  <c r="C595" i="2"/>
  <c r="C594" i="2"/>
  <c r="C593" i="2"/>
  <c r="C592" i="2"/>
  <c r="C591" i="2"/>
  <c r="C590" i="2"/>
  <c r="C589" i="2"/>
  <c r="C588" i="2"/>
  <c r="C587" i="2"/>
  <c r="C586" i="2"/>
  <c r="C585" i="2"/>
  <c r="C584" i="2"/>
  <c r="C583" i="2"/>
  <c r="C582" i="2"/>
  <c r="C581" i="2"/>
  <c r="C580" i="2"/>
  <c r="C579" i="2"/>
  <c r="C578" i="2"/>
  <c r="C577" i="2"/>
  <c r="C576" i="2"/>
  <c r="C575" i="2"/>
  <c r="C574" i="2"/>
  <c r="C573" i="2"/>
  <c r="C572" i="2"/>
  <c r="C571" i="2"/>
  <c r="C570" i="2"/>
  <c r="C569" i="2"/>
  <c r="C568" i="2"/>
  <c r="C567" i="2"/>
  <c r="C566" i="2"/>
  <c r="C565" i="2"/>
  <c r="C564" i="2"/>
  <c r="C563" i="2"/>
  <c r="C562" i="2"/>
  <c r="C561" i="2"/>
  <c r="C560" i="2"/>
  <c r="C559" i="2"/>
  <c r="C558" i="2"/>
  <c r="C557" i="2"/>
  <c r="C556" i="2"/>
  <c r="C555" i="2"/>
  <c r="C554" i="2"/>
  <c r="C553" i="2"/>
  <c r="C552" i="2"/>
  <c r="C551" i="2"/>
  <c r="C550" i="2"/>
  <c r="C549" i="2"/>
  <c r="C548" i="2"/>
  <c r="C547" i="2"/>
  <c r="C546" i="2"/>
  <c r="C545" i="2"/>
  <c r="C544" i="2"/>
  <c r="C543" i="2"/>
  <c r="C542" i="2"/>
  <c r="C541" i="2"/>
  <c r="C540" i="2"/>
  <c r="C539" i="2"/>
  <c r="C538" i="2"/>
  <c r="C537" i="2"/>
  <c r="C536" i="2"/>
  <c r="C535" i="2"/>
  <c r="C534" i="2"/>
  <c r="C533" i="2"/>
  <c r="C532" i="2"/>
  <c r="C531" i="2"/>
  <c r="C530" i="2"/>
  <c r="C529" i="2"/>
  <c r="C528" i="2"/>
  <c r="C527" i="2"/>
  <c r="C526" i="2"/>
  <c r="C525"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C491" i="2"/>
  <c r="C490" i="2"/>
  <c r="C489" i="2"/>
  <c r="C488" i="2"/>
  <c r="C487" i="2"/>
  <c r="C486" i="2"/>
  <c r="C485" i="2"/>
  <c r="C484" i="2"/>
  <c r="C483" i="2"/>
  <c r="C482" i="2"/>
  <c r="C481" i="2"/>
  <c r="C480" i="2"/>
  <c r="C479" i="2"/>
  <c r="C478" i="2"/>
  <c r="C477" i="2"/>
  <c r="C476" i="2"/>
  <c r="C475" i="2"/>
  <c r="C474" i="2"/>
  <c r="C473" i="2"/>
  <c r="C472" i="2"/>
  <c r="C471" i="2"/>
  <c r="C470" i="2"/>
  <c r="C469" i="2"/>
  <c r="C468" i="2"/>
  <c r="C467" i="2"/>
  <c r="C466" i="2"/>
  <c r="C465" i="2"/>
  <c r="C464" i="2"/>
  <c r="C463" i="2"/>
  <c r="C462" i="2"/>
  <c r="C461" i="2"/>
  <c r="C460" i="2"/>
  <c r="C459" i="2"/>
  <c r="C458" i="2"/>
  <c r="C457" i="2"/>
  <c r="C456" i="2"/>
  <c r="C455" i="2"/>
  <c r="C454" i="2"/>
  <c r="C453" i="2"/>
  <c r="C452" i="2"/>
  <c r="C451" i="2"/>
  <c r="C450" i="2"/>
  <c r="C449" i="2"/>
  <c r="C448" i="2"/>
  <c r="C447" i="2"/>
  <c r="C446" i="2"/>
  <c r="C445" i="2"/>
  <c r="C444" i="2"/>
  <c r="C443" i="2"/>
  <c r="C442" i="2"/>
  <c r="C441" i="2"/>
  <c r="C440" i="2"/>
  <c r="C439" i="2"/>
  <c r="C438" i="2"/>
  <c r="C437" i="2"/>
  <c r="C436" i="2"/>
  <c r="C435" i="2"/>
  <c r="C434" i="2"/>
  <c r="C433" i="2"/>
  <c r="C432" i="2"/>
  <c r="C431" i="2"/>
  <c r="C430" i="2"/>
  <c r="C429" i="2"/>
  <c r="C428" i="2"/>
  <c r="C427" i="2"/>
  <c r="C426" i="2"/>
  <c r="C425" i="2"/>
  <c r="C424" i="2"/>
  <c r="C423" i="2"/>
  <c r="C422" i="2"/>
  <c r="C421" i="2"/>
  <c r="C420" i="2"/>
  <c r="C419" i="2"/>
  <c r="C418" i="2"/>
  <c r="C417" i="2"/>
  <c r="C416" i="2"/>
  <c r="C415" i="2"/>
  <c r="C414" i="2"/>
  <c r="C413" i="2"/>
  <c r="C412" i="2"/>
  <c r="C411" i="2"/>
  <c r="C410" i="2"/>
  <c r="C409" i="2"/>
  <c r="C408" i="2"/>
  <c r="C407" i="2"/>
  <c r="C406" i="2"/>
  <c r="C405" i="2"/>
  <c r="C404" i="2"/>
  <c r="C403" i="2"/>
  <c r="C402" i="2"/>
  <c r="C401" i="2"/>
  <c r="C400" i="2"/>
  <c r="C399" i="2"/>
  <c r="C398" i="2"/>
  <c r="C397" i="2"/>
  <c r="C396" i="2"/>
  <c r="C395" i="2"/>
  <c r="C394" i="2"/>
  <c r="C393" i="2"/>
  <c r="C392" i="2"/>
  <c r="C391" i="2"/>
  <c r="C390" i="2"/>
  <c r="C389" i="2"/>
  <c r="C388" i="2"/>
  <c r="C387" i="2"/>
  <c r="C386" i="2"/>
  <c r="C385" i="2"/>
  <c r="C384" i="2"/>
  <c r="C383" i="2"/>
  <c r="C382" i="2"/>
  <c r="C381" i="2"/>
  <c r="C380" i="2"/>
  <c r="C379" i="2"/>
  <c r="C378" i="2"/>
  <c r="C377" i="2"/>
  <c r="C376" i="2"/>
  <c r="C375" i="2"/>
  <c r="C374" i="2"/>
  <c r="C373" i="2"/>
  <c r="C372" i="2"/>
  <c r="C371" i="2"/>
  <c r="C370" i="2"/>
  <c r="C369" i="2"/>
  <c r="C368" i="2"/>
  <c r="C367" i="2"/>
  <c r="C366" i="2"/>
  <c r="C365" i="2"/>
  <c r="C364" i="2"/>
  <c r="C363"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M29" i="2"/>
  <c r="N29" i="2" s="1"/>
  <c r="U29" i="2" s="1"/>
  <c r="O29" i="2"/>
  <c r="Q29" i="2" s="1"/>
  <c r="M43" i="2"/>
  <c r="N43" i="2" s="1"/>
  <c r="U43" i="2" s="1"/>
  <c r="O43" i="2"/>
  <c r="Q43" i="2" s="1"/>
  <c r="M50" i="2"/>
  <c r="N50" i="2" s="1"/>
  <c r="U50" i="2" s="1"/>
  <c r="O50" i="2"/>
  <c r="P50" i="2" s="1"/>
  <c r="M67" i="2"/>
  <c r="N67" i="2" s="1"/>
  <c r="U67" i="2" s="1"/>
  <c r="O67" i="2"/>
  <c r="Q67" i="2" s="1"/>
  <c r="M235" i="2"/>
  <c r="N235" i="2" s="1"/>
  <c r="U235" i="2" s="1"/>
  <c r="O235" i="2"/>
  <c r="Q235" i="2" s="1"/>
  <c r="M253" i="2"/>
  <c r="N253" i="2" s="1"/>
  <c r="U253" i="2" s="1"/>
  <c r="O253" i="2"/>
  <c r="Q253" i="2" s="1"/>
  <c r="M289" i="2"/>
  <c r="N289" i="2" s="1"/>
  <c r="U289" i="2" s="1"/>
  <c r="O289" i="2"/>
  <c r="Q289" i="2" s="1"/>
  <c r="M385" i="2"/>
  <c r="N385" i="2" s="1"/>
  <c r="U385" i="2" s="1"/>
  <c r="O385" i="2"/>
  <c r="Q385" i="2" s="1"/>
  <c r="M394" i="2"/>
  <c r="N394" i="2" s="1"/>
  <c r="U394" i="2" s="1"/>
  <c r="O394" i="2"/>
  <c r="P394" i="2" s="1"/>
  <c r="M409" i="2"/>
  <c r="N409" i="2" s="1"/>
  <c r="U409" i="2" s="1"/>
  <c r="O409" i="2"/>
  <c r="P409" i="2" s="1"/>
  <c r="O907" i="2"/>
  <c r="M907" i="2"/>
  <c r="AC907" i="2" s="1"/>
  <c r="O906" i="2"/>
  <c r="P906" i="2" s="1"/>
  <c r="M906" i="2"/>
  <c r="V906" i="2" s="1"/>
  <c r="O905" i="2"/>
  <c r="M905" i="2"/>
  <c r="AC905" i="2" s="1"/>
  <c r="O904" i="2"/>
  <c r="M904" i="2"/>
  <c r="V904" i="2" s="1"/>
  <c r="O903" i="2"/>
  <c r="M903" i="2"/>
  <c r="AC903" i="2" s="1"/>
  <c r="O902" i="2"/>
  <c r="P902" i="2" s="1"/>
  <c r="M902" i="2"/>
  <c r="V902" i="2" s="1"/>
  <c r="O901" i="2"/>
  <c r="M901" i="2"/>
  <c r="AC901" i="2" s="1"/>
  <c r="O900" i="2"/>
  <c r="P900" i="2" s="1"/>
  <c r="M900" i="2"/>
  <c r="O899" i="2"/>
  <c r="M899" i="2"/>
  <c r="AC899" i="2" s="1"/>
  <c r="O898" i="2"/>
  <c r="M898" i="2"/>
  <c r="V898" i="2" s="1"/>
  <c r="O897" i="2"/>
  <c r="M897" i="2"/>
  <c r="AC897" i="2" s="1"/>
  <c r="O896" i="2"/>
  <c r="M896" i="2"/>
  <c r="V896" i="2" s="1"/>
  <c r="O895" i="2"/>
  <c r="M895" i="2"/>
  <c r="AC895" i="2" s="1"/>
  <c r="O894" i="2"/>
  <c r="M894" i="2"/>
  <c r="V894" i="2" s="1"/>
  <c r="O893" i="2"/>
  <c r="M893" i="2"/>
  <c r="AC893" i="2" s="1"/>
  <c r="O892" i="2"/>
  <c r="P892" i="2" s="1"/>
  <c r="M892" i="2"/>
  <c r="O891" i="2"/>
  <c r="M891" i="2"/>
  <c r="AC891" i="2" s="1"/>
  <c r="O890" i="2"/>
  <c r="M890" i="2"/>
  <c r="V890" i="2" s="1"/>
  <c r="O889" i="2"/>
  <c r="P889" i="2" s="1"/>
  <c r="M889" i="2"/>
  <c r="V889" i="2" s="1"/>
  <c r="O888" i="2"/>
  <c r="M888" i="2"/>
  <c r="O887" i="2"/>
  <c r="P887" i="2" s="1"/>
  <c r="M887" i="2"/>
  <c r="O886" i="2"/>
  <c r="M886" i="2"/>
  <c r="O885" i="2"/>
  <c r="P885" i="2" s="1"/>
  <c r="M885" i="2"/>
  <c r="O884" i="2"/>
  <c r="M884" i="2"/>
  <c r="V884" i="2" s="1"/>
  <c r="O883" i="2"/>
  <c r="M883" i="2"/>
  <c r="AC883" i="2" s="1"/>
  <c r="O882" i="2"/>
  <c r="M882" i="2"/>
  <c r="O881" i="2"/>
  <c r="M881" i="2"/>
  <c r="O880" i="2"/>
  <c r="Q880" i="2" s="1"/>
  <c r="M880" i="2"/>
  <c r="O879" i="2"/>
  <c r="M879" i="2"/>
  <c r="V879" i="2" s="1"/>
  <c r="O878" i="2"/>
  <c r="Q878" i="2" s="1"/>
  <c r="M878" i="2"/>
  <c r="O877" i="2"/>
  <c r="M877" i="2"/>
  <c r="O876" i="2"/>
  <c r="M876" i="2"/>
  <c r="O875" i="2"/>
  <c r="M875" i="2"/>
  <c r="V875" i="2" s="1"/>
  <c r="O874" i="2"/>
  <c r="P874" i="2" s="1"/>
  <c r="M874" i="2"/>
  <c r="O873" i="2"/>
  <c r="M873" i="2"/>
  <c r="O872" i="2"/>
  <c r="Q872" i="2" s="1"/>
  <c r="R872" i="2" s="1"/>
  <c r="S872" i="2" s="1"/>
  <c r="M872" i="2"/>
  <c r="O871" i="2"/>
  <c r="M871" i="2"/>
  <c r="O870" i="2"/>
  <c r="M870" i="2"/>
  <c r="O869" i="2"/>
  <c r="M869" i="2"/>
  <c r="AC869" i="2" s="1"/>
  <c r="O868" i="2"/>
  <c r="Q868" i="2" s="1"/>
  <c r="R868" i="2" s="1"/>
  <c r="S868" i="2" s="1"/>
  <c r="M868" i="2"/>
  <c r="O867" i="2"/>
  <c r="M867" i="2"/>
  <c r="O866" i="2"/>
  <c r="M866" i="2"/>
  <c r="O865" i="2"/>
  <c r="M865" i="2"/>
  <c r="N865" i="2" s="1"/>
  <c r="O864" i="2"/>
  <c r="M864" i="2"/>
  <c r="O863" i="2"/>
  <c r="M863" i="2"/>
  <c r="V863" i="2" s="1"/>
  <c r="O862" i="2"/>
  <c r="Q862" i="2" s="1"/>
  <c r="M862" i="2"/>
  <c r="O861" i="2"/>
  <c r="M861" i="2"/>
  <c r="W861" i="2" s="1"/>
  <c r="O860" i="2"/>
  <c r="P860" i="2" s="1"/>
  <c r="M860" i="2"/>
  <c r="O859" i="2"/>
  <c r="M859" i="2"/>
  <c r="V859" i="2" s="1"/>
  <c r="O858" i="2"/>
  <c r="Q858" i="2" s="1"/>
  <c r="R858" i="2" s="1"/>
  <c r="S858" i="2" s="1"/>
  <c r="T858" i="2" s="1"/>
  <c r="Y858" i="2" s="1"/>
  <c r="Z858" i="2" s="1"/>
  <c r="M858" i="2"/>
  <c r="W858" i="2" s="1"/>
  <c r="O857" i="2"/>
  <c r="M857" i="2"/>
  <c r="O856" i="2"/>
  <c r="P856" i="2" s="1"/>
  <c r="M856" i="2"/>
  <c r="AC856" i="2" s="1"/>
  <c r="O855" i="2"/>
  <c r="M855" i="2"/>
  <c r="O854" i="2"/>
  <c r="P854" i="2" s="1"/>
  <c r="M854" i="2"/>
  <c r="AC854" i="2" s="1"/>
  <c r="O853" i="2"/>
  <c r="P853" i="2" s="1"/>
  <c r="M853" i="2"/>
  <c r="O852" i="2"/>
  <c r="P852" i="2" s="1"/>
  <c r="M852" i="2"/>
  <c r="AC852" i="2" s="1"/>
  <c r="O851" i="2"/>
  <c r="M851" i="2"/>
  <c r="O850" i="2"/>
  <c r="P850" i="2" s="1"/>
  <c r="M850" i="2"/>
  <c r="AC850" i="2" s="1"/>
  <c r="O849" i="2"/>
  <c r="M849" i="2"/>
  <c r="O848" i="2"/>
  <c r="P848" i="2" s="1"/>
  <c r="M848" i="2"/>
  <c r="AC848" i="2" s="1"/>
  <c r="O847" i="2"/>
  <c r="M847" i="2"/>
  <c r="O846" i="2"/>
  <c r="P846" i="2" s="1"/>
  <c r="M846" i="2"/>
  <c r="AC846" i="2" s="1"/>
  <c r="O845" i="2"/>
  <c r="P845" i="2" s="1"/>
  <c r="M845" i="2"/>
  <c r="O844" i="2"/>
  <c r="P844" i="2" s="1"/>
  <c r="M844" i="2"/>
  <c r="AC844" i="2" s="1"/>
  <c r="O843" i="2"/>
  <c r="M843" i="2"/>
  <c r="O842" i="2"/>
  <c r="P842" i="2" s="1"/>
  <c r="M842" i="2"/>
  <c r="V842" i="2" s="1"/>
  <c r="O841" i="2"/>
  <c r="M841" i="2"/>
  <c r="O840" i="2"/>
  <c r="Q840" i="2" s="1"/>
  <c r="M840" i="2"/>
  <c r="V840" i="2" s="1"/>
  <c r="O839" i="2"/>
  <c r="Q839" i="2" s="1"/>
  <c r="R839" i="2" s="1"/>
  <c r="S839" i="2" s="1"/>
  <c r="M839" i="2"/>
  <c r="O838" i="2"/>
  <c r="P838" i="2" s="1"/>
  <c r="M838" i="2"/>
  <c r="V838" i="2" s="1"/>
  <c r="O837" i="2"/>
  <c r="M837" i="2"/>
  <c r="V837" i="2" s="1"/>
  <c r="O836" i="2"/>
  <c r="P836" i="2" s="1"/>
  <c r="M836" i="2"/>
  <c r="W836" i="2" s="1"/>
  <c r="O835" i="2"/>
  <c r="Q835" i="2" s="1"/>
  <c r="R835" i="2" s="1"/>
  <c r="S835" i="2" s="1"/>
  <c r="M835" i="2"/>
  <c r="V835" i="2" s="1"/>
  <c r="O834" i="2"/>
  <c r="P834" i="2" s="1"/>
  <c r="M834" i="2"/>
  <c r="AC834" i="2" s="1"/>
  <c r="O833" i="2"/>
  <c r="P833" i="2" s="1"/>
  <c r="M833" i="2"/>
  <c r="O832" i="2"/>
  <c r="P832" i="2" s="1"/>
  <c r="M832" i="2"/>
  <c r="O831" i="2"/>
  <c r="M831" i="2"/>
  <c r="W831" i="2" s="1"/>
  <c r="O830" i="2"/>
  <c r="P830" i="2" s="1"/>
  <c r="M830" i="2"/>
  <c r="V830" i="2" s="1"/>
  <c r="O829" i="2"/>
  <c r="M829" i="2"/>
  <c r="W829" i="2" s="1"/>
  <c r="O828" i="2"/>
  <c r="P828" i="2" s="1"/>
  <c r="M828" i="2"/>
  <c r="O827" i="2"/>
  <c r="M827" i="2"/>
  <c r="V827" i="2" s="1"/>
  <c r="O826" i="2"/>
  <c r="P826" i="2" s="1"/>
  <c r="M826" i="2"/>
  <c r="W826" i="2" s="1"/>
  <c r="O825" i="2"/>
  <c r="M825" i="2"/>
  <c r="W825" i="2" s="1"/>
  <c r="O824" i="2"/>
  <c r="P824" i="2" s="1"/>
  <c r="M824" i="2"/>
  <c r="V824" i="2" s="1"/>
  <c r="O823" i="2"/>
  <c r="M823" i="2"/>
  <c r="W823" i="2" s="1"/>
  <c r="O822" i="2"/>
  <c r="P822" i="2" s="1"/>
  <c r="M822" i="2"/>
  <c r="O821" i="2"/>
  <c r="Q821" i="2" s="1"/>
  <c r="R821" i="2" s="1"/>
  <c r="S821" i="2" s="1"/>
  <c r="M821" i="2"/>
  <c r="W821" i="2" s="1"/>
  <c r="O820" i="2"/>
  <c r="P820" i="2" s="1"/>
  <c r="M820" i="2"/>
  <c r="O819" i="2"/>
  <c r="P819" i="2" s="1"/>
  <c r="M819" i="2"/>
  <c r="O818" i="2"/>
  <c r="P818" i="2" s="1"/>
  <c r="M818" i="2"/>
  <c r="AC818" i="2" s="1"/>
  <c r="O817" i="2"/>
  <c r="P817" i="2" s="1"/>
  <c r="M817" i="2"/>
  <c r="W817" i="2" s="1"/>
  <c r="O816" i="2"/>
  <c r="M816" i="2"/>
  <c r="V816" i="2" s="1"/>
  <c r="O815" i="2"/>
  <c r="P815" i="2" s="1"/>
  <c r="M815" i="2"/>
  <c r="O814" i="2"/>
  <c r="P814" i="2" s="1"/>
  <c r="M814" i="2"/>
  <c r="AC814" i="2" s="1"/>
  <c r="O813" i="2"/>
  <c r="M813" i="2"/>
  <c r="W813" i="2" s="1"/>
  <c r="O812" i="2"/>
  <c r="P812" i="2" s="1"/>
  <c r="M812" i="2"/>
  <c r="O811" i="2"/>
  <c r="P811" i="2" s="1"/>
  <c r="M811" i="2"/>
  <c r="O810" i="2"/>
  <c r="P810" i="2" s="1"/>
  <c r="M810" i="2"/>
  <c r="O809" i="2"/>
  <c r="M809" i="2"/>
  <c r="W809" i="2" s="1"/>
  <c r="O808" i="2"/>
  <c r="M808" i="2"/>
  <c r="V808" i="2" s="1"/>
  <c r="O807" i="2"/>
  <c r="Q807" i="2" s="1"/>
  <c r="R807" i="2" s="1"/>
  <c r="S807" i="2" s="1"/>
  <c r="T807" i="2" s="1"/>
  <c r="Y807" i="2" s="1"/>
  <c r="Z807" i="2" s="1"/>
  <c r="M807" i="2"/>
  <c r="N807" i="2" s="1"/>
  <c r="O806" i="2"/>
  <c r="P806" i="2" s="1"/>
  <c r="M806" i="2"/>
  <c r="O805" i="2"/>
  <c r="P805" i="2" s="1"/>
  <c r="M805" i="2"/>
  <c r="O804" i="2"/>
  <c r="M804" i="2"/>
  <c r="O803" i="2"/>
  <c r="M803" i="2"/>
  <c r="O802" i="2"/>
  <c r="P802" i="2" s="1"/>
  <c r="M802" i="2"/>
  <c r="V802" i="2" s="1"/>
  <c r="O801" i="2"/>
  <c r="P801" i="2" s="1"/>
  <c r="M801" i="2"/>
  <c r="V801" i="2" s="1"/>
  <c r="O800" i="2"/>
  <c r="M800" i="2"/>
  <c r="V800" i="2" s="1"/>
  <c r="O799" i="2"/>
  <c r="Q799" i="2" s="1"/>
  <c r="R799" i="2" s="1"/>
  <c r="S799" i="2" s="1"/>
  <c r="M799" i="2"/>
  <c r="N799" i="2" s="1"/>
  <c r="O798" i="2"/>
  <c r="P798" i="2" s="1"/>
  <c r="M798" i="2"/>
  <c r="W798" i="2" s="1"/>
  <c r="O797" i="2"/>
  <c r="M797" i="2"/>
  <c r="O796" i="2"/>
  <c r="M796" i="2"/>
  <c r="O795" i="2"/>
  <c r="P795" i="2" s="1"/>
  <c r="M795" i="2"/>
  <c r="O794" i="2"/>
  <c r="P794" i="2" s="1"/>
  <c r="M794" i="2"/>
  <c r="V794" i="2" s="1"/>
  <c r="O793" i="2"/>
  <c r="M793" i="2"/>
  <c r="W793" i="2" s="1"/>
  <c r="O792" i="2"/>
  <c r="M792" i="2"/>
  <c r="V792" i="2" s="1"/>
  <c r="O791" i="2"/>
  <c r="Q791" i="2" s="1"/>
  <c r="R791" i="2" s="1"/>
  <c r="S791" i="2" s="1"/>
  <c r="T791" i="2" s="1"/>
  <c r="Y791" i="2" s="1"/>
  <c r="Z791" i="2" s="1"/>
  <c r="M791" i="2"/>
  <c r="N791" i="2" s="1"/>
  <c r="O790" i="2"/>
  <c r="P790" i="2" s="1"/>
  <c r="M790" i="2"/>
  <c r="O789" i="2"/>
  <c r="M789" i="2"/>
  <c r="O788" i="2"/>
  <c r="M788" i="2"/>
  <c r="V788" i="2" s="1"/>
  <c r="O787" i="2"/>
  <c r="M787" i="2"/>
  <c r="AC787" i="2" s="1"/>
  <c r="O786" i="2"/>
  <c r="P786" i="2" s="1"/>
  <c r="M786" i="2"/>
  <c r="V786" i="2" s="1"/>
  <c r="O785" i="2"/>
  <c r="Q785" i="2" s="1"/>
  <c r="R785" i="2" s="1"/>
  <c r="S785" i="2" s="1"/>
  <c r="T785" i="2" s="1"/>
  <c r="Y785" i="2" s="1"/>
  <c r="Z785" i="2" s="1"/>
  <c r="M785" i="2"/>
  <c r="O784" i="2"/>
  <c r="P784" i="2" s="1"/>
  <c r="M784" i="2"/>
  <c r="W784" i="2" s="1"/>
  <c r="O783" i="2"/>
  <c r="Q783" i="2" s="1"/>
  <c r="R783" i="2" s="1"/>
  <c r="S783" i="2" s="1"/>
  <c r="T783" i="2" s="1"/>
  <c r="Y783" i="2" s="1"/>
  <c r="Z783" i="2" s="1"/>
  <c r="M783" i="2"/>
  <c r="V783" i="2" s="1"/>
  <c r="O782" i="2"/>
  <c r="P782" i="2" s="1"/>
  <c r="M782" i="2"/>
  <c r="V782" i="2" s="1"/>
  <c r="O781" i="2"/>
  <c r="Q781" i="2" s="1"/>
  <c r="R781" i="2" s="1"/>
  <c r="S781" i="2" s="1"/>
  <c r="T781" i="2" s="1"/>
  <c r="Y781" i="2" s="1"/>
  <c r="Z781" i="2" s="1"/>
  <c r="M781" i="2"/>
  <c r="O780" i="2"/>
  <c r="P780" i="2" s="1"/>
  <c r="M780" i="2"/>
  <c r="V780" i="2" s="1"/>
  <c r="O779" i="2"/>
  <c r="P779" i="2" s="1"/>
  <c r="M779" i="2"/>
  <c r="V779" i="2" s="1"/>
  <c r="O778" i="2"/>
  <c r="P778" i="2" s="1"/>
  <c r="M778" i="2"/>
  <c r="V778" i="2" s="1"/>
  <c r="O777" i="2"/>
  <c r="M777" i="2"/>
  <c r="V777" i="2" s="1"/>
  <c r="O776" i="2"/>
  <c r="P776" i="2" s="1"/>
  <c r="M776" i="2"/>
  <c r="W776" i="2" s="1"/>
  <c r="O775" i="2"/>
  <c r="Q775" i="2" s="1"/>
  <c r="R775" i="2" s="1"/>
  <c r="S775" i="2" s="1"/>
  <c r="T775" i="2" s="1"/>
  <c r="Y775" i="2" s="1"/>
  <c r="Z775" i="2" s="1"/>
  <c r="M775" i="2"/>
  <c r="V775" i="2" s="1"/>
  <c r="O774" i="2"/>
  <c r="P774" i="2" s="1"/>
  <c r="M774" i="2"/>
  <c r="V774" i="2" s="1"/>
  <c r="O773" i="2"/>
  <c r="P773" i="2" s="1"/>
  <c r="M773" i="2"/>
  <c r="O772" i="2"/>
  <c r="P772" i="2" s="1"/>
  <c r="M772" i="2"/>
  <c r="V772" i="2" s="1"/>
  <c r="O771" i="2"/>
  <c r="P771" i="2" s="1"/>
  <c r="M771" i="2"/>
  <c r="W771" i="2" s="1"/>
  <c r="O770" i="2"/>
  <c r="P770" i="2" s="1"/>
  <c r="M770" i="2"/>
  <c r="V770" i="2" s="1"/>
  <c r="O769" i="2"/>
  <c r="M769" i="2"/>
  <c r="O768" i="2"/>
  <c r="P768" i="2" s="1"/>
  <c r="M768" i="2"/>
  <c r="W768" i="2" s="1"/>
  <c r="O767" i="2"/>
  <c r="Q767" i="2" s="1"/>
  <c r="R767" i="2" s="1"/>
  <c r="S767" i="2" s="1"/>
  <c r="T767" i="2" s="1"/>
  <c r="Y767" i="2" s="1"/>
  <c r="Z767" i="2" s="1"/>
  <c r="M767" i="2"/>
  <c r="O766" i="2"/>
  <c r="P766" i="2" s="1"/>
  <c r="M766" i="2"/>
  <c r="O765" i="2"/>
  <c r="P765" i="2" s="1"/>
  <c r="M765" i="2"/>
  <c r="O764" i="2"/>
  <c r="P764" i="2" s="1"/>
  <c r="M764" i="2"/>
  <c r="O763" i="2"/>
  <c r="P763" i="2" s="1"/>
  <c r="M763" i="2"/>
  <c r="N763" i="2" s="1"/>
  <c r="O762" i="2"/>
  <c r="P762" i="2" s="1"/>
  <c r="M762" i="2"/>
  <c r="V762" i="2" s="1"/>
  <c r="O761" i="2"/>
  <c r="M761" i="2"/>
  <c r="V761" i="2" s="1"/>
  <c r="O760" i="2"/>
  <c r="P760" i="2" s="1"/>
  <c r="M760" i="2"/>
  <c r="O759" i="2"/>
  <c r="Q759" i="2" s="1"/>
  <c r="R759" i="2" s="1"/>
  <c r="S759" i="2" s="1"/>
  <c r="T759" i="2" s="1"/>
  <c r="Y759" i="2" s="1"/>
  <c r="Z759" i="2" s="1"/>
  <c r="M759" i="2"/>
  <c r="O758" i="2"/>
  <c r="P758" i="2" s="1"/>
  <c r="M758" i="2"/>
  <c r="W758" i="2" s="1"/>
  <c r="O757" i="2"/>
  <c r="P757" i="2" s="1"/>
  <c r="M757" i="2"/>
  <c r="O756" i="2"/>
  <c r="P756" i="2" s="1"/>
  <c r="M756" i="2"/>
  <c r="O755" i="2"/>
  <c r="P755" i="2" s="1"/>
  <c r="M755" i="2"/>
  <c r="O754" i="2"/>
  <c r="P754" i="2" s="1"/>
  <c r="M754" i="2"/>
  <c r="V754" i="2" s="1"/>
  <c r="O753" i="2"/>
  <c r="M753" i="2"/>
  <c r="V753" i="2" s="1"/>
  <c r="O752" i="2"/>
  <c r="P752" i="2" s="1"/>
  <c r="M752" i="2"/>
  <c r="W752" i="2" s="1"/>
  <c r="O751" i="2"/>
  <c r="Q751" i="2" s="1"/>
  <c r="R751" i="2" s="1"/>
  <c r="S751" i="2" s="1"/>
  <c r="T751" i="2" s="1"/>
  <c r="Y751" i="2" s="1"/>
  <c r="Z751" i="2" s="1"/>
  <c r="M751" i="2"/>
  <c r="V751" i="2" s="1"/>
  <c r="O750" i="2"/>
  <c r="P750" i="2" s="1"/>
  <c r="M750" i="2"/>
  <c r="O749" i="2"/>
  <c r="M749" i="2"/>
  <c r="O748" i="2"/>
  <c r="P748" i="2" s="1"/>
  <c r="M748" i="2"/>
  <c r="O747" i="2"/>
  <c r="P747" i="2" s="1"/>
  <c r="M747" i="2"/>
  <c r="N747" i="2" s="1"/>
  <c r="O746" i="2"/>
  <c r="P746" i="2" s="1"/>
  <c r="M746" i="2"/>
  <c r="V746" i="2" s="1"/>
  <c r="O745" i="2"/>
  <c r="M745" i="2"/>
  <c r="V745" i="2" s="1"/>
  <c r="O744" i="2"/>
  <c r="P744" i="2" s="1"/>
  <c r="M744" i="2"/>
  <c r="O743" i="2"/>
  <c r="M743" i="2"/>
  <c r="W743" i="2" s="1"/>
  <c r="O742" i="2"/>
  <c r="P742" i="2" s="1"/>
  <c r="M742" i="2"/>
  <c r="O741" i="2"/>
  <c r="P741" i="2" s="1"/>
  <c r="M741" i="2"/>
  <c r="W741" i="2" s="1"/>
  <c r="O740" i="2"/>
  <c r="P740" i="2" s="1"/>
  <c r="M740" i="2"/>
  <c r="V740" i="2" s="1"/>
  <c r="O739" i="2"/>
  <c r="Q739" i="2" s="1"/>
  <c r="M739" i="2"/>
  <c r="O738" i="2"/>
  <c r="P738" i="2" s="1"/>
  <c r="M738" i="2"/>
  <c r="V738" i="2" s="1"/>
  <c r="O737" i="2"/>
  <c r="P737" i="2" s="1"/>
  <c r="M737" i="2"/>
  <c r="O736" i="2"/>
  <c r="M736" i="2"/>
  <c r="N736" i="2" s="1"/>
  <c r="O735" i="2"/>
  <c r="M735" i="2"/>
  <c r="W735" i="2" s="1"/>
  <c r="O734" i="2"/>
  <c r="P734" i="2" s="1"/>
  <c r="M734" i="2"/>
  <c r="W734" i="2" s="1"/>
  <c r="O733" i="2"/>
  <c r="P733" i="2" s="1"/>
  <c r="M733" i="2"/>
  <c r="W733" i="2" s="1"/>
  <c r="O732" i="2"/>
  <c r="P732" i="2" s="1"/>
  <c r="M732" i="2"/>
  <c r="V732" i="2" s="1"/>
  <c r="O731" i="2"/>
  <c r="Q731" i="2" s="1"/>
  <c r="M731" i="2"/>
  <c r="O730" i="2"/>
  <c r="P730" i="2" s="1"/>
  <c r="M730" i="2"/>
  <c r="V730" i="2" s="1"/>
  <c r="O729" i="2"/>
  <c r="Q729" i="2" s="1"/>
  <c r="R729" i="2" s="1"/>
  <c r="S729" i="2" s="1"/>
  <c r="M729" i="2"/>
  <c r="O728" i="2"/>
  <c r="M728" i="2"/>
  <c r="AC728" i="2" s="1"/>
  <c r="O727" i="2"/>
  <c r="M727" i="2"/>
  <c r="O726" i="2"/>
  <c r="P726" i="2" s="1"/>
  <c r="M726" i="2"/>
  <c r="W726" i="2" s="1"/>
  <c r="O725" i="2"/>
  <c r="P725" i="2" s="1"/>
  <c r="M725" i="2"/>
  <c r="O724" i="2"/>
  <c r="P724" i="2" s="1"/>
  <c r="M724" i="2"/>
  <c r="V724" i="2" s="1"/>
  <c r="O723" i="2"/>
  <c r="Q723" i="2" s="1"/>
  <c r="M723" i="2"/>
  <c r="O722" i="2"/>
  <c r="P722" i="2" s="1"/>
  <c r="M722" i="2"/>
  <c r="O721" i="2"/>
  <c r="M721" i="2"/>
  <c r="O720" i="2"/>
  <c r="M720" i="2"/>
  <c r="AC720" i="2" s="1"/>
  <c r="O719" i="2"/>
  <c r="M719" i="2"/>
  <c r="W719" i="2" s="1"/>
  <c r="O718" i="2"/>
  <c r="P718" i="2" s="1"/>
  <c r="M718" i="2"/>
  <c r="W718" i="2" s="1"/>
  <c r="O717" i="2"/>
  <c r="Q717" i="2" s="1"/>
  <c r="R717" i="2" s="1"/>
  <c r="S717" i="2" s="1"/>
  <c r="M717" i="2"/>
  <c r="W717" i="2" s="1"/>
  <c r="O716" i="2"/>
  <c r="P716" i="2" s="1"/>
  <c r="M716" i="2"/>
  <c r="O715" i="2"/>
  <c r="P715" i="2" s="1"/>
  <c r="M715" i="2"/>
  <c r="O714" i="2"/>
  <c r="P714" i="2" s="1"/>
  <c r="M714" i="2"/>
  <c r="V714" i="2" s="1"/>
  <c r="O713" i="2"/>
  <c r="M713" i="2"/>
  <c r="O712" i="2"/>
  <c r="M712" i="2"/>
  <c r="AC712" i="2" s="1"/>
  <c r="O711" i="2"/>
  <c r="M711" i="2"/>
  <c r="O710" i="2"/>
  <c r="P710" i="2" s="1"/>
  <c r="M710" i="2"/>
  <c r="O709" i="2"/>
  <c r="Q709" i="2" s="1"/>
  <c r="R709" i="2" s="1"/>
  <c r="S709" i="2" s="1"/>
  <c r="M709" i="2"/>
  <c r="O708" i="2"/>
  <c r="P708" i="2" s="1"/>
  <c r="M708" i="2"/>
  <c r="AC708" i="2" s="1"/>
  <c r="O707" i="2"/>
  <c r="Q707" i="2" s="1"/>
  <c r="M707" i="2"/>
  <c r="O706" i="2"/>
  <c r="P706" i="2" s="1"/>
  <c r="M706" i="2"/>
  <c r="V706" i="2" s="1"/>
  <c r="O705" i="2"/>
  <c r="P705" i="2" s="1"/>
  <c r="M705" i="2"/>
  <c r="O704" i="2"/>
  <c r="M704" i="2"/>
  <c r="O703" i="2"/>
  <c r="M703" i="2"/>
  <c r="O702" i="2"/>
  <c r="P702" i="2" s="1"/>
  <c r="M702" i="2"/>
  <c r="W702" i="2" s="1"/>
  <c r="O701" i="2"/>
  <c r="Q701" i="2" s="1"/>
  <c r="M701" i="2"/>
  <c r="O700" i="2"/>
  <c r="M700" i="2"/>
  <c r="N700" i="2" s="1"/>
  <c r="O699" i="2"/>
  <c r="M699" i="2"/>
  <c r="O698" i="2"/>
  <c r="M698" i="2"/>
  <c r="V698" i="2" s="1"/>
  <c r="O697" i="2"/>
  <c r="Q697" i="2" s="1"/>
  <c r="M697" i="2"/>
  <c r="O696" i="2"/>
  <c r="M696" i="2"/>
  <c r="V696" i="2" s="1"/>
  <c r="O695" i="2"/>
  <c r="P695" i="2" s="1"/>
  <c r="M695" i="2"/>
  <c r="O694" i="2"/>
  <c r="M694" i="2"/>
  <c r="AC694" i="2" s="1"/>
  <c r="O693" i="2"/>
  <c r="Q693" i="2" s="1"/>
  <c r="M693" i="2"/>
  <c r="O692" i="2"/>
  <c r="M692" i="2"/>
  <c r="AC692" i="2" s="1"/>
  <c r="O691" i="2"/>
  <c r="M691" i="2"/>
  <c r="O690" i="2"/>
  <c r="M690" i="2"/>
  <c r="V690" i="2" s="1"/>
  <c r="O689" i="2"/>
  <c r="Q689" i="2" s="1"/>
  <c r="M689" i="2"/>
  <c r="O688" i="2"/>
  <c r="M688" i="2"/>
  <c r="O687" i="2"/>
  <c r="P687" i="2" s="1"/>
  <c r="M687" i="2"/>
  <c r="O686" i="2"/>
  <c r="M686" i="2"/>
  <c r="AC686" i="2" s="1"/>
  <c r="O685" i="2"/>
  <c r="P685" i="2" s="1"/>
  <c r="M685" i="2"/>
  <c r="O684" i="2"/>
  <c r="M684" i="2"/>
  <c r="AC684" i="2" s="1"/>
  <c r="O683" i="2"/>
  <c r="M683" i="2"/>
  <c r="O682" i="2"/>
  <c r="M682" i="2"/>
  <c r="O681" i="2"/>
  <c r="Q681" i="2" s="1"/>
  <c r="M681" i="2"/>
  <c r="O680" i="2"/>
  <c r="P680" i="2" s="1"/>
  <c r="M680" i="2"/>
  <c r="W680" i="2" s="1"/>
  <c r="O679" i="2"/>
  <c r="Q679" i="2" s="1"/>
  <c r="R679" i="2" s="1"/>
  <c r="S679" i="2" s="1"/>
  <c r="T679" i="2" s="1"/>
  <c r="Y679" i="2" s="1"/>
  <c r="Z679" i="2" s="1"/>
  <c r="M679" i="2"/>
  <c r="W679" i="2" s="1"/>
  <c r="O678" i="2"/>
  <c r="M678" i="2"/>
  <c r="O677" i="2"/>
  <c r="P677" i="2" s="1"/>
  <c r="M677" i="2"/>
  <c r="N677" i="2" s="1"/>
  <c r="O676" i="2"/>
  <c r="P676" i="2" s="1"/>
  <c r="M676" i="2"/>
  <c r="O675" i="2"/>
  <c r="P675" i="2" s="1"/>
  <c r="M675" i="2"/>
  <c r="O674" i="2"/>
  <c r="M674" i="2"/>
  <c r="V674" i="2" s="1"/>
  <c r="O673" i="2"/>
  <c r="Q673" i="2" s="1"/>
  <c r="M673" i="2"/>
  <c r="O672" i="2"/>
  <c r="P672" i="2" s="1"/>
  <c r="M672" i="2"/>
  <c r="W672" i="2" s="1"/>
  <c r="O671" i="2"/>
  <c r="Q671" i="2" s="1"/>
  <c r="R671" i="2" s="1"/>
  <c r="S671" i="2" s="1"/>
  <c r="T671" i="2" s="1"/>
  <c r="Y671" i="2" s="1"/>
  <c r="Z671" i="2" s="1"/>
  <c r="M671" i="2"/>
  <c r="O670" i="2"/>
  <c r="M670" i="2"/>
  <c r="W670" i="2" s="1"/>
  <c r="O669" i="2"/>
  <c r="P669" i="2" s="1"/>
  <c r="M669" i="2"/>
  <c r="N669" i="2" s="1"/>
  <c r="O668" i="2"/>
  <c r="P668" i="2" s="1"/>
  <c r="M668" i="2"/>
  <c r="V668" i="2" s="1"/>
  <c r="O667" i="2"/>
  <c r="P667" i="2" s="1"/>
  <c r="M667" i="2"/>
  <c r="N667" i="2" s="1"/>
  <c r="O666" i="2"/>
  <c r="M666" i="2"/>
  <c r="V666" i="2" s="1"/>
  <c r="O665" i="2"/>
  <c r="Q665" i="2" s="1"/>
  <c r="M665" i="2"/>
  <c r="O664" i="2"/>
  <c r="P664" i="2" s="1"/>
  <c r="M664" i="2"/>
  <c r="O663" i="2"/>
  <c r="M663" i="2"/>
  <c r="O662" i="2"/>
  <c r="M662" i="2"/>
  <c r="W662" i="2" s="1"/>
  <c r="O661" i="2"/>
  <c r="P661" i="2" s="1"/>
  <c r="M661" i="2"/>
  <c r="N661" i="2" s="1"/>
  <c r="O660" i="2"/>
  <c r="P660" i="2" s="1"/>
  <c r="M660" i="2"/>
  <c r="V660" i="2" s="1"/>
  <c r="O659" i="2"/>
  <c r="M659" i="2"/>
  <c r="N659" i="2" s="1"/>
  <c r="O658" i="2"/>
  <c r="M658" i="2"/>
  <c r="O657" i="2"/>
  <c r="Q657" i="2" s="1"/>
  <c r="M657" i="2"/>
  <c r="O656" i="2"/>
  <c r="P656" i="2" s="1"/>
  <c r="M656" i="2"/>
  <c r="W656" i="2" s="1"/>
  <c r="O655" i="2"/>
  <c r="Q655" i="2" s="1"/>
  <c r="R655" i="2" s="1"/>
  <c r="S655" i="2" s="1"/>
  <c r="T655" i="2" s="1"/>
  <c r="Y655" i="2" s="1"/>
  <c r="Z655" i="2" s="1"/>
  <c r="M655" i="2"/>
  <c r="W655" i="2" s="1"/>
  <c r="O399" i="2"/>
  <c r="M399" i="2"/>
  <c r="O606" i="2"/>
  <c r="Q606" i="2" s="1"/>
  <c r="R606" i="2" s="1"/>
  <c r="S606" i="2" s="1"/>
  <c r="M606" i="2"/>
  <c r="O568" i="2"/>
  <c r="P568" i="2" s="1"/>
  <c r="M568" i="2"/>
  <c r="O100" i="2"/>
  <c r="Q100" i="2" s="1"/>
  <c r="R100" i="2" s="1"/>
  <c r="S100" i="2" s="1"/>
  <c r="M100" i="2"/>
  <c r="O36" i="2"/>
  <c r="M36" i="2"/>
  <c r="O240" i="2"/>
  <c r="P240" i="2" s="1"/>
  <c r="M240" i="2"/>
  <c r="O605" i="2"/>
  <c r="P605" i="2" s="1"/>
  <c r="M605" i="2"/>
  <c r="N605" i="2" s="1"/>
  <c r="U605" i="2" s="1"/>
  <c r="O315" i="2"/>
  <c r="M315" i="2"/>
  <c r="N315" i="2" s="1"/>
  <c r="U315" i="2" s="1"/>
  <c r="O287" i="2"/>
  <c r="M287" i="2"/>
  <c r="O469" i="2"/>
  <c r="Q469" i="2" s="1"/>
  <c r="R469" i="2" s="1"/>
  <c r="S469" i="2" s="1"/>
  <c r="M469" i="2"/>
  <c r="O229" i="2"/>
  <c r="P229" i="2" s="1"/>
  <c r="M229" i="2"/>
  <c r="O493" i="2"/>
  <c r="Q493" i="2" s="1"/>
  <c r="R493" i="2" s="1"/>
  <c r="S493" i="2" s="1"/>
  <c r="M493" i="2"/>
  <c r="V493" i="2" s="1"/>
  <c r="O507" i="2"/>
  <c r="M507" i="2"/>
  <c r="O250" i="2"/>
  <c r="P250" i="2" s="1"/>
  <c r="M250" i="2"/>
  <c r="O539" i="2"/>
  <c r="P539" i="2" s="1"/>
  <c r="M539" i="2"/>
  <c r="O310" i="2"/>
  <c r="P310" i="2" s="1"/>
  <c r="M310" i="2"/>
  <c r="O502" i="2"/>
  <c r="M502" i="2"/>
  <c r="O254" i="2"/>
  <c r="Q254" i="2" s="1"/>
  <c r="R254" i="2" s="1"/>
  <c r="S254" i="2" s="1"/>
  <c r="T254" i="2" s="1"/>
  <c r="Y254" i="2" s="1"/>
  <c r="Z254" i="2" s="1"/>
  <c r="M254" i="2"/>
  <c r="O244" i="2"/>
  <c r="P244" i="2" s="1"/>
  <c r="M244" i="2"/>
  <c r="O317" i="2"/>
  <c r="Q317" i="2" s="1"/>
  <c r="M317" i="2"/>
  <c r="O327" i="2"/>
  <c r="M327" i="2"/>
  <c r="O112" i="2"/>
  <c r="P112" i="2" s="1"/>
  <c r="M112" i="2"/>
  <c r="O538" i="2"/>
  <c r="P538" i="2" s="1"/>
  <c r="M538" i="2"/>
  <c r="O522" i="2"/>
  <c r="P522" i="2" s="1"/>
  <c r="M522" i="2"/>
  <c r="O320" i="2"/>
  <c r="M320" i="2"/>
  <c r="O286" i="2"/>
  <c r="Q286" i="2" s="1"/>
  <c r="R286" i="2" s="1"/>
  <c r="S286" i="2" s="1"/>
  <c r="T286" i="2" s="1"/>
  <c r="Y286" i="2" s="1"/>
  <c r="Z286" i="2" s="1"/>
  <c r="M286" i="2"/>
  <c r="O197" i="2"/>
  <c r="P197" i="2" s="1"/>
  <c r="M197" i="2"/>
  <c r="N197" i="2" s="1"/>
  <c r="U197" i="2" s="1"/>
  <c r="O404" i="2"/>
  <c r="Q404" i="2" s="1"/>
  <c r="R404" i="2" s="1"/>
  <c r="S404" i="2" s="1"/>
  <c r="M404" i="2"/>
  <c r="N404" i="2" s="1"/>
  <c r="U404" i="2" s="1"/>
  <c r="O403" i="2"/>
  <c r="M403" i="2"/>
  <c r="O422" i="2"/>
  <c r="P422" i="2" s="1"/>
  <c r="M422" i="2"/>
  <c r="O270" i="2"/>
  <c r="P270" i="2" s="1"/>
  <c r="M270" i="2"/>
  <c r="N270" i="2" s="1"/>
  <c r="U270" i="2" s="1"/>
  <c r="O296" i="2"/>
  <c r="M296" i="2"/>
  <c r="N296" i="2" s="1"/>
  <c r="U296" i="2" s="1"/>
  <c r="O297" i="2"/>
  <c r="M297" i="2"/>
  <c r="O22" i="2"/>
  <c r="Q22" i="2" s="1"/>
  <c r="R22" i="2" s="1"/>
  <c r="S22" i="2" s="1"/>
  <c r="M22" i="2"/>
  <c r="O83" i="2"/>
  <c r="P83" i="2" s="1"/>
  <c r="M83" i="2"/>
  <c r="O53" i="2"/>
  <c r="Q53" i="2" s="1"/>
  <c r="R53" i="2" s="1"/>
  <c r="S53" i="2" s="1"/>
  <c r="M53" i="2"/>
  <c r="O578" i="2"/>
  <c r="M578" i="2"/>
  <c r="N578" i="2" s="1"/>
  <c r="U578" i="2" s="1"/>
  <c r="O554" i="2"/>
  <c r="Q554" i="2" s="1"/>
  <c r="R554" i="2" s="1"/>
  <c r="S554" i="2" s="1"/>
  <c r="T554" i="2" s="1"/>
  <c r="Y554" i="2" s="1"/>
  <c r="Z554" i="2" s="1"/>
  <c r="M554" i="2"/>
  <c r="O384" i="2"/>
  <c r="P384" i="2" s="1"/>
  <c r="M384" i="2"/>
  <c r="O391" i="2"/>
  <c r="P391" i="2" s="1"/>
  <c r="M391" i="2"/>
  <c r="O353" i="2"/>
  <c r="M353" i="2"/>
  <c r="O339" i="2"/>
  <c r="P339" i="2" s="1"/>
  <c r="M339" i="2"/>
  <c r="O324" i="2"/>
  <c r="P324" i="2" s="1"/>
  <c r="M324" i="2"/>
  <c r="O313" i="2"/>
  <c r="P313" i="2" s="1"/>
  <c r="M313" i="2"/>
  <c r="O263" i="2"/>
  <c r="M263" i="2"/>
  <c r="O142" i="2"/>
  <c r="P142" i="2" s="1"/>
  <c r="M142" i="2"/>
  <c r="O99" i="2"/>
  <c r="P99" i="2" s="1"/>
  <c r="M99" i="2"/>
  <c r="O85" i="2"/>
  <c r="P85" i="2" s="1"/>
  <c r="M85" i="2"/>
  <c r="O81" i="2"/>
  <c r="M81" i="2"/>
  <c r="O75" i="2"/>
  <c r="P75" i="2" s="1"/>
  <c r="M75" i="2"/>
  <c r="O42" i="2"/>
  <c r="P42" i="2" s="1"/>
  <c r="M42" i="2"/>
  <c r="O586" i="2"/>
  <c r="P586" i="2" s="1"/>
  <c r="M586" i="2"/>
  <c r="O552" i="2"/>
  <c r="M552" i="2"/>
  <c r="O545" i="2"/>
  <c r="P545" i="2" s="1"/>
  <c r="M545" i="2"/>
  <c r="O512" i="2"/>
  <c r="P512" i="2" s="1"/>
  <c r="M512" i="2"/>
  <c r="O487" i="2"/>
  <c r="P487" i="2" s="1"/>
  <c r="M487" i="2"/>
  <c r="O359" i="2"/>
  <c r="M359" i="2"/>
  <c r="O352" i="2"/>
  <c r="P352" i="2" s="1"/>
  <c r="M352" i="2"/>
  <c r="O459" i="2"/>
  <c r="P459" i="2" s="1"/>
  <c r="M459" i="2"/>
  <c r="O295" i="2"/>
  <c r="P295" i="2" s="1"/>
  <c r="M295" i="2"/>
  <c r="O221" i="2"/>
  <c r="M221" i="2"/>
  <c r="O115" i="2"/>
  <c r="P115" i="2" s="1"/>
  <c r="M115" i="2"/>
  <c r="O173" i="2"/>
  <c r="P173" i="2" s="1"/>
  <c r="M173" i="2"/>
  <c r="O105" i="2"/>
  <c r="M105" i="2"/>
  <c r="O93" i="2"/>
  <c r="M93" i="2"/>
  <c r="O94" i="2"/>
  <c r="P94" i="2" s="1"/>
  <c r="M94" i="2"/>
  <c r="O82" i="2"/>
  <c r="P82" i="2" s="1"/>
  <c r="M82" i="2"/>
  <c r="O74" i="2"/>
  <c r="P74" i="2" s="1"/>
  <c r="M74" i="2"/>
  <c r="O57" i="2"/>
  <c r="M57" i="2"/>
  <c r="O582" i="2"/>
  <c r="P582" i="2" s="1"/>
  <c r="M582" i="2"/>
  <c r="O570" i="2"/>
  <c r="P570" i="2" s="1"/>
  <c r="M570" i="2"/>
  <c r="O564" i="2"/>
  <c r="P564" i="2" s="1"/>
  <c r="M564" i="2"/>
  <c r="O527" i="2"/>
  <c r="M527" i="2"/>
  <c r="O524" i="2"/>
  <c r="P524" i="2" s="1"/>
  <c r="M524" i="2"/>
  <c r="O514" i="2"/>
  <c r="P514" i="2" s="1"/>
  <c r="M514" i="2"/>
  <c r="O33" i="2"/>
  <c r="P33" i="2" s="1"/>
  <c r="M33" i="2"/>
  <c r="O482" i="2"/>
  <c r="M482" i="2"/>
  <c r="O485" i="2"/>
  <c r="P485" i="2" s="1"/>
  <c r="M485" i="2"/>
  <c r="O478" i="2"/>
  <c r="P478" i="2" s="1"/>
  <c r="M478" i="2"/>
  <c r="O476" i="2"/>
  <c r="P476" i="2" s="1"/>
  <c r="M476" i="2"/>
  <c r="O474" i="2"/>
  <c r="M474" i="2"/>
  <c r="O458" i="2"/>
  <c r="P458" i="2" s="1"/>
  <c r="M458" i="2"/>
  <c r="O440" i="2"/>
  <c r="P440" i="2" s="1"/>
  <c r="M440" i="2"/>
  <c r="O465" i="2"/>
  <c r="P465" i="2" s="1"/>
  <c r="M465" i="2"/>
  <c r="O462" i="2"/>
  <c r="M462" i="2"/>
  <c r="O456" i="2"/>
  <c r="P456" i="2" s="1"/>
  <c r="M456" i="2"/>
  <c r="O427" i="2"/>
  <c r="P427" i="2" s="1"/>
  <c r="M427" i="2"/>
  <c r="O453" i="2"/>
  <c r="M453" i="2"/>
  <c r="O432" i="2"/>
  <c r="M432" i="2"/>
  <c r="O381" i="2"/>
  <c r="P381" i="2" s="1"/>
  <c r="M381" i="2"/>
  <c r="O370" i="2"/>
  <c r="M370" i="2"/>
  <c r="O321" i="2"/>
  <c r="Q321" i="2" s="1"/>
  <c r="M321" i="2"/>
  <c r="O336" i="2"/>
  <c r="P336" i="2" s="1"/>
  <c r="M336" i="2"/>
  <c r="O326" i="2"/>
  <c r="Q326" i="2" s="1"/>
  <c r="R326" i="2" s="1"/>
  <c r="S326" i="2" s="1"/>
  <c r="T326" i="2" s="1"/>
  <c r="Y326" i="2" s="1"/>
  <c r="Z326" i="2" s="1"/>
  <c r="M326" i="2"/>
  <c r="V326" i="2" s="1"/>
  <c r="O309" i="2"/>
  <c r="P309" i="2" s="1"/>
  <c r="M309" i="2"/>
  <c r="O300" i="2"/>
  <c r="P300" i="2" s="1"/>
  <c r="M300" i="2"/>
  <c r="O288" i="2"/>
  <c r="M288" i="2"/>
  <c r="V288" i="2" s="1"/>
  <c r="O272" i="2"/>
  <c r="P272" i="2" s="1"/>
  <c r="M272" i="2"/>
  <c r="O290" i="2"/>
  <c r="Q290" i="2" s="1"/>
  <c r="M290" i="2"/>
  <c r="O273" i="2"/>
  <c r="P273" i="2" s="1"/>
  <c r="M273" i="2"/>
  <c r="O281" i="2"/>
  <c r="Q281" i="2" s="1"/>
  <c r="R281" i="2" s="1"/>
  <c r="S281" i="2" s="1"/>
  <c r="M281" i="2"/>
  <c r="V281" i="2" s="1"/>
  <c r="O275" i="2"/>
  <c r="P275" i="2" s="1"/>
  <c r="M275" i="2"/>
  <c r="O255" i="2"/>
  <c r="Q255" i="2" s="1"/>
  <c r="M255" i="2"/>
  <c r="O274" i="2"/>
  <c r="M274" i="2"/>
  <c r="O249" i="2"/>
  <c r="M249" i="2"/>
  <c r="O224" i="2"/>
  <c r="M224" i="2"/>
  <c r="N224" i="2" s="1"/>
  <c r="U224" i="2" s="1"/>
  <c r="O222" i="2"/>
  <c r="P222" i="2" s="1"/>
  <c r="M222" i="2"/>
  <c r="O216" i="2"/>
  <c r="M216" i="2"/>
  <c r="O103" i="2"/>
  <c r="Q103" i="2" s="1"/>
  <c r="M103" i="2"/>
  <c r="V103" i="2" s="1"/>
  <c r="O210" i="2"/>
  <c r="M210" i="2"/>
  <c r="O186" i="2"/>
  <c r="P186" i="2" s="1"/>
  <c r="M186" i="2"/>
  <c r="O97" i="2"/>
  <c r="M97" i="2"/>
  <c r="O413" i="2"/>
  <c r="Q413" i="2" s="1"/>
  <c r="M413" i="2"/>
  <c r="V413" i="2" s="1"/>
  <c r="O285" i="2"/>
  <c r="M285" i="2"/>
  <c r="O259" i="2"/>
  <c r="P259" i="2" s="1"/>
  <c r="M259" i="2"/>
  <c r="O228" i="2"/>
  <c r="P228" i="2" s="1"/>
  <c r="M228" i="2"/>
  <c r="O146" i="2"/>
  <c r="Q146" i="2" s="1"/>
  <c r="R146" i="2" s="1"/>
  <c r="S146" i="2" s="1"/>
  <c r="T146" i="2" s="1"/>
  <c r="Y146" i="2" s="1"/>
  <c r="Z146" i="2" s="1"/>
  <c r="M146" i="2"/>
  <c r="O430" i="2"/>
  <c r="P430" i="2" s="1"/>
  <c r="M430" i="2"/>
  <c r="O284" i="2"/>
  <c r="Q284" i="2" s="1"/>
  <c r="R284" i="2" s="1"/>
  <c r="S284" i="2" s="1"/>
  <c r="T284" i="2" s="1"/>
  <c r="Y284" i="2" s="1"/>
  <c r="Z284" i="2" s="1"/>
  <c r="M284" i="2"/>
  <c r="O258" i="2"/>
  <c r="M258" i="2"/>
  <c r="N258" i="2" s="1"/>
  <c r="U258" i="2" s="1"/>
  <c r="O236" i="2"/>
  <c r="P236" i="2" s="1"/>
  <c r="M236" i="2"/>
  <c r="O201" i="2"/>
  <c r="M201" i="2"/>
  <c r="O127" i="2"/>
  <c r="M127" i="2"/>
  <c r="V127" i="2" s="1"/>
  <c r="O126" i="2"/>
  <c r="P126" i="2" s="1"/>
  <c r="M126" i="2"/>
  <c r="O106" i="2"/>
  <c r="P106" i="2" s="1"/>
  <c r="M106" i="2"/>
  <c r="O101" i="2"/>
  <c r="P101" i="2" s="1"/>
  <c r="M101" i="2"/>
  <c r="O102" i="2"/>
  <c r="Q102" i="2" s="1"/>
  <c r="M102" i="2"/>
  <c r="O76" i="2"/>
  <c r="P76" i="2" s="1"/>
  <c r="M76" i="2"/>
  <c r="O71" i="2"/>
  <c r="Q71" i="2" s="1"/>
  <c r="M71" i="2"/>
  <c r="O644" i="2"/>
  <c r="P644" i="2" s="1"/>
  <c r="M644" i="2"/>
  <c r="O604" i="2"/>
  <c r="Q604" i="2" s="1"/>
  <c r="R604" i="2" s="1"/>
  <c r="S604" i="2" s="1"/>
  <c r="M604" i="2"/>
  <c r="V604" i="2" s="1"/>
  <c r="O597" i="2"/>
  <c r="Q597" i="2" s="1"/>
  <c r="R597" i="2" s="1"/>
  <c r="S597" i="2" s="1"/>
  <c r="M597" i="2"/>
  <c r="O565" i="2"/>
  <c r="M565" i="2"/>
  <c r="O518" i="2"/>
  <c r="M518" i="2"/>
  <c r="O506" i="2"/>
  <c r="M506" i="2"/>
  <c r="O486" i="2"/>
  <c r="Q486" i="2" s="1"/>
  <c r="R486" i="2" s="1"/>
  <c r="S486" i="2" s="1"/>
  <c r="M486" i="2"/>
  <c r="O472" i="2"/>
  <c r="M472" i="2"/>
  <c r="N472" i="2" s="1"/>
  <c r="U472" i="2" s="1"/>
  <c r="O467" i="2"/>
  <c r="Q467" i="2" s="1"/>
  <c r="R467" i="2" s="1"/>
  <c r="S467" i="2" s="1"/>
  <c r="M467" i="2"/>
  <c r="O437" i="2"/>
  <c r="M437" i="2"/>
  <c r="O436" i="2"/>
  <c r="Q436" i="2" s="1"/>
  <c r="R436" i="2" s="1"/>
  <c r="S436" i="2" s="1"/>
  <c r="M436" i="2"/>
  <c r="O355" i="2"/>
  <c r="M355" i="2"/>
  <c r="O316" i="2"/>
  <c r="Q316" i="2" s="1"/>
  <c r="R316" i="2" s="1"/>
  <c r="S316" i="2" s="1"/>
  <c r="M316" i="2"/>
  <c r="O283" i="2"/>
  <c r="M283" i="2"/>
  <c r="O206" i="2"/>
  <c r="Q206" i="2" s="1"/>
  <c r="R206" i="2" s="1"/>
  <c r="S206" i="2" s="1"/>
  <c r="M206" i="2"/>
  <c r="O196" i="2"/>
  <c r="M196" i="2"/>
  <c r="O177" i="2"/>
  <c r="Q177" i="2" s="1"/>
  <c r="R177" i="2" s="1"/>
  <c r="S177" i="2" s="1"/>
  <c r="M177" i="2"/>
  <c r="O46" i="2"/>
  <c r="M46" i="2"/>
  <c r="O471" i="2"/>
  <c r="P471" i="2" s="1"/>
  <c r="M471" i="2"/>
  <c r="O452" i="2"/>
  <c r="M452" i="2"/>
  <c r="O449" i="2"/>
  <c r="Q449" i="2" s="1"/>
  <c r="R449" i="2" s="1"/>
  <c r="S449" i="2" s="1"/>
  <c r="M449" i="2"/>
  <c r="O442" i="2"/>
  <c r="M442" i="2"/>
  <c r="N442" i="2" s="1"/>
  <c r="U442" i="2" s="1"/>
  <c r="O445" i="2"/>
  <c r="Q445" i="2" s="1"/>
  <c r="R445" i="2" s="1"/>
  <c r="S445" i="2" s="1"/>
  <c r="M445" i="2"/>
  <c r="O439" i="2"/>
  <c r="M439" i="2"/>
  <c r="O410" i="2"/>
  <c r="M410" i="2"/>
  <c r="O393" i="2"/>
  <c r="P393" i="2" s="1"/>
  <c r="M393" i="2"/>
  <c r="O373" i="2"/>
  <c r="M373" i="2"/>
  <c r="O334" i="2"/>
  <c r="P334" i="2" s="1"/>
  <c r="M334" i="2"/>
  <c r="O332" i="2"/>
  <c r="M332" i="2"/>
  <c r="O325" i="2"/>
  <c r="Q325" i="2" s="1"/>
  <c r="R325" i="2" s="1"/>
  <c r="S325" i="2" s="1"/>
  <c r="M325" i="2"/>
  <c r="O322" i="2"/>
  <c r="M322" i="2"/>
  <c r="O323" i="2"/>
  <c r="Q323" i="2" s="1"/>
  <c r="R323" i="2" s="1"/>
  <c r="S323" i="2" s="1"/>
  <c r="M323" i="2"/>
  <c r="O319" i="2"/>
  <c r="M319" i="2"/>
  <c r="O318" i="2"/>
  <c r="P318" i="2" s="1"/>
  <c r="M318" i="2"/>
  <c r="O314" i="2"/>
  <c r="M314" i="2"/>
  <c r="O312" i="2"/>
  <c r="P312" i="2" s="1"/>
  <c r="M312" i="2"/>
  <c r="O308" i="2"/>
  <c r="M308" i="2"/>
  <c r="N308" i="2" s="1"/>
  <c r="U308" i="2" s="1"/>
  <c r="O307" i="2"/>
  <c r="Q307" i="2" s="1"/>
  <c r="R307" i="2" s="1"/>
  <c r="S307" i="2" s="1"/>
  <c r="M307" i="2"/>
  <c r="O305" i="2"/>
  <c r="M305" i="2"/>
  <c r="O306" i="2"/>
  <c r="Q306" i="2" s="1"/>
  <c r="R306" i="2" s="1"/>
  <c r="S306" i="2" s="1"/>
  <c r="M306" i="2"/>
  <c r="O304" i="2"/>
  <c r="M304" i="2"/>
  <c r="O303" i="2"/>
  <c r="P303" i="2" s="1"/>
  <c r="M303" i="2"/>
  <c r="O302" i="2"/>
  <c r="M302" i="2"/>
  <c r="O301" i="2"/>
  <c r="Q301" i="2" s="1"/>
  <c r="R301" i="2" s="1"/>
  <c r="S301" i="2" s="1"/>
  <c r="M301" i="2"/>
  <c r="O299" i="2"/>
  <c r="M299" i="2"/>
  <c r="N299" i="2" s="1"/>
  <c r="U299" i="2" s="1"/>
  <c r="O298" i="2"/>
  <c r="Q298" i="2" s="1"/>
  <c r="R298" i="2" s="1"/>
  <c r="S298" i="2" s="1"/>
  <c r="M298" i="2"/>
  <c r="O294" i="2"/>
  <c r="M294" i="2"/>
  <c r="O293" i="2"/>
  <c r="Q293" i="2" s="1"/>
  <c r="R293" i="2" s="1"/>
  <c r="S293" i="2" s="1"/>
  <c r="M293" i="2"/>
  <c r="O292" i="2"/>
  <c r="M292" i="2"/>
  <c r="O291" i="2"/>
  <c r="P291" i="2" s="1"/>
  <c r="M291" i="2"/>
  <c r="O282" i="2"/>
  <c r="M282" i="2"/>
  <c r="O280" i="2"/>
  <c r="Q280" i="2" s="1"/>
  <c r="R280" i="2" s="1"/>
  <c r="S280" i="2" s="1"/>
  <c r="M280" i="2"/>
  <c r="O271" i="2"/>
  <c r="M271" i="2"/>
  <c r="N271" i="2" s="1"/>
  <c r="U271" i="2" s="1"/>
  <c r="O269" i="2"/>
  <c r="Q269" i="2" s="1"/>
  <c r="R269" i="2" s="1"/>
  <c r="S269" i="2" s="1"/>
  <c r="M269" i="2"/>
  <c r="O267" i="2"/>
  <c r="M267" i="2"/>
  <c r="O268" i="2"/>
  <c r="Q268" i="2" s="1"/>
  <c r="R268" i="2" s="1"/>
  <c r="S268" i="2" s="1"/>
  <c r="M268" i="2"/>
  <c r="O265" i="2"/>
  <c r="M265" i="2"/>
  <c r="O261" i="2"/>
  <c r="P261" i="2" s="1"/>
  <c r="M261" i="2"/>
  <c r="O262" i="2"/>
  <c r="M262" i="2"/>
  <c r="O266" i="2"/>
  <c r="P266" i="2" s="1"/>
  <c r="M266" i="2"/>
  <c r="O528" i="2"/>
  <c r="M528" i="2"/>
  <c r="O529" i="2"/>
  <c r="P529" i="2" s="1"/>
  <c r="M529" i="2"/>
  <c r="O526" i="2"/>
  <c r="M526" i="2"/>
  <c r="O521" i="2"/>
  <c r="P521" i="2" s="1"/>
  <c r="M521" i="2"/>
  <c r="O516" i="2"/>
  <c r="M516" i="2"/>
  <c r="O523" i="2"/>
  <c r="P523" i="2" s="1"/>
  <c r="M523" i="2"/>
  <c r="O520" i="2"/>
  <c r="M520" i="2"/>
  <c r="O525" i="2"/>
  <c r="P525" i="2" s="1"/>
  <c r="M525" i="2"/>
  <c r="O515" i="2"/>
  <c r="M515" i="2"/>
  <c r="O513" i="2"/>
  <c r="P513" i="2" s="1"/>
  <c r="M513" i="2"/>
  <c r="O510" i="2"/>
  <c r="M510" i="2"/>
  <c r="O509" i="2"/>
  <c r="P509" i="2" s="1"/>
  <c r="M509" i="2"/>
  <c r="O508" i="2"/>
  <c r="M508" i="2"/>
  <c r="O504" i="2"/>
  <c r="P504" i="2" s="1"/>
  <c r="M504" i="2"/>
  <c r="O505" i="2"/>
  <c r="M505" i="2"/>
  <c r="O498" i="2"/>
  <c r="P498" i="2" s="1"/>
  <c r="M498" i="2"/>
  <c r="O501" i="2"/>
  <c r="M501" i="2"/>
  <c r="O495" i="2"/>
  <c r="P495" i="2" s="1"/>
  <c r="M495" i="2"/>
  <c r="O497" i="2"/>
  <c r="P497" i="2" s="1"/>
  <c r="M497" i="2"/>
  <c r="O499" i="2"/>
  <c r="Q499" i="2" s="1"/>
  <c r="M499" i="2"/>
  <c r="O492" i="2"/>
  <c r="M492" i="2"/>
  <c r="O490" i="2"/>
  <c r="M490" i="2"/>
  <c r="O491" i="2"/>
  <c r="P491" i="2" s="1"/>
  <c r="M491" i="2"/>
  <c r="O489" i="2"/>
  <c r="M489" i="2"/>
  <c r="O488" i="2"/>
  <c r="M488" i="2"/>
  <c r="O484" i="2"/>
  <c r="Q484" i="2" s="1"/>
  <c r="M484" i="2"/>
  <c r="O494" i="2"/>
  <c r="M494" i="2"/>
  <c r="O481" i="2"/>
  <c r="P481" i="2" s="1"/>
  <c r="M481" i="2"/>
  <c r="O480" i="2"/>
  <c r="M480" i="2"/>
  <c r="O479" i="2"/>
  <c r="P479" i="2" s="1"/>
  <c r="M479" i="2"/>
  <c r="O475" i="2"/>
  <c r="M475" i="2"/>
  <c r="O473" i="2"/>
  <c r="P473" i="2" s="1"/>
  <c r="M473" i="2"/>
  <c r="N473" i="2" s="1"/>
  <c r="U473" i="2" s="1"/>
  <c r="O464" i="2"/>
  <c r="P464" i="2" s="1"/>
  <c r="M464" i="2"/>
  <c r="O468" i="2"/>
  <c r="M468" i="2"/>
  <c r="O463" i="2"/>
  <c r="P463" i="2" s="1"/>
  <c r="M463" i="2"/>
  <c r="O466" i="2"/>
  <c r="P466" i="2" s="1"/>
  <c r="M466" i="2"/>
  <c r="O460" i="2"/>
  <c r="P460" i="2" s="1"/>
  <c r="M460" i="2"/>
  <c r="N460" i="2" s="1"/>
  <c r="U460" i="2" s="1"/>
  <c r="O470" i="2"/>
  <c r="Q470" i="2" s="1"/>
  <c r="M470" i="2"/>
  <c r="O450" i="2"/>
  <c r="M450" i="2"/>
  <c r="O444" i="2"/>
  <c r="Q444" i="2" s="1"/>
  <c r="M444" i="2"/>
  <c r="O446" i="2"/>
  <c r="P446" i="2" s="1"/>
  <c r="M446" i="2"/>
  <c r="O438" i="2"/>
  <c r="Q438" i="2" s="1"/>
  <c r="R438" i="2" s="1"/>
  <c r="S438" i="2" s="1"/>
  <c r="M438" i="2"/>
  <c r="O435" i="2"/>
  <c r="P435" i="2" s="1"/>
  <c r="M435" i="2"/>
  <c r="N435" i="2" s="1"/>
  <c r="U435" i="2" s="1"/>
  <c r="O433" i="2"/>
  <c r="M433" i="2"/>
  <c r="O434" i="2"/>
  <c r="P434" i="2" s="1"/>
  <c r="M434" i="2"/>
  <c r="O431" i="2"/>
  <c r="Q431" i="2" s="1"/>
  <c r="M431" i="2"/>
  <c r="O425" i="2"/>
  <c r="M425" i="2"/>
  <c r="N425" i="2" s="1"/>
  <c r="U425" i="2" s="1"/>
  <c r="O451" i="2"/>
  <c r="P451" i="2" s="1"/>
  <c r="M451" i="2"/>
  <c r="O429" i="2"/>
  <c r="P429" i="2" s="1"/>
  <c r="M429" i="2"/>
  <c r="N429" i="2" s="1"/>
  <c r="U429" i="2" s="1"/>
  <c r="O426" i="2"/>
  <c r="Q426" i="2" s="1"/>
  <c r="M426" i="2"/>
  <c r="O421" i="2"/>
  <c r="M421" i="2"/>
  <c r="O428" i="2"/>
  <c r="Q428" i="2" s="1"/>
  <c r="M428" i="2"/>
  <c r="O423" i="2"/>
  <c r="P423" i="2" s="1"/>
  <c r="M423" i="2"/>
  <c r="O420" i="2"/>
  <c r="M420" i="2"/>
  <c r="O419" i="2"/>
  <c r="M419" i="2"/>
  <c r="O418" i="2"/>
  <c r="M418" i="2"/>
  <c r="O424" i="2"/>
  <c r="P424" i="2" s="1"/>
  <c r="M424" i="2"/>
  <c r="O416" i="2"/>
  <c r="P416" i="2" s="1"/>
  <c r="M416" i="2"/>
  <c r="O417" i="2"/>
  <c r="P417" i="2" s="1"/>
  <c r="M417" i="2"/>
  <c r="O414" i="2"/>
  <c r="Q414" i="2" s="1"/>
  <c r="M414" i="2"/>
  <c r="O415" i="2"/>
  <c r="M415" i="2"/>
  <c r="O412" i="2"/>
  <c r="Q412" i="2" s="1"/>
  <c r="M412" i="2"/>
  <c r="O408" i="2"/>
  <c r="M408" i="2"/>
  <c r="O407" i="2"/>
  <c r="Q407" i="2" s="1"/>
  <c r="R407" i="2" s="1"/>
  <c r="S407" i="2" s="1"/>
  <c r="T407" i="2" s="1"/>
  <c r="Y407" i="2" s="1"/>
  <c r="Z407" i="2" s="1"/>
  <c r="M407" i="2"/>
  <c r="O406" i="2"/>
  <c r="P406" i="2" s="1"/>
  <c r="M406" i="2"/>
  <c r="O405" i="2"/>
  <c r="M405" i="2"/>
  <c r="O402" i="2"/>
  <c r="P402" i="2" s="1"/>
  <c r="M402" i="2"/>
  <c r="O401" i="2"/>
  <c r="M401" i="2"/>
  <c r="O400" i="2"/>
  <c r="M400" i="2"/>
  <c r="O397" i="2"/>
  <c r="Q397" i="2" s="1"/>
  <c r="R397" i="2" s="1"/>
  <c r="S397" i="2" s="1"/>
  <c r="M397" i="2"/>
  <c r="V397" i="2" s="1"/>
  <c r="O398" i="2"/>
  <c r="M398" i="2"/>
  <c r="O396" i="2"/>
  <c r="M396" i="2"/>
  <c r="O395" i="2"/>
  <c r="P395" i="2" s="1"/>
  <c r="M395" i="2"/>
  <c r="O392" i="2"/>
  <c r="Q392" i="2" s="1"/>
  <c r="R392" i="2" s="1"/>
  <c r="S392" i="2" s="1"/>
  <c r="M392" i="2"/>
  <c r="O388" i="2"/>
  <c r="P388" i="2" s="1"/>
  <c r="M388" i="2"/>
  <c r="O380" i="2"/>
  <c r="Q380" i="2" s="1"/>
  <c r="M380" i="2"/>
  <c r="O377" i="2"/>
  <c r="M377" i="2"/>
  <c r="O376" i="2"/>
  <c r="Q376" i="2" s="1"/>
  <c r="M376" i="2"/>
  <c r="O369" i="2"/>
  <c r="M369" i="2"/>
  <c r="O368" i="2"/>
  <c r="Q368" i="2" s="1"/>
  <c r="R368" i="2" s="1"/>
  <c r="S368" i="2" s="1"/>
  <c r="T368" i="2" s="1"/>
  <c r="Y368" i="2" s="1"/>
  <c r="Z368" i="2" s="1"/>
  <c r="M368" i="2"/>
  <c r="O367" i="2"/>
  <c r="P367" i="2" s="1"/>
  <c r="M367" i="2"/>
  <c r="O362" i="2"/>
  <c r="Q362" i="2" s="1"/>
  <c r="R362" i="2" s="1"/>
  <c r="S362" i="2" s="1"/>
  <c r="M362" i="2"/>
  <c r="O361" i="2"/>
  <c r="P361" i="2" s="1"/>
  <c r="M361" i="2"/>
  <c r="O364" i="2"/>
  <c r="Q364" i="2" s="1"/>
  <c r="M364" i="2"/>
  <c r="O351" i="2"/>
  <c r="P351" i="2" s="1"/>
  <c r="M351" i="2"/>
  <c r="O350" i="2"/>
  <c r="Q350" i="2" s="1"/>
  <c r="R350" i="2" s="1"/>
  <c r="S350" i="2" s="1"/>
  <c r="T350" i="2" s="1"/>
  <c r="Y350" i="2" s="1"/>
  <c r="Z350" i="2" s="1"/>
  <c r="M350" i="2"/>
  <c r="O390" i="2"/>
  <c r="M390" i="2"/>
  <c r="O389" i="2"/>
  <c r="P389" i="2" s="1"/>
  <c r="M389" i="2"/>
  <c r="O387" i="2"/>
  <c r="P387" i="2" s="1"/>
  <c r="M387" i="2"/>
  <c r="O382" i="2"/>
  <c r="Q382" i="2" s="1"/>
  <c r="R382" i="2" s="1"/>
  <c r="S382" i="2" s="1"/>
  <c r="M382" i="2"/>
  <c r="O386" i="2"/>
  <c r="P386" i="2" s="1"/>
  <c r="M386" i="2"/>
  <c r="O372" i="2"/>
  <c r="Q372" i="2" s="1"/>
  <c r="M372" i="2"/>
  <c r="O366" i="2"/>
  <c r="M366" i="2"/>
  <c r="O365" i="2"/>
  <c r="P365" i="2" s="1"/>
  <c r="M365" i="2"/>
  <c r="O363" i="2"/>
  <c r="P363" i="2" s="1"/>
  <c r="M363" i="2"/>
  <c r="O360" i="2"/>
  <c r="Q360" i="2" s="1"/>
  <c r="M360" i="2"/>
  <c r="O358" i="2"/>
  <c r="M358" i="2"/>
  <c r="O357" i="2"/>
  <c r="M357" i="2"/>
  <c r="O356" i="2"/>
  <c r="P356" i="2" s="1"/>
  <c r="M356" i="2"/>
  <c r="O354" i="2"/>
  <c r="Q354" i="2" s="1"/>
  <c r="M354" i="2"/>
  <c r="O349" i="2"/>
  <c r="M349" i="2"/>
  <c r="O347" i="2"/>
  <c r="P347" i="2" s="1"/>
  <c r="M347" i="2"/>
  <c r="O346" i="2"/>
  <c r="P346" i="2" s="1"/>
  <c r="M346" i="2"/>
  <c r="O348" i="2"/>
  <c r="Q348" i="2" s="1"/>
  <c r="R348" i="2" s="1"/>
  <c r="S348" i="2" s="1"/>
  <c r="M348" i="2"/>
  <c r="O344" i="2"/>
  <c r="P344" i="2" s="1"/>
  <c r="M344" i="2"/>
  <c r="O343" i="2"/>
  <c r="P343" i="2" s="1"/>
  <c r="M343" i="2"/>
  <c r="O342" i="2"/>
  <c r="M342" i="2"/>
  <c r="O341" i="2"/>
  <c r="P341" i="2" s="1"/>
  <c r="M341" i="2"/>
  <c r="O340" i="2"/>
  <c r="M340" i="2"/>
  <c r="O338" i="2"/>
  <c r="Q338" i="2" s="1"/>
  <c r="M338" i="2"/>
  <c r="O337" i="2"/>
  <c r="P337" i="2" s="1"/>
  <c r="M337" i="2"/>
  <c r="O333" i="2"/>
  <c r="P333" i="2" s="1"/>
  <c r="M333" i="2"/>
  <c r="O335" i="2"/>
  <c r="M335" i="2"/>
  <c r="O331" i="2"/>
  <c r="M331" i="2"/>
  <c r="O330" i="2"/>
  <c r="P330" i="2" s="1"/>
  <c r="M330" i="2"/>
  <c r="O329" i="2"/>
  <c r="M329" i="2"/>
  <c r="O328" i="2"/>
  <c r="M328" i="2"/>
  <c r="O612" i="2"/>
  <c r="Q612" i="2" s="1"/>
  <c r="R612" i="2" s="1"/>
  <c r="S612" i="2" s="1"/>
  <c r="M612" i="2"/>
  <c r="O584" i="2"/>
  <c r="M584" i="2"/>
  <c r="O114" i="2"/>
  <c r="Q114" i="2" s="1"/>
  <c r="R114" i="2" s="1"/>
  <c r="S114" i="2" s="1"/>
  <c r="M114" i="2"/>
  <c r="N114" i="2" s="1"/>
  <c r="U114" i="2" s="1"/>
  <c r="O625" i="2"/>
  <c r="P625" i="2" s="1"/>
  <c r="M625" i="2"/>
  <c r="O575" i="2"/>
  <c r="P575" i="2" s="1"/>
  <c r="M575" i="2"/>
  <c r="O15" i="2"/>
  <c r="P15" i="2" s="1"/>
  <c r="M15" i="2"/>
  <c r="O371" i="2"/>
  <c r="P371" i="2" s="1"/>
  <c r="M371" i="2"/>
  <c r="O79" i="2"/>
  <c r="M79" i="2"/>
  <c r="O629" i="2"/>
  <c r="M629" i="2"/>
  <c r="O623" i="2"/>
  <c r="Q623" i="2" s="1"/>
  <c r="R623" i="2" s="1"/>
  <c r="S623" i="2" s="1"/>
  <c r="M623" i="2"/>
  <c r="O619" i="2"/>
  <c r="P619" i="2" s="1"/>
  <c r="M619" i="2"/>
  <c r="O587" i="2"/>
  <c r="P587" i="2" s="1"/>
  <c r="M587" i="2"/>
  <c r="O573" i="2"/>
  <c r="P573" i="2" s="1"/>
  <c r="M573" i="2"/>
  <c r="O572" i="2"/>
  <c r="Q572" i="2" s="1"/>
  <c r="R572" i="2" s="1"/>
  <c r="S572" i="2" s="1"/>
  <c r="T572" i="2" s="1"/>
  <c r="Y572" i="2" s="1"/>
  <c r="Z572" i="2" s="1"/>
  <c r="M572" i="2"/>
  <c r="O503" i="2"/>
  <c r="Q503" i="2" s="1"/>
  <c r="R503" i="2" s="1"/>
  <c r="S503" i="2" s="1"/>
  <c r="M503" i="2"/>
  <c r="O136" i="2"/>
  <c r="M136" i="2"/>
  <c r="O649" i="2"/>
  <c r="Q649" i="2" s="1"/>
  <c r="R649" i="2" s="1"/>
  <c r="S649" i="2" s="1"/>
  <c r="M649" i="2"/>
  <c r="O654" i="2"/>
  <c r="P654" i="2" s="1"/>
  <c r="M654" i="2"/>
  <c r="O650" i="2"/>
  <c r="P650" i="2" s="1"/>
  <c r="M650" i="2"/>
  <c r="O642" i="2"/>
  <c r="P642" i="2" s="1"/>
  <c r="M642" i="2"/>
  <c r="O631" i="2"/>
  <c r="P631" i="2" s="1"/>
  <c r="M631" i="2"/>
  <c r="O641" i="2"/>
  <c r="M641" i="2"/>
  <c r="O54" i="2"/>
  <c r="Q54" i="2" s="1"/>
  <c r="M54" i="2"/>
  <c r="V54" i="2" s="1"/>
  <c r="O543" i="2"/>
  <c r="M543" i="2"/>
  <c r="O544" i="2"/>
  <c r="P544" i="2" s="1"/>
  <c r="M544" i="2"/>
  <c r="O104" i="2"/>
  <c r="P104" i="2" s="1"/>
  <c r="M104" i="2"/>
  <c r="O441" i="2"/>
  <c r="Q441" i="2" s="1"/>
  <c r="M441" i="2"/>
  <c r="O455" i="2"/>
  <c r="M455" i="2"/>
  <c r="O383" i="2"/>
  <c r="Q383" i="2" s="1"/>
  <c r="M383" i="2"/>
  <c r="O378" i="2"/>
  <c r="M378" i="2"/>
  <c r="O237" i="2"/>
  <c r="Q237" i="2" s="1"/>
  <c r="R237" i="2" s="1"/>
  <c r="S237" i="2" s="1"/>
  <c r="T237" i="2" s="1"/>
  <c r="Y237" i="2" s="1"/>
  <c r="Z237" i="2" s="1"/>
  <c r="M237" i="2"/>
  <c r="O374" i="2"/>
  <c r="M374" i="2"/>
  <c r="O260" i="2"/>
  <c r="Q260" i="2" s="1"/>
  <c r="M260" i="2"/>
  <c r="O257" i="2"/>
  <c r="P257" i="2" s="1"/>
  <c r="M257" i="2"/>
  <c r="O231" i="2"/>
  <c r="Q231" i="2" s="1"/>
  <c r="M231" i="2"/>
  <c r="O200" i="2"/>
  <c r="M200" i="2"/>
  <c r="O192" i="2"/>
  <c r="P192" i="2" s="1"/>
  <c r="M192" i="2"/>
  <c r="O14" i="2"/>
  <c r="M14" i="2"/>
  <c r="O519" i="2"/>
  <c r="P519" i="2" s="1"/>
  <c r="M519" i="2"/>
  <c r="O591" i="2"/>
  <c r="M591" i="2"/>
  <c r="O589" i="2"/>
  <c r="P589" i="2" s="1"/>
  <c r="M589" i="2"/>
  <c r="O34" i="2"/>
  <c r="P34" i="2" s="1"/>
  <c r="M34" i="2"/>
  <c r="O125" i="2"/>
  <c r="M125" i="2"/>
  <c r="O627" i="2"/>
  <c r="Q627" i="2" s="1"/>
  <c r="M627" i="2"/>
  <c r="O19" i="2"/>
  <c r="M19" i="2"/>
  <c r="N19" i="2" s="1"/>
  <c r="U19" i="2" s="1"/>
  <c r="O16" i="2"/>
  <c r="Q16" i="2" s="1"/>
  <c r="R16" i="2" s="1"/>
  <c r="S16" i="2" s="1"/>
  <c r="T16" i="2" s="1"/>
  <c r="Y16" i="2" s="1"/>
  <c r="Z16" i="2" s="1"/>
  <c r="M16" i="2"/>
  <c r="V16" i="2" s="1"/>
  <c r="O12" i="2"/>
  <c r="M12" i="2"/>
  <c r="O204" i="2"/>
  <c r="Q204" i="2" s="1"/>
  <c r="M204" i="2"/>
  <c r="O218" i="2"/>
  <c r="P218" i="2" s="1"/>
  <c r="M218" i="2"/>
  <c r="O223" i="2"/>
  <c r="Q223" i="2" s="1"/>
  <c r="M223" i="2"/>
  <c r="O207" i="2"/>
  <c r="M207" i="2"/>
  <c r="O40" i="2"/>
  <c r="Q40" i="2" s="1"/>
  <c r="R40" i="2" s="1"/>
  <c r="S40" i="2" s="1"/>
  <c r="M40" i="2"/>
  <c r="V40" i="2" s="1"/>
  <c r="W40" i="2" s="1"/>
  <c r="O311" i="2"/>
  <c r="M311" i="2"/>
  <c r="O483" i="2"/>
  <c r="M483" i="2"/>
  <c r="O638" i="2"/>
  <c r="P638" i="2" s="1"/>
  <c r="M638" i="2"/>
  <c r="O511" i="2"/>
  <c r="P511" i="2" s="1"/>
  <c r="M511" i="2"/>
  <c r="O496" i="2"/>
  <c r="Q496" i="2" s="1"/>
  <c r="M496" i="2"/>
  <c r="O500" i="2"/>
  <c r="M500" i="2"/>
  <c r="N500" i="2" s="1"/>
  <c r="U500" i="2" s="1"/>
  <c r="O411" i="2"/>
  <c r="Q411" i="2" s="1"/>
  <c r="M411" i="2"/>
  <c r="O517" i="2"/>
  <c r="M517" i="2"/>
  <c r="N517" i="2" s="1"/>
  <c r="U517" i="2" s="1"/>
  <c r="O454" i="2"/>
  <c r="Q454" i="2" s="1"/>
  <c r="R454" i="2" s="1"/>
  <c r="S454" i="2" s="1"/>
  <c r="T454" i="2" s="1"/>
  <c r="Y454" i="2" s="1"/>
  <c r="Z454" i="2" s="1"/>
  <c r="M454" i="2"/>
  <c r="V454" i="2" s="1"/>
  <c r="O477" i="2"/>
  <c r="M477" i="2"/>
  <c r="N477" i="2" s="1"/>
  <c r="U477" i="2" s="1"/>
  <c r="O278" i="2"/>
  <c r="Q278" i="2" s="1"/>
  <c r="M278" i="2"/>
  <c r="O443" i="2"/>
  <c r="P443" i="2" s="1"/>
  <c r="M443" i="2"/>
  <c r="O457" i="2"/>
  <c r="Q457" i="2" s="1"/>
  <c r="M457" i="2"/>
  <c r="O448" i="2"/>
  <c r="M448" i="2"/>
  <c r="O461" i="2"/>
  <c r="Q461" i="2" s="1"/>
  <c r="R461" i="2" s="1"/>
  <c r="S461" i="2" s="1"/>
  <c r="M461" i="2"/>
  <c r="O379" i="2"/>
  <c r="M379" i="2"/>
  <c r="O375" i="2"/>
  <c r="Q375" i="2" s="1"/>
  <c r="R375" i="2" s="1"/>
  <c r="S375" i="2" s="1"/>
  <c r="T375" i="2" s="1"/>
  <c r="Y375" i="2" s="1"/>
  <c r="Z375" i="2" s="1"/>
  <c r="M375" i="2"/>
  <c r="O345" i="2"/>
  <c r="M345" i="2"/>
  <c r="O279" i="2"/>
  <c r="M279" i="2"/>
  <c r="O247" i="2"/>
  <c r="P247" i="2" s="1"/>
  <c r="M247" i="2"/>
  <c r="O190" i="2"/>
  <c r="M190" i="2"/>
  <c r="O234" i="2"/>
  <c r="P234" i="2" s="1"/>
  <c r="M234" i="2"/>
  <c r="O202" i="2"/>
  <c r="Q202" i="2" s="1"/>
  <c r="R202" i="2" s="1"/>
  <c r="S202" i="2" s="1"/>
  <c r="M202" i="2"/>
  <c r="O195" i="2"/>
  <c r="P195" i="2" s="1"/>
  <c r="M195" i="2"/>
  <c r="O188" i="2"/>
  <c r="Q188" i="2" s="1"/>
  <c r="M188" i="2"/>
  <c r="O161" i="2"/>
  <c r="P161" i="2" s="1"/>
  <c r="M161" i="2"/>
  <c r="O199" i="2"/>
  <c r="P199" i="2" s="1"/>
  <c r="M199" i="2"/>
  <c r="V199" i="2" s="1"/>
  <c r="O167" i="2"/>
  <c r="P167" i="2" s="1"/>
  <c r="M167" i="2"/>
  <c r="O165" i="2"/>
  <c r="P165" i="2" s="1"/>
  <c r="M165" i="2"/>
  <c r="O128" i="2"/>
  <c r="P128" i="2" s="1"/>
  <c r="M128" i="2"/>
  <c r="V128" i="2" s="1"/>
  <c r="O184" i="2"/>
  <c r="Q184" i="2" s="1"/>
  <c r="R184" i="2" s="1"/>
  <c r="S184" i="2" s="1"/>
  <c r="M184" i="2"/>
  <c r="O185" i="2"/>
  <c r="P185" i="2" s="1"/>
  <c r="M185" i="2"/>
  <c r="N185" i="2" s="1"/>
  <c r="U185" i="2" s="1"/>
  <c r="O187" i="2"/>
  <c r="Q187" i="2" s="1"/>
  <c r="M187" i="2"/>
  <c r="O276" i="2"/>
  <c r="P276" i="2" s="1"/>
  <c r="M276" i="2"/>
  <c r="O152" i="2"/>
  <c r="P152" i="2" s="1"/>
  <c r="M152" i="2"/>
  <c r="O116" i="2"/>
  <c r="P116" i="2" s="1"/>
  <c r="M116" i="2"/>
  <c r="O119" i="2"/>
  <c r="P119" i="2" s="1"/>
  <c r="M119" i="2"/>
  <c r="O203" i="2"/>
  <c r="P203" i="2" s="1"/>
  <c r="M203" i="2"/>
  <c r="O124" i="2"/>
  <c r="Q124" i="2" s="1"/>
  <c r="R124" i="2" s="1"/>
  <c r="S124" i="2" s="1"/>
  <c r="M124" i="2"/>
  <c r="O138" i="2"/>
  <c r="P138" i="2" s="1"/>
  <c r="M138" i="2"/>
  <c r="O175" i="2"/>
  <c r="Q175" i="2" s="1"/>
  <c r="M175" i="2"/>
  <c r="O160" i="2"/>
  <c r="P160" i="2" s="1"/>
  <c r="M160" i="2"/>
  <c r="O154" i="2"/>
  <c r="P154" i="2" s="1"/>
  <c r="M154" i="2"/>
  <c r="O88" i="2"/>
  <c r="P88" i="2" s="1"/>
  <c r="M88" i="2"/>
  <c r="O108" i="2"/>
  <c r="P108" i="2" s="1"/>
  <c r="M108" i="2"/>
  <c r="O58" i="2"/>
  <c r="P58" i="2" s="1"/>
  <c r="M58" i="2"/>
  <c r="O277" i="2"/>
  <c r="Q277" i="2" s="1"/>
  <c r="R277" i="2" s="1"/>
  <c r="S277" i="2" s="1"/>
  <c r="M277" i="2"/>
  <c r="O447" i="2"/>
  <c r="P447" i="2" s="1"/>
  <c r="M447" i="2"/>
  <c r="O264" i="2"/>
  <c r="M264" i="2"/>
  <c r="O256" i="2"/>
  <c r="M256" i="2"/>
  <c r="O252" i="2"/>
  <c r="M252" i="2"/>
  <c r="O251" i="2"/>
  <c r="P251" i="2" s="1"/>
  <c r="M251" i="2"/>
  <c r="O248" i="2"/>
  <c r="M248" i="2"/>
  <c r="O246" i="2"/>
  <c r="M246" i="2"/>
  <c r="O243" i="2"/>
  <c r="M243" i="2"/>
  <c r="O242" i="2"/>
  <c r="P242" i="2" s="1"/>
  <c r="M242" i="2"/>
  <c r="O241" i="2"/>
  <c r="M241" i="2"/>
  <c r="O239" i="2"/>
  <c r="P239" i="2" s="1"/>
  <c r="M239" i="2"/>
  <c r="O245" i="2"/>
  <c r="M245" i="2"/>
  <c r="O238" i="2"/>
  <c r="M238" i="2"/>
  <c r="O227" i="2"/>
  <c r="Q227" i="2" s="1"/>
  <c r="M227" i="2"/>
  <c r="O226" i="2"/>
  <c r="P226" i="2" s="1"/>
  <c r="M226" i="2"/>
  <c r="O230" i="2"/>
  <c r="P230" i="2" s="1"/>
  <c r="M230" i="2"/>
  <c r="O225" i="2"/>
  <c r="M225" i="2"/>
  <c r="O220" i="2"/>
  <c r="P220" i="2" s="1"/>
  <c r="M220" i="2"/>
  <c r="O219" i="2"/>
  <c r="M219" i="2"/>
  <c r="O215" i="2"/>
  <c r="P215" i="2" s="1"/>
  <c r="M215" i="2"/>
  <c r="O217" i="2"/>
  <c r="M217" i="2"/>
  <c r="O213" i="2"/>
  <c r="P213" i="2" s="1"/>
  <c r="M213" i="2"/>
  <c r="O212" i="2"/>
  <c r="P212" i="2" s="1"/>
  <c r="M212" i="2"/>
  <c r="O214" i="2"/>
  <c r="Q214" i="2" s="1"/>
  <c r="M214" i="2"/>
  <c r="O209" i="2"/>
  <c r="M209" i="2"/>
  <c r="O211" i="2"/>
  <c r="P211" i="2" s="1"/>
  <c r="M211" i="2"/>
  <c r="O208" i="2"/>
  <c r="P208" i="2" s="1"/>
  <c r="M208" i="2"/>
  <c r="O205" i="2"/>
  <c r="Q205" i="2" s="1"/>
  <c r="R205" i="2" s="1"/>
  <c r="S205" i="2" s="1"/>
  <c r="M205" i="2"/>
  <c r="O198" i="2"/>
  <c r="P198" i="2" s="1"/>
  <c r="M198" i="2"/>
  <c r="O194" i="2"/>
  <c r="Q194" i="2" s="1"/>
  <c r="R194" i="2" s="1"/>
  <c r="S194" i="2" s="1"/>
  <c r="M194" i="2"/>
  <c r="O193" i="2"/>
  <c r="P193" i="2" s="1"/>
  <c r="M193" i="2"/>
  <c r="O191" i="2"/>
  <c r="Q191" i="2" s="1"/>
  <c r="R191" i="2" s="1"/>
  <c r="S191" i="2" s="1"/>
  <c r="M191" i="2"/>
  <c r="O189" i="2"/>
  <c r="P189" i="2" s="1"/>
  <c r="M189" i="2"/>
  <c r="O181" i="2"/>
  <c r="P181" i="2" s="1"/>
  <c r="M181" i="2"/>
  <c r="O182" i="2"/>
  <c r="M182" i="2"/>
  <c r="O183" i="2"/>
  <c r="P183" i="2" s="1"/>
  <c r="M183" i="2"/>
  <c r="V183" i="2" s="1"/>
  <c r="O179" i="2"/>
  <c r="M179" i="2"/>
  <c r="O180" i="2"/>
  <c r="M180" i="2"/>
  <c r="O176" i="2"/>
  <c r="M176" i="2"/>
  <c r="O178" i="2"/>
  <c r="Q178" i="2" s="1"/>
  <c r="M178" i="2"/>
  <c r="O174" i="2"/>
  <c r="P174" i="2" s="1"/>
  <c r="M174" i="2"/>
  <c r="O171" i="2"/>
  <c r="Q171" i="2" s="1"/>
  <c r="M171" i="2"/>
  <c r="O163" i="2"/>
  <c r="M163" i="2"/>
  <c r="N163" i="2" s="1"/>
  <c r="U163" i="2" s="1"/>
  <c r="O172" i="2"/>
  <c r="Q172" i="2" s="1"/>
  <c r="M172" i="2"/>
  <c r="O170" i="2"/>
  <c r="M170" i="2"/>
  <c r="O169" i="2"/>
  <c r="Q169" i="2" s="1"/>
  <c r="R169" i="2" s="1"/>
  <c r="S169" i="2" s="1"/>
  <c r="T169" i="2" s="1"/>
  <c r="Y169" i="2" s="1"/>
  <c r="Z169" i="2" s="1"/>
  <c r="M169" i="2"/>
  <c r="O166" i="2"/>
  <c r="M166" i="2"/>
  <c r="O168" i="2"/>
  <c r="M168" i="2"/>
  <c r="O164" i="2"/>
  <c r="P164" i="2" s="1"/>
  <c r="M164" i="2"/>
  <c r="O159" i="2"/>
  <c r="M159" i="2"/>
  <c r="O162" i="2"/>
  <c r="Q162" i="2" s="1"/>
  <c r="M162" i="2"/>
  <c r="O157" i="2"/>
  <c r="M157" i="2"/>
  <c r="N157" i="2" s="1"/>
  <c r="U157" i="2" s="1"/>
  <c r="O158" i="2"/>
  <c r="Q158" i="2" s="1"/>
  <c r="M158" i="2"/>
  <c r="O156" i="2"/>
  <c r="M156" i="2"/>
  <c r="O153" i="2"/>
  <c r="Q153" i="2" s="1"/>
  <c r="M153" i="2"/>
  <c r="O155" i="2"/>
  <c r="M155" i="2"/>
  <c r="N155" i="2" s="1"/>
  <c r="U155" i="2" s="1"/>
  <c r="O151" i="2"/>
  <c r="Q151" i="2" s="1"/>
  <c r="M151" i="2"/>
  <c r="O148" i="2"/>
  <c r="M148" i="2"/>
  <c r="O147" i="2"/>
  <c r="Q147" i="2" s="1"/>
  <c r="M147" i="2"/>
  <c r="O150" i="2"/>
  <c r="M150" i="2"/>
  <c r="O149" i="2"/>
  <c r="Q149" i="2" s="1"/>
  <c r="M149" i="2"/>
  <c r="O143" i="2"/>
  <c r="M143" i="2"/>
  <c r="O144" i="2"/>
  <c r="Q144" i="2" s="1"/>
  <c r="M144" i="2"/>
  <c r="O145" i="2"/>
  <c r="M145" i="2"/>
  <c r="O140" i="2"/>
  <c r="Q140" i="2" s="1"/>
  <c r="M140" i="2"/>
  <c r="O141" i="2"/>
  <c r="M141" i="2"/>
  <c r="O139" i="2"/>
  <c r="Q139" i="2" s="1"/>
  <c r="M139" i="2"/>
  <c r="O137" i="2"/>
  <c r="M137" i="2"/>
  <c r="O135" i="2"/>
  <c r="P135" i="2" s="1"/>
  <c r="M135" i="2"/>
  <c r="O134" i="2"/>
  <c r="M134" i="2"/>
  <c r="O133" i="2"/>
  <c r="Q133" i="2" s="1"/>
  <c r="M133" i="2"/>
  <c r="O132" i="2"/>
  <c r="M132" i="2"/>
  <c r="O131" i="2"/>
  <c r="Q131" i="2" s="1"/>
  <c r="R131" i="2" s="1"/>
  <c r="S131" i="2" s="1"/>
  <c r="M131" i="2"/>
  <c r="O130" i="2"/>
  <c r="M130" i="2"/>
  <c r="O129" i="2"/>
  <c r="Q129" i="2" s="1"/>
  <c r="M129" i="2"/>
  <c r="O122" i="2"/>
  <c r="M122" i="2"/>
  <c r="N122" i="2" s="1"/>
  <c r="U122" i="2" s="1"/>
  <c r="O121" i="2"/>
  <c r="Q121" i="2" s="1"/>
  <c r="M121" i="2"/>
  <c r="O123" i="2"/>
  <c r="M123" i="2"/>
  <c r="N123" i="2" s="1"/>
  <c r="U123" i="2" s="1"/>
  <c r="O120" i="2"/>
  <c r="Q120" i="2" s="1"/>
  <c r="M120" i="2"/>
  <c r="O118" i="2"/>
  <c r="M118" i="2"/>
  <c r="O117" i="2"/>
  <c r="Q117" i="2" s="1"/>
  <c r="M117" i="2"/>
  <c r="O111" i="2"/>
  <c r="Q111" i="2" s="1"/>
  <c r="M111" i="2"/>
  <c r="O113" i="2"/>
  <c r="Q113" i="2" s="1"/>
  <c r="M113" i="2"/>
  <c r="O109" i="2"/>
  <c r="P109" i="2" s="1"/>
  <c r="M109" i="2"/>
  <c r="O110" i="2"/>
  <c r="M110" i="2"/>
  <c r="O107" i="2"/>
  <c r="M107" i="2"/>
  <c r="O98" i="2"/>
  <c r="Q98" i="2" s="1"/>
  <c r="M98" i="2"/>
  <c r="O95" i="2"/>
  <c r="M95" i="2"/>
  <c r="O96" i="2"/>
  <c r="M96" i="2"/>
  <c r="O92" i="2"/>
  <c r="M92" i="2"/>
  <c r="O91" i="2"/>
  <c r="Q91" i="2" s="1"/>
  <c r="M91" i="2"/>
  <c r="O90" i="2"/>
  <c r="M90" i="2"/>
  <c r="O89" i="2"/>
  <c r="M89" i="2"/>
  <c r="O86" i="2"/>
  <c r="M86" i="2"/>
  <c r="O87" i="2"/>
  <c r="Q87" i="2" s="1"/>
  <c r="M87" i="2"/>
  <c r="O84" i="2"/>
  <c r="M84" i="2"/>
  <c r="O80" i="2"/>
  <c r="M80" i="2"/>
  <c r="O77" i="2"/>
  <c r="M77" i="2"/>
  <c r="O78" i="2"/>
  <c r="Q78" i="2" s="1"/>
  <c r="M78" i="2"/>
  <c r="O73" i="2"/>
  <c r="M73" i="2"/>
  <c r="O72" i="2"/>
  <c r="M72" i="2"/>
  <c r="O70" i="2"/>
  <c r="M70" i="2"/>
  <c r="O69" i="2"/>
  <c r="Q69" i="2" s="1"/>
  <c r="M69" i="2"/>
  <c r="O68" i="2"/>
  <c r="M68" i="2"/>
  <c r="O66" i="2"/>
  <c r="M66" i="2"/>
  <c r="O64" i="2"/>
  <c r="M64" i="2"/>
  <c r="O62" i="2"/>
  <c r="Q62" i="2" s="1"/>
  <c r="M62" i="2"/>
  <c r="O65" i="2"/>
  <c r="M65" i="2"/>
  <c r="O63" i="2"/>
  <c r="M63" i="2"/>
  <c r="O61" i="2"/>
  <c r="M61" i="2"/>
  <c r="O60" i="2"/>
  <c r="P60" i="2" s="1"/>
  <c r="M60" i="2"/>
  <c r="O59" i="2"/>
  <c r="M59" i="2"/>
  <c r="O56" i="2"/>
  <c r="M56" i="2"/>
  <c r="O55" i="2"/>
  <c r="M55" i="2"/>
  <c r="O51" i="2"/>
  <c r="M51" i="2"/>
  <c r="O52" i="2"/>
  <c r="M52" i="2"/>
  <c r="O49" i="2"/>
  <c r="P49" i="2" s="1"/>
  <c r="M49" i="2"/>
  <c r="O48" i="2"/>
  <c r="M48" i="2"/>
  <c r="O47" i="2"/>
  <c r="M47" i="2"/>
  <c r="O45" i="2"/>
  <c r="M45" i="2"/>
  <c r="O44" i="2"/>
  <c r="P44" i="2" s="1"/>
  <c r="M44" i="2"/>
  <c r="O41" i="2"/>
  <c r="M41" i="2"/>
  <c r="O39" i="2"/>
  <c r="M39" i="2"/>
  <c r="O38" i="2"/>
  <c r="M38" i="2"/>
  <c r="O37" i="2"/>
  <c r="M37" i="2"/>
  <c r="O35" i="2"/>
  <c r="M35" i="2"/>
  <c r="O31" i="2"/>
  <c r="P31" i="2" s="1"/>
  <c r="M31" i="2"/>
  <c r="O32" i="2"/>
  <c r="M32" i="2"/>
  <c r="O30" i="2"/>
  <c r="P30" i="2" s="1"/>
  <c r="M30" i="2"/>
  <c r="O28" i="2"/>
  <c r="M28" i="2"/>
  <c r="O27" i="2"/>
  <c r="M27" i="2"/>
  <c r="O26" i="2"/>
  <c r="M26" i="2"/>
  <c r="O25" i="2"/>
  <c r="P25" i="2" s="1"/>
  <c r="M25" i="2"/>
  <c r="O24" i="2"/>
  <c r="P24" i="2" s="1"/>
  <c r="M24" i="2"/>
  <c r="O23" i="2"/>
  <c r="M23" i="2"/>
  <c r="O21" i="2"/>
  <c r="P21" i="2" s="1"/>
  <c r="M21" i="2"/>
  <c r="O20" i="2"/>
  <c r="M20" i="2"/>
  <c r="O18" i="2"/>
  <c r="Q18" i="2" s="1"/>
  <c r="R18" i="2" s="1"/>
  <c r="S18" i="2" s="1"/>
  <c r="M18" i="2"/>
  <c r="O17" i="2"/>
  <c r="P17" i="2" s="1"/>
  <c r="M17" i="2"/>
  <c r="O653" i="2"/>
  <c r="P653" i="2" s="1"/>
  <c r="M653" i="2"/>
  <c r="O652" i="2"/>
  <c r="P652" i="2" s="1"/>
  <c r="M652" i="2"/>
  <c r="O651" i="2"/>
  <c r="P651" i="2" s="1"/>
  <c r="M651" i="2"/>
  <c r="O648" i="2"/>
  <c r="M648" i="2"/>
  <c r="O647" i="2"/>
  <c r="P647" i="2" s="1"/>
  <c r="M647" i="2"/>
  <c r="O646" i="2"/>
  <c r="M646" i="2"/>
  <c r="O643" i="2"/>
  <c r="P643" i="2" s="1"/>
  <c r="M643" i="2"/>
  <c r="O640" i="2"/>
  <c r="P640" i="2" s="1"/>
  <c r="M640" i="2"/>
  <c r="O639" i="2"/>
  <c r="P639" i="2" s="1"/>
  <c r="M639" i="2"/>
  <c r="O637" i="2"/>
  <c r="M637" i="2"/>
  <c r="O636" i="2"/>
  <c r="P636" i="2" s="1"/>
  <c r="M636" i="2"/>
  <c r="O635" i="2"/>
  <c r="M635" i="2"/>
  <c r="O634" i="2"/>
  <c r="M634" i="2"/>
  <c r="O633" i="2"/>
  <c r="M633" i="2"/>
  <c r="O13" i="2"/>
  <c r="M13" i="2"/>
  <c r="O645" i="2"/>
  <c r="P645" i="2" s="1"/>
  <c r="M645" i="2"/>
  <c r="O630" i="2"/>
  <c r="Q630" i="2" s="1"/>
  <c r="R630" i="2" s="1"/>
  <c r="S630" i="2" s="1"/>
  <c r="M630" i="2"/>
  <c r="O628" i="2"/>
  <c r="Q628" i="2" s="1"/>
  <c r="R628" i="2" s="1"/>
  <c r="S628" i="2" s="1"/>
  <c r="T628" i="2" s="1"/>
  <c r="Y628" i="2" s="1"/>
  <c r="Z628" i="2" s="1"/>
  <c r="M628" i="2"/>
  <c r="O626" i="2"/>
  <c r="M626" i="2"/>
  <c r="O622" i="2"/>
  <c r="M622" i="2"/>
  <c r="O624" i="2"/>
  <c r="Q624" i="2" s="1"/>
  <c r="M624" i="2"/>
  <c r="O620" i="2"/>
  <c r="M620" i="2"/>
  <c r="O621" i="2"/>
  <c r="M621" i="2"/>
  <c r="O618" i="2"/>
  <c r="M618" i="2"/>
  <c r="O617" i="2"/>
  <c r="M617" i="2"/>
  <c r="O616" i="2"/>
  <c r="M616" i="2"/>
  <c r="N616" i="2" s="1"/>
  <c r="U616" i="2" s="1"/>
  <c r="O615" i="2"/>
  <c r="M615" i="2"/>
  <c r="O614" i="2"/>
  <c r="M614" i="2"/>
  <c r="O613" i="2"/>
  <c r="Q613" i="2" s="1"/>
  <c r="M613" i="2"/>
  <c r="O611" i="2"/>
  <c r="M611" i="2"/>
  <c r="O610" i="2"/>
  <c r="M610" i="2"/>
  <c r="O609" i="2"/>
  <c r="M609" i="2"/>
  <c r="O608" i="2"/>
  <c r="M608" i="2"/>
  <c r="O607" i="2"/>
  <c r="M607" i="2"/>
  <c r="O603" i="2"/>
  <c r="M603" i="2"/>
  <c r="O602" i="2"/>
  <c r="M602" i="2"/>
  <c r="O600" i="2"/>
  <c r="M600" i="2"/>
  <c r="O601" i="2"/>
  <c r="P601" i="2" s="1"/>
  <c r="M601" i="2"/>
  <c r="O598" i="2"/>
  <c r="M598" i="2"/>
  <c r="O599" i="2"/>
  <c r="M599" i="2"/>
  <c r="O596" i="2"/>
  <c r="M596" i="2"/>
  <c r="O595" i="2"/>
  <c r="P595" i="2" s="1"/>
  <c r="M595" i="2"/>
  <c r="O593" i="2"/>
  <c r="M593" i="2"/>
  <c r="O594" i="2"/>
  <c r="M594" i="2"/>
  <c r="O592" i="2"/>
  <c r="M592" i="2"/>
  <c r="O590" i="2"/>
  <c r="M590" i="2"/>
  <c r="O588" i="2"/>
  <c r="M588" i="2"/>
  <c r="O585" i="2"/>
  <c r="M585" i="2"/>
  <c r="O583" i="2"/>
  <c r="M583" i="2"/>
  <c r="O581" i="2"/>
  <c r="P581" i="2" s="1"/>
  <c r="M581" i="2"/>
  <c r="O580" i="2"/>
  <c r="P580" i="2" s="1"/>
  <c r="M580" i="2"/>
  <c r="O577" i="2"/>
  <c r="P577" i="2" s="1"/>
  <c r="M577" i="2"/>
  <c r="O579" i="2"/>
  <c r="P579" i="2" s="1"/>
  <c r="M579" i="2"/>
  <c r="O576" i="2"/>
  <c r="P576" i="2" s="1"/>
  <c r="M576" i="2"/>
  <c r="O574" i="2"/>
  <c r="M574" i="2"/>
  <c r="O571" i="2"/>
  <c r="M571" i="2"/>
  <c r="O567" i="2"/>
  <c r="M567" i="2"/>
  <c r="O569" i="2"/>
  <c r="P569" i="2" s="1"/>
  <c r="M569" i="2"/>
  <c r="O562" i="2"/>
  <c r="M562" i="2"/>
  <c r="O556" i="2"/>
  <c r="P556" i="2" s="1"/>
  <c r="M556" i="2"/>
  <c r="O559" i="2"/>
  <c r="M559" i="2"/>
  <c r="O560" i="2"/>
  <c r="P560" i="2" s="1"/>
  <c r="M560" i="2"/>
  <c r="O561" i="2"/>
  <c r="M561" i="2"/>
  <c r="O553" i="2"/>
  <c r="P553" i="2" s="1"/>
  <c r="M553" i="2"/>
  <c r="O558" i="2"/>
  <c r="M558" i="2"/>
  <c r="O557" i="2"/>
  <c r="M557" i="2"/>
  <c r="O555" i="2"/>
  <c r="M555" i="2"/>
  <c r="O550" i="2"/>
  <c r="P550" i="2" s="1"/>
  <c r="M550" i="2"/>
  <c r="O549" i="2"/>
  <c r="M549" i="2"/>
  <c r="O551" i="2"/>
  <c r="M551" i="2"/>
  <c r="O548" i="2"/>
  <c r="M548" i="2"/>
  <c r="O537" i="2"/>
  <c r="M537" i="2"/>
  <c r="O536" i="2"/>
  <c r="P536" i="2" s="1"/>
  <c r="M536" i="2"/>
  <c r="O535" i="2"/>
  <c r="M535" i="2"/>
  <c r="O532" i="2"/>
  <c r="P532" i="2" s="1"/>
  <c r="M532" i="2"/>
  <c r="O534" i="2"/>
  <c r="M534" i="2"/>
  <c r="O531" i="2"/>
  <c r="P531" i="2" s="1"/>
  <c r="M531" i="2"/>
  <c r="O530" i="2"/>
  <c r="M530" i="2"/>
  <c r="AB11" i="2"/>
  <c r="O908" i="2"/>
  <c r="Q908" i="2" s="1"/>
  <c r="M908" i="2"/>
  <c r="AC908" i="2" s="1"/>
  <c r="O566" i="2"/>
  <c r="P566" i="2" s="1"/>
  <c r="M566" i="2"/>
  <c r="O563" i="2"/>
  <c r="Q563" i="2" s="1"/>
  <c r="M563" i="2"/>
  <c r="O546" i="2"/>
  <c r="P546" i="2" s="1"/>
  <c r="M546" i="2"/>
  <c r="O547" i="2"/>
  <c r="P547" i="2" s="1"/>
  <c r="M547" i="2"/>
  <c r="O540" i="2"/>
  <c r="P540" i="2" s="1"/>
  <c r="M540" i="2"/>
  <c r="O542" i="2"/>
  <c r="P542" i="2" s="1"/>
  <c r="M542" i="2"/>
  <c r="O541" i="2"/>
  <c r="P541" i="2" s="1"/>
  <c r="M541" i="2"/>
  <c r="O533" i="2"/>
  <c r="P533" i="2" s="1"/>
  <c r="M533" i="2"/>
  <c r="AB6" i="2"/>
  <c r="AB7" i="2" s="1"/>
  <c r="AB10" i="2" s="1"/>
  <c r="O232" i="2"/>
  <c r="P232" i="2" s="1"/>
  <c r="O233" i="2"/>
  <c r="P233" i="2" s="1"/>
  <c r="O632" i="2"/>
  <c r="Q632" i="2" s="1"/>
  <c r="R632" i="2" s="1"/>
  <c r="S632" i="2" s="1"/>
  <c r="T632" i="2" s="1"/>
  <c r="Y632" i="2" s="1"/>
  <c r="M632" i="2"/>
  <c r="M233" i="2"/>
  <c r="M232" i="2"/>
  <c r="M5" i="1"/>
  <c r="J5" i="1"/>
  <c r="G5" i="1"/>
  <c r="H5" i="1" s="1"/>
  <c r="AB29" i="2" l="1"/>
  <c r="AC29" i="2" s="1"/>
  <c r="V29" i="2"/>
  <c r="W29" i="2" s="1"/>
  <c r="P29" i="2"/>
  <c r="V50" i="2"/>
  <c r="W50" i="2" s="1"/>
  <c r="R29" i="2"/>
  <c r="S29" i="2" s="1"/>
  <c r="T29" i="2" s="1"/>
  <c r="Y29" i="2" s="1"/>
  <c r="Z29" i="2" s="1"/>
  <c r="V43" i="2"/>
  <c r="W43" i="2" s="1"/>
  <c r="P43" i="2"/>
  <c r="R43" i="2"/>
  <c r="S43" i="2" s="1"/>
  <c r="T43" i="2" s="1"/>
  <c r="Y43" i="2" s="1"/>
  <c r="Z43" i="2" s="1"/>
  <c r="V67" i="2"/>
  <c r="W67" i="2" s="1"/>
  <c r="Q50" i="2"/>
  <c r="R50" i="2" s="1"/>
  <c r="S50" i="2" s="1"/>
  <c r="T50" i="2" s="1"/>
  <c r="Y50" i="2" s="1"/>
  <c r="Z50" i="2" s="1"/>
  <c r="AB50" i="2"/>
  <c r="AC50" i="2" s="1"/>
  <c r="AB43" i="2"/>
  <c r="AC43" i="2" s="1"/>
  <c r="P67" i="2"/>
  <c r="R67" i="2"/>
  <c r="S67" i="2" s="1"/>
  <c r="T67" i="2" s="1"/>
  <c r="Y67" i="2" s="1"/>
  <c r="Z67" i="2" s="1"/>
  <c r="V253" i="2"/>
  <c r="W253" i="2" s="1"/>
  <c r="P235" i="2"/>
  <c r="V235" i="2"/>
  <c r="W235" i="2" s="1"/>
  <c r="AB67" i="2"/>
  <c r="AC67" i="2" s="1"/>
  <c r="AB409" i="2"/>
  <c r="AC409" i="2" s="1"/>
  <c r="R235" i="2"/>
  <c r="S235" i="2" s="1"/>
  <c r="T235" i="2" s="1"/>
  <c r="Y235" i="2" s="1"/>
  <c r="Z235" i="2" s="1"/>
  <c r="P253" i="2"/>
  <c r="AB235" i="2"/>
  <c r="AC235" i="2" s="1"/>
  <c r="R253" i="2"/>
  <c r="S253" i="2" s="1"/>
  <c r="T253" i="2" s="1"/>
  <c r="Y253" i="2" s="1"/>
  <c r="Z253" i="2" s="1"/>
  <c r="V289" i="2"/>
  <c r="W289" i="2" s="1"/>
  <c r="P289" i="2"/>
  <c r="AB253" i="2"/>
  <c r="AC253" i="2" s="1"/>
  <c r="R289" i="2"/>
  <c r="S289" i="2" s="1"/>
  <c r="T289" i="2" s="1"/>
  <c r="Y289" i="2" s="1"/>
  <c r="Z289" i="2" s="1"/>
  <c r="V385" i="2"/>
  <c r="W385" i="2" s="1"/>
  <c r="V394" i="2"/>
  <c r="W394" i="2" s="1"/>
  <c r="P385" i="2"/>
  <c r="AB289" i="2"/>
  <c r="AC289" i="2" s="1"/>
  <c r="R385" i="2"/>
  <c r="S385" i="2" s="1"/>
  <c r="T385" i="2" s="1"/>
  <c r="Y385" i="2" s="1"/>
  <c r="Z385" i="2" s="1"/>
  <c r="V409" i="2"/>
  <c r="W409" i="2" s="1"/>
  <c r="Q394" i="2"/>
  <c r="R394" i="2" s="1"/>
  <c r="S394" i="2" s="1"/>
  <c r="T394" i="2" s="1"/>
  <c r="Y394" i="2" s="1"/>
  <c r="Z394" i="2" s="1"/>
  <c r="AB385" i="2"/>
  <c r="AC385" i="2" s="1"/>
  <c r="Q409" i="2"/>
  <c r="R409" i="2" s="1"/>
  <c r="S409" i="2" s="1"/>
  <c r="T409" i="2" s="1"/>
  <c r="Y409" i="2" s="1"/>
  <c r="Z409" i="2" s="1"/>
  <c r="AB394" i="2"/>
  <c r="AC394" i="2" s="1"/>
  <c r="P868" i="2"/>
  <c r="P431" i="2"/>
  <c r="N696" i="2"/>
  <c r="Q705" i="2"/>
  <c r="R705" i="2" s="1"/>
  <c r="S705" i="2" s="1"/>
  <c r="W745" i="2"/>
  <c r="Q900" i="2"/>
  <c r="R900" i="2" s="1"/>
  <c r="S900" i="2" s="1"/>
  <c r="T900" i="2" s="1"/>
  <c r="Y900" i="2" s="1"/>
  <c r="Z900" i="2" s="1"/>
  <c r="Q677" i="2"/>
  <c r="R677" i="2" s="1"/>
  <c r="S677" i="2" s="1"/>
  <c r="Q815" i="2"/>
  <c r="R815" i="2" s="1"/>
  <c r="S815" i="2" s="1"/>
  <c r="T815" i="2" s="1"/>
  <c r="Y815" i="2" s="1"/>
  <c r="Z815" i="2" s="1"/>
  <c r="Q860" i="2"/>
  <c r="R860" i="2" s="1"/>
  <c r="S860" i="2" s="1"/>
  <c r="T860" i="2" s="1"/>
  <c r="Y860" i="2" s="1"/>
  <c r="Z860" i="2" s="1"/>
  <c r="Q765" i="2"/>
  <c r="R765" i="2" s="1"/>
  <c r="S765" i="2" s="1"/>
  <c r="T765" i="2" s="1"/>
  <c r="Y765" i="2" s="1"/>
  <c r="Z765" i="2" s="1"/>
  <c r="W859" i="2"/>
  <c r="Q906" i="2"/>
  <c r="R906" i="2" s="1"/>
  <c r="S906" i="2" s="1"/>
  <c r="T906" i="2" s="1"/>
  <c r="Y906" i="2" s="1"/>
  <c r="Z906" i="2" s="1"/>
  <c r="N774" i="2"/>
  <c r="P781" i="2"/>
  <c r="N808" i="2"/>
  <c r="N813" i="2"/>
  <c r="N816" i="2"/>
  <c r="N863" i="2"/>
  <c r="N674" i="2"/>
  <c r="AC775" i="2"/>
  <c r="AC782" i="2"/>
  <c r="Q795" i="2"/>
  <c r="R795" i="2" s="1"/>
  <c r="S795" i="2" s="1"/>
  <c r="T795" i="2" s="1"/>
  <c r="Y795" i="2" s="1"/>
  <c r="Z795" i="2" s="1"/>
  <c r="N823" i="2"/>
  <c r="N824" i="2"/>
  <c r="N825" i="2"/>
  <c r="AC774" i="2"/>
  <c r="Q661" i="2"/>
  <c r="R661" i="2" s="1"/>
  <c r="S661" i="2" s="1"/>
  <c r="T661" i="2" s="1"/>
  <c r="Y661" i="2" s="1"/>
  <c r="Z661" i="2" s="1"/>
  <c r="W674" i="2"/>
  <c r="AC823" i="2"/>
  <c r="Q833" i="2"/>
  <c r="R833" i="2" s="1"/>
  <c r="S833" i="2" s="1"/>
  <c r="P880" i="2"/>
  <c r="Q60" i="2"/>
  <c r="R60" i="2" s="1"/>
  <c r="S60" i="2" s="1"/>
  <c r="T60" i="2" s="1"/>
  <c r="Y60" i="2" s="1"/>
  <c r="Z60" i="2" s="1"/>
  <c r="Q291" i="2"/>
  <c r="R291" i="2" s="1"/>
  <c r="S291" i="2" s="1"/>
  <c r="Q687" i="2"/>
  <c r="R687" i="2" s="1"/>
  <c r="S687" i="2" s="1"/>
  <c r="T687" i="2" s="1"/>
  <c r="Y687" i="2" s="1"/>
  <c r="Z687" i="2" s="1"/>
  <c r="N714" i="2"/>
  <c r="P739" i="2"/>
  <c r="N743" i="2"/>
  <c r="W753" i="2"/>
  <c r="N772" i="2"/>
  <c r="N800" i="2"/>
  <c r="Q801" i="2"/>
  <c r="R801" i="2" s="1"/>
  <c r="S801" i="2" s="1"/>
  <c r="T801" i="2" s="1"/>
  <c r="Y801" i="2" s="1"/>
  <c r="Z801" i="2" s="1"/>
  <c r="N16" i="2"/>
  <c r="U16" i="2" s="1"/>
  <c r="P348" i="2"/>
  <c r="W686" i="2"/>
  <c r="N753" i="2"/>
  <c r="N809" i="2"/>
  <c r="Q819" i="2"/>
  <c r="R819" i="2" s="1"/>
  <c r="S819" i="2" s="1"/>
  <c r="T819" i="2" s="1"/>
  <c r="Y819" i="2" s="1"/>
  <c r="Z819" i="2" s="1"/>
  <c r="Q116" i="2"/>
  <c r="R116" i="2" s="1"/>
  <c r="S116" i="2" s="1"/>
  <c r="T116" i="2" s="1"/>
  <c r="Y116" i="2" s="1"/>
  <c r="Z116" i="2" s="1"/>
  <c r="P436" i="2"/>
  <c r="P413" i="2"/>
  <c r="Q669" i="2"/>
  <c r="R669" i="2" s="1"/>
  <c r="S669" i="2" s="1"/>
  <c r="T669" i="2" s="1"/>
  <c r="Y669" i="2" s="1"/>
  <c r="Z669" i="2" s="1"/>
  <c r="N692" i="2"/>
  <c r="P707" i="2"/>
  <c r="Q715" i="2"/>
  <c r="R715" i="2" s="1"/>
  <c r="S715" i="2" s="1"/>
  <c r="T715" i="2" s="1"/>
  <c r="Y715" i="2" s="1"/>
  <c r="Z715" i="2" s="1"/>
  <c r="Q725" i="2"/>
  <c r="R725" i="2" s="1"/>
  <c r="S725" i="2" s="1"/>
  <c r="Q773" i="2"/>
  <c r="R773" i="2" s="1"/>
  <c r="S773" i="2" s="1"/>
  <c r="T773" i="2" s="1"/>
  <c r="Y773" i="2" s="1"/>
  <c r="Z773" i="2" s="1"/>
  <c r="N787" i="2"/>
  <c r="P799" i="2"/>
  <c r="N802" i="2"/>
  <c r="W808" i="2"/>
  <c r="N831" i="2"/>
  <c r="N835" i="2"/>
  <c r="N838" i="2"/>
  <c r="N875" i="2"/>
  <c r="P878" i="2"/>
  <c r="P184" i="2"/>
  <c r="P231" i="2"/>
  <c r="P350" i="2"/>
  <c r="Q560" i="2"/>
  <c r="R560" i="2" s="1"/>
  <c r="S560" i="2" s="1"/>
  <c r="T560" i="2" s="1"/>
  <c r="Y560" i="2" s="1"/>
  <c r="Z560" i="2" s="1"/>
  <c r="Q391" i="2"/>
  <c r="R391" i="2" s="1"/>
  <c r="S391" i="2" s="1"/>
  <c r="T391" i="2" s="1"/>
  <c r="Y391" i="2" s="1"/>
  <c r="Z391" i="2" s="1"/>
  <c r="Q695" i="2"/>
  <c r="R695" i="2" s="1"/>
  <c r="S695" i="2" s="1"/>
  <c r="T695" i="2" s="1"/>
  <c r="Y695" i="2" s="1"/>
  <c r="Z695" i="2" s="1"/>
  <c r="W696" i="2"/>
  <c r="N698" i="2"/>
  <c r="P701" i="2"/>
  <c r="P717" i="2"/>
  <c r="P731" i="2"/>
  <c r="AC743" i="2"/>
  <c r="Q757" i="2"/>
  <c r="R757" i="2" s="1"/>
  <c r="S757" i="2" s="1"/>
  <c r="T757" i="2" s="1"/>
  <c r="Y757" i="2" s="1"/>
  <c r="Z757" i="2" s="1"/>
  <c r="AC772" i="2"/>
  <c r="W777" i="2"/>
  <c r="N782" i="2"/>
  <c r="N793" i="2"/>
  <c r="AC783" i="2"/>
  <c r="P835" i="2"/>
  <c r="Q874" i="2"/>
  <c r="R874" i="2" s="1"/>
  <c r="S874" i="2" s="1"/>
  <c r="Q892" i="2"/>
  <c r="R892" i="2" s="1"/>
  <c r="S892" i="2" s="1"/>
  <c r="T892" i="2" s="1"/>
  <c r="Y892" i="2" s="1"/>
  <c r="Z892" i="2" s="1"/>
  <c r="Q595" i="2"/>
  <c r="R595" i="2" s="1"/>
  <c r="S595" i="2" s="1"/>
  <c r="T595" i="2" s="1"/>
  <c r="Y595" i="2" s="1"/>
  <c r="Z595" i="2" s="1"/>
  <c r="P624" i="2"/>
  <c r="P62" i="2"/>
  <c r="Q138" i="2"/>
  <c r="R138" i="2" s="1"/>
  <c r="S138" i="2" s="1"/>
  <c r="T138" i="2" s="1"/>
  <c r="Y138" i="2" s="1"/>
  <c r="Z138" i="2" s="1"/>
  <c r="P354" i="2"/>
  <c r="Q521" i="2"/>
  <c r="R521" i="2" s="1"/>
  <c r="S521" i="2" s="1"/>
  <c r="T521" i="2" s="1"/>
  <c r="Y521" i="2" s="1"/>
  <c r="Z521" i="2" s="1"/>
  <c r="AC655" i="2"/>
  <c r="N660" i="2"/>
  <c r="N666" i="2"/>
  <c r="N668" i="2"/>
  <c r="Q675" i="2"/>
  <c r="R675" i="2" s="1"/>
  <c r="S675" i="2" s="1"/>
  <c r="N684" i="2"/>
  <c r="N690" i="2"/>
  <c r="P709" i="2"/>
  <c r="N712" i="2"/>
  <c r="W730" i="2"/>
  <c r="N761" i="2"/>
  <c r="P767" i="2"/>
  <c r="Q779" i="2"/>
  <c r="R779" i="2" s="1"/>
  <c r="S779" i="2" s="1"/>
  <c r="T779" i="2" s="1"/>
  <c r="Y779" i="2" s="1"/>
  <c r="Z779" i="2" s="1"/>
  <c r="AC780" i="2"/>
  <c r="N792" i="2"/>
  <c r="Q817" i="2"/>
  <c r="R817" i="2" s="1"/>
  <c r="S817" i="2" s="1"/>
  <c r="T817" i="2" s="1"/>
  <c r="Y817" i="2" s="1"/>
  <c r="Z817" i="2" s="1"/>
  <c r="N821" i="2"/>
  <c r="N827" i="2"/>
  <c r="N830" i="2"/>
  <c r="AC835" i="2"/>
  <c r="N837" i="2"/>
  <c r="P839" i="2"/>
  <c r="P840" i="2"/>
  <c r="Q845" i="2"/>
  <c r="R845" i="2" s="1"/>
  <c r="S845" i="2" s="1"/>
  <c r="Q853" i="2"/>
  <c r="R853" i="2" s="1"/>
  <c r="S853" i="2" s="1"/>
  <c r="P858" i="2"/>
  <c r="AC865" i="2"/>
  <c r="W879" i="2"/>
  <c r="Q251" i="2"/>
  <c r="R251" i="2" s="1"/>
  <c r="S251" i="2" s="1"/>
  <c r="T251" i="2" s="1"/>
  <c r="Y251" i="2" s="1"/>
  <c r="Z251" i="2" s="1"/>
  <c r="P202" i="2"/>
  <c r="N454" i="2"/>
  <c r="U454" i="2" s="1"/>
  <c r="Q192" i="2"/>
  <c r="R192" i="2" s="1"/>
  <c r="S192" i="2" s="1"/>
  <c r="P572" i="2"/>
  <c r="P280" i="2"/>
  <c r="Q85" i="2"/>
  <c r="R85" i="2" s="1"/>
  <c r="S85" i="2" s="1"/>
  <c r="T85" i="2" s="1"/>
  <c r="Y85" i="2" s="1"/>
  <c r="Z85" i="2" s="1"/>
  <c r="AC660" i="2"/>
  <c r="P665" i="2"/>
  <c r="W666" i="2"/>
  <c r="Q667" i="2"/>
  <c r="R667" i="2" s="1"/>
  <c r="S667" i="2" s="1"/>
  <c r="AC668" i="2"/>
  <c r="P681" i="2"/>
  <c r="Q737" i="2"/>
  <c r="R737" i="2" s="1"/>
  <c r="S737" i="2" s="1"/>
  <c r="T737" i="2" s="1"/>
  <c r="Y737" i="2" s="1"/>
  <c r="Z737" i="2" s="1"/>
  <c r="Q755" i="2"/>
  <c r="R755" i="2" s="1"/>
  <c r="S755" i="2" s="1"/>
  <c r="T755" i="2" s="1"/>
  <c r="Y755" i="2" s="1"/>
  <c r="Z755" i="2" s="1"/>
  <c r="Q763" i="2"/>
  <c r="R763" i="2" s="1"/>
  <c r="S763" i="2" s="1"/>
  <c r="T763" i="2" s="1"/>
  <c r="Y763" i="2" s="1"/>
  <c r="Z763" i="2" s="1"/>
  <c r="Q771" i="2"/>
  <c r="R771" i="2" s="1"/>
  <c r="S771" i="2" s="1"/>
  <c r="T771" i="2" s="1"/>
  <c r="Y771" i="2" s="1"/>
  <c r="Z771" i="2" s="1"/>
  <c r="P775" i="2"/>
  <c r="N780" i="2"/>
  <c r="P783" i="2"/>
  <c r="P785" i="2"/>
  <c r="N788" i="2"/>
  <c r="N794" i="2"/>
  <c r="Q811" i="2"/>
  <c r="R811" i="2" s="1"/>
  <c r="S811" i="2" s="1"/>
  <c r="T811" i="2" s="1"/>
  <c r="Y811" i="2" s="1"/>
  <c r="Z811" i="2" s="1"/>
  <c r="N817" i="2"/>
  <c r="P821" i="2"/>
  <c r="W869" i="2"/>
  <c r="N879" i="2"/>
  <c r="Q887" i="2"/>
  <c r="R887" i="2" s="1"/>
  <c r="S887" i="2" s="1"/>
  <c r="T887" i="2" s="1"/>
  <c r="Y887" i="2" s="1"/>
  <c r="Z887" i="2" s="1"/>
  <c r="V658" i="2"/>
  <c r="W658" i="2"/>
  <c r="P659" i="2"/>
  <c r="Q659" i="2"/>
  <c r="R659" i="2" s="1"/>
  <c r="S659" i="2" s="1"/>
  <c r="T659" i="2" s="1"/>
  <c r="Y659" i="2" s="1"/>
  <c r="Z659" i="2" s="1"/>
  <c r="V756" i="2"/>
  <c r="N756" i="2"/>
  <c r="V810" i="2"/>
  <c r="N810" i="2"/>
  <c r="V820" i="2"/>
  <c r="N820" i="2"/>
  <c r="V676" i="2"/>
  <c r="N676" i="2"/>
  <c r="W711" i="2"/>
  <c r="N711" i="2"/>
  <c r="V716" i="2"/>
  <c r="N716" i="2"/>
  <c r="V767" i="2"/>
  <c r="AC767" i="2"/>
  <c r="P131" i="2"/>
  <c r="P426" i="2"/>
  <c r="Q266" i="2"/>
  <c r="R266" i="2" s="1"/>
  <c r="S266" i="2" s="1"/>
  <c r="Q312" i="2"/>
  <c r="R312" i="2" s="1"/>
  <c r="S312" i="2" s="1"/>
  <c r="Q222" i="2"/>
  <c r="R222" i="2" s="1"/>
  <c r="S222" i="2" s="1"/>
  <c r="T222" i="2" s="1"/>
  <c r="Y222" i="2" s="1"/>
  <c r="Z222" i="2" s="1"/>
  <c r="P453" i="2"/>
  <c r="Q453" i="2"/>
  <c r="R453" i="2" s="1"/>
  <c r="S453" i="2" s="1"/>
  <c r="T453" i="2" s="1"/>
  <c r="Y453" i="2" s="1"/>
  <c r="Z453" i="2" s="1"/>
  <c r="N658" i="2"/>
  <c r="V682" i="2"/>
  <c r="N682" i="2"/>
  <c r="P693" i="2"/>
  <c r="W709" i="2"/>
  <c r="N709" i="2"/>
  <c r="Q721" i="2"/>
  <c r="R721" i="2" s="1"/>
  <c r="S721" i="2" s="1"/>
  <c r="T721" i="2" s="1"/>
  <c r="Y721" i="2" s="1"/>
  <c r="Z721" i="2" s="1"/>
  <c r="P721" i="2"/>
  <c r="W725" i="2"/>
  <c r="N725" i="2"/>
  <c r="P729" i="2"/>
  <c r="N735" i="2"/>
  <c r="V748" i="2"/>
  <c r="AC748" i="2"/>
  <c r="Q749" i="2"/>
  <c r="R749" i="2" s="1"/>
  <c r="S749" i="2" s="1"/>
  <c r="T749" i="2" s="1"/>
  <c r="Y749" i="2" s="1"/>
  <c r="Z749" i="2" s="1"/>
  <c r="P749" i="2"/>
  <c r="V759" i="2"/>
  <c r="AC759" i="2"/>
  <c r="V764" i="2"/>
  <c r="AC764" i="2"/>
  <c r="N764" i="2"/>
  <c r="V769" i="2"/>
  <c r="W769" i="2"/>
  <c r="N769" i="2"/>
  <c r="V818" i="2"/>
  <c r="N818" i="2"/>
  <c r="Q825" i="2"/>
  <c r="R825" i="2" s="1"/>
  <c r="S825" i="2" s="1"/>
  <c r="P825" i="2"/>
  <c r="Q831" i="2"/>
  <c r="R831" i="2" s="1"/>
  <c r="S831" i="2" s="1"/>
  <c r="P831" i="2"/>
  <c r="V834" i="2"/>
  <c r="N834" i="2"/>
  <c r="Q864" i="2"/>
  <c r="R864" i="2" s="1"/>
  <c r="S864" i="2" s="1"/>
  <c r="T864" i="2" s="1"/>
  <c r="Y864" i="2" s="1"/>
  <c r="Z864" i="2" s="1"/>
  <c r="P864" i="2"/>
  <c r="AC881" i="2"/>
  <c r="N881" i="2"/>
  <c r="P382" i="2"/>
  <c r="P470" i="2"/>
  <c r="P71" i="2"/>
  <c r="Q127" i="2"/>
  <c r="R127" i="2" s="1"/>
  <c r="S127" i="2" s="1"/>
  <c r="P127" i="2"/>
  <c r="W663" i="2"/>
  <c r="AC663" i="2"/>
  <c r="AC670" i="2"/>
  <c r="AC676" i="2"/>
  <c r="AC678" i="2"/>
  <c r="W678" i="2"/>
  <c r="P679" i="2"/>
  <c r="AC700" i="2"/>
  <c r="V708" i="2"/>
  <c r="N708" i="2"/>
  <c r="Q713" i="2"/>
  <c r="R713" i="2" s="1"/>
  <c r="S713" i="2" s="1"/>
  <c r="T713" i="2" s="1"/>
  <c r="Y713" i="2" s="1"/>
  <c r="Z713" i="2" s="1"/>
  <c r="P713" i="2"/>
  <c r="V722" i="2"/>
  <c r="W722" i="2"/>
  <c r="P723" i="2"/>
  <c r="N748" i="2"/>
  <c r="V750" i="2"/>
  <c r="W750" i="2"/>
  <c r="P751" i="2"/>
  <c r="AC756" i="2"/>
  <c r="V758" i="2"/>
  <c r="N758" i="2"/>
  <c r="V766" i="2"/>
  <c r="AC766" i="2"/>
  <c r="N766" i="2"/>
  <c r="P797" i="2"/>
  <c r="Q797" i="2"/>
  <c r="R797" i="2" s="1"/>
  <c r="S797" i="2" s="1"/>
  <c r="P837" i="2"/>
  <c r="Q837" i="2"/>
  <c r="R837" i="2" s="1"/>
  <c r="S837" i="2" s="1"/>
  <c r="V871" i="2"/>
  <c r="W871" i="2"/>
  <c r="N871" i="2"/>
  <c r="AB561" i="2"/>
  <c r="AC561" i="2" s="1"/>
  <c r="P518" i="2"/>
  <c r="Q518" i="2"/>
  <c r="R518" i="2" s="1"/>
  <c r="S518" i="2" s="1"/>
  <c r="Q663" i="2"/>
  <c r="R663" i="2" s="1"/>
  <c r="S663" i="2" s="1"/>
  <c r="T663" i="2" s="1"/>
  <c r="Y663" i="2" s="1"/>
  <c r="Z663" i="2" s="1"/>
  <c r="P663" i="2"/>
  <c r="W671" i="2"/>
  <c r="AC671" i="2"/>
  <c r="W682" i="2"/>
  <c r="Q685" i="2"/>
  <c r="R685" i="2" s="1"/>
  <c r="S685" i="2" s="1"/>
  <c r="T685" i="2" s="1"/>
  <c r="Y685" i="2" s="1"/>
  <c r="Z685" i="2" s="1"/>
  <c r="V688" i="2"/>
  <c r="W688" i="2"/>
  <c r="W703" i="2"/>
  <c r="N703" i="2"/>
  <c r="AC714" i="2"/>
  <c r="AC716" i="2"/>
  <c r="W727" i="2"/>
  <c r="N727" i="2"/>
  <c r="AC769" i="2"/>
  <c r="V771" i="2"/>
  <c r="N771" i="2"/>
  <c r="Q787" i="2"/>
  <c r="R787" i="2" s="1"/>
  <c r="S787" i="2" s="1"/>
  <c r="T787" i="2" s="1"/>
  <c r="Y787" i="2" s="1"/>
  <c r="Z787" i="2" s="1"/>
  <c r="P787" i="2"/>
  <c r="AC810" i="2"/>
  <c r="AC820" i="2"/>
  <c r="V832" i="2"/>
  <c r="W832" i="2"/>
  <c r="N832" i="2"/>
  <c r="P841" i="2"/>
  <c r="Q841" i="2"/>
  <c r="R841" i="2" s="1"/>
  <c r="S841" i="2" s="1"/>
  <c r="Q876" i="2"/>
  <c r="R876" i="2" s="1"/>
  <c r="S876" i="2" s="1"/>
  <c r="T876" i="2" s="1"/>
  <c r="Y876" i="2" s="1"/>
  <c r="Z876" i="2" s="1"/>
  <c r="P876" i="2"/>
  <c r="P896" i="2"/>
  <c r="Q896" i="2"/>
  <c r="R896" i="2" s="1"/>
  <c r="S896" i="2" s="1"/>
  <c r="T896" i="2" s="1"/>
  <c r="Y896" i="2" s="1"/>
  <c r="Z896" i="2" s="1"/>
  <c r="AC679" i="2"/>
  <c r="AC745" i="2"/>
  <c r="AC751" i="2"/>
  <c r="W761" i="2"/>
  <c r="AC777" i="2"/>
  <c r="W779" i="2"/>
  <c r="AC786" i="2"/>
  <c r="W792" i="2"/>
  <c r="AC794" i="2"/>
  <c r="W800" i="2"/>
  <c r="AC802" i="2"/>
  <c r="AC821" i="2"/>
  <c r="AC824" i="2"/>
  <c r="AC830" i="2"/>
  <c r="W835" i="2"/>
  <c r="N719" i="2"/>
  <c r="Q733" i="2"/>
  <c r="R733" i="2" s="1"/>
  <c r="S733" i="2" s="1"/>
  <c r="Q741" i="2"/>
  <c r="R741" i="2" s="1"/>
  <c r="S741" i="2" s="1"/>
  <c r="N745" i="2"/>
  <c r="Q747" i="2"/>
  <c r="R747" i="2" s="1"/>
  <c r="S747" i="2" s="1"/>
  <c r="T747" i="2" s="1"/>
  <c r="Y747" i="2" s="1"/>
  <c r="Z747" i="2" s="1"/>
  <c r="AC753" i="2"/>
  <c r="AC761" i="2"/>
  <c r="N777" i="2"/>
  <c r="N779" i="2"/>
  <c r="N786" i="2"/>
  <c r="W787" i="2"/>
  <c r="W788" i="2"/>
  <c r="W816" i="2"/>
  <c r="AC825" i="2"/>
  <c r="W827" i="2"/>
  <c r="AC837" i="2"/>
  <c r="N859" i="2"/>
  <c r="P862" i="2"/>
  <c r="W863" i="2"/>
  <c r="W875" i="2"/>
  <c r="AC817" i="2"/>
  <c r="AC827" i="2"/>
  <c r="AC838" i="2"/>
  <c r="Q167" i="2"/>
  <c r="R167" i="2" s="1"/>
  <c r="S167" i="2" s="1"/>
  <c r="T167" i="2" s="1"/>
  <c r="Y167" i="2" s="1"/>
  <c r="Z167" i="2" s="1"/>
  <c r="P375" i="2"/>
  <c r="Q481" i="2"/>
  <c r="R481" i="2" s="1"/>
  <c r="S481" i="2" s="1"/>
  <c r="T481" i="2" s="1"/>
  <c r="Y481" i="2" s="1"/>
  <c r="Z481" i="2" s="1"/>
  <c r="P268" i="2"/>
  <c r="P306" i="2"/>
  <c r="Q318" i="2"/>
  <c r="R318" i="2" s="1"/>
  <c r="S318" i="2" s="1"/>
  <c r="P449" i="2"/>
  <c r="P486" i="2"/>
  <c r="Q236" i="2"/>
  <c r="R236" i="2" s="1"/>
  <c r="S236" i="2" s="1"/>
  <c r="T236" i="2" s="1"/>
  <c r="Y236" i="2" s="1"/>
  <c r="Z236" i="2" s="1"/>
  <c r="Q186" i="2"/>
  <c r="R186" i="2" s="1"/>
  <c r="S186" i="2" s="1"/>
  <c r="T186" i="2" s="1"/>
  <c r="Y186" i="2" s="1"/>
  <c r="Z186" i="2" s="1"/>
  <c r="Q272" i="2"/>
  <c r="R272" i="2" s="1"/>
  <c r="S272" i="2" s="1"/>
  <c r="T272" i="2" s="1"/>
  <c r="Y272" i="2" s="1"/>
  <c r="Z272" i="2" s="1"/>
  <c r="Q564" i="2"/>
  <c r="R564" i="2" s="1"/>
  <c r="S564" i="2" s="1"/>
  <c r="T564" i="2" s="1"/>
  <c r="Y564" i="2" s="1"/>
  <c r="Z564" i="2" s="1"/>
  <c r="Q112" i="2"/>
  <c r="R112" i="2" s="1"/>
  <c r="S112" i="2" s="1"/>
  <c r="T112" i="2" s="1"/>
  <c r="Y112" i="2" s="1"/>
  <c r="Z112" i="2" s="1"/>
  <c r="Q447" i="2"/>
  <c r="R447" i="2" s="1"/>
  <c r="S447" i="2" s="1"/>
  <c r="T447" i="2" s="1"/>
  <c r="Y447" i="2" s="1"/>
  <c r="Z447" i="2" s="1"/>
  <c r="P260" i="2"/>
  <c r="Q575" i="2"/>
  <c r="R575" i="2" s="1"/>
  <c r="S575" i="2" s="1"/>
  <c r="T575" i="2" s="1"/>
  <c r="Y575" i="2" s="1"/>
  <c r="Z575" i="2" s="1"/>
  <c r="P98" i="2"/>
  <c r="Q109" i="2"/>
  <c r="R109" i="2" s="1"/>
  <c r="S109" i="2" s="1"/>
  <c r="T109" i="2" s="1"/>
  <c r="Y109" i="2" s="1"/>
  <c r="Z109" i="2" s="1"/>
  <c r="Q183" i="2"/>
  <c r="R183" i="2" s="1"/>
  <c r="S183" i="2" s="1"/>
  <c r="T183" i="2" s="1"/>
  <c r="Y183" i="2" s="1"/>
  <c r="Z183" i="2" s="1"/>
  <c r="Q165" i="2"/>
  <c r="R165" i="2" s="1"/>
  <c r="S165" i="2" s="1"/>
  <c r="P457" i="2"/>
  <c r="P204" i="2"/>
  <c r="P649" i="2"/>
  <c r="Q365" i="2"/>
  <c r="R365" i="2" s="1"/>
  <c r="S365" i="2" s="1"/>
  <c r="T365" i="2" s="1"/>
  <c r="Y365" i="2" s="1"/>
  <c r="Z365" i="2" s="1"/>
  <c r="P368" i="2"/>
  <c r="Q451" i="2"/>
  <c r="R451" i="2" s="1"/>
  <c r="S451" i="2" s="1"/>
  <c r="T451" i="2" s="1"/>
  <c r="Y451" i="2" s="1"/>
  <c r="Z451" i="2" s="1"/>
  <c r="Q504" i="2"/>
  <c r="R504" i="2" s="1"/>
  <c r="S504" i="2" s="1"/>
  <c r="T504" i="2" s="1"/>
  <c r="Y504" i="2" s="1"/>
  <c r="Z504" i="2" s="1"/>
  <c r="Q334" i="2"/>
  <c r="R334" i="2" s="1"/>
  <c r="S334" i="2" s="1"/>
  <c r="T334" i="2" s="1"/>
  <c r="Y334" i="2" s="1"/>
  <c r="Z334" i="2" s="1"/>
  <c r="Q471" i="2"/>
  <c r="R471" i="2" s="1"/>
  <c r="S471" i="2" s="1"/>
  <c r="P604" i="2"/>
  <c r="Q300" i="2"/>
  <c r="R300" i="2" s="1"/>
  <c r="S300" i="2" s="1"/>
  <c r="T300" i="2" s="1"/>
  <c r="Y300" i="2" s="1"/>
  <c r="Z300" i="2" s="1"/>
  <c r="Q487" i="2"/>
  <c r="R487" i="2" s="1"/>
  <c r="S487" i="2" s="1"/>
  <c r="T487" i="2" s="1"/>
  <c r="Y487" i="2" s="1"/>
  <c r="Z487" i="2" s="1"/>
  <c r="Q310" i="2"/>
  <c r="R310" i="2" s="1"/>
  <c r="S310" i="2" s="1"/>
  <c r="T310" i="2" s="1"/>
  <c r="Y310" i="2" s="1"/>
  <c r="Z310" i="2" s="1"/>
  <c r="V49" i="2"/>
  <c r="W49" i="2" s="1"/>
  <c r="V64" i="2"/>
  <c r="W64" i="2" s="1"/>
  <c r="V483" i="2"/>
  <c r="W483" i="2" s="1"/>
  <c r="V311" i="2"/>
  <c r="W311" i="2" s="1"/>
  <c r="V34" i="2"/>
  <c r="W34" i="2" s="1"/>
  <c r="V257" i="2"/>
  <c r="W257" i="2" s="1"/>
  <c r="N329" i="2"/>
  <c r="U329" i="2" s="1"/>
  <c r="V340" i="2"/>
  <c r="W340" i="2" s="1"/>
  <c r="V367" i="2"/>
  <c r="W367" i="2" s="1"/>
  <c r="V446" i="2"/>
  <c r="W446" i="2" s="1"/>
  <c r="V71" i="2"/>
  <c r="W71" i="2" s="1"/>
  <c r="V126" i="2"/>
  <c r="W126" i="2" s="1"/>
  <c r="V285" i="2"/>
  <c r="W285" i="2" s="1"/>
  <c r="Q691" i="2"/>
  <c r="R691" i="2" s="1"/>
  <c r="S691" i="2" s="1"/>
  <c r="T691" i="2" s="1"/>
  <c r="Y691" i="2" s="1"/>
  <c r="Z691" i="2" s="1"/>
  <c r="P691" i="2"/>
  <c r="V704" i="2"/>
  <c r="W704" i="2"/>
  <c r="Q777" i="2"/>
  <c r="R777" i="2" s="1"/>
  <c r="S777" i="2" s="1"/>
  <c r="T777" i="2" s="1"/>
  <c r="Y777" i="2" s="1"/>
  <c r="Z777" i="2" s="1"/>
  <c r="P777" i="2"/>
  <c r="P870" i="2"/>
  <c r="Q870" i="2"/>
  <c r="R870" i="2" s="1"/>
  <c r="S870" i="2" s="1"/>
  <c r="V550" i="2"/>
  <c r="W550" i="2" s="1"/>
  <c r="V557" i="2"/>
  <c r="W557" i="2" s="1"/>
  <c r="V613" i="2"/>
  <c r="W613" i="2" s="1"/>
  <c r="V615" i="2"/>
  <c r="W615" i="2" s="1"/>
  <c r="Q636" i="2"/>
  <c r="R636" i="2" s="1"/>
  <c r="S636" i="2" s="1"/>
  <c r="T636" i="2" s="1"/>
  <c r="Y636" i="2" s="1"/>
  <c r="Z636" i="2" s="1"/>
  <c r="Q44" i="2"/>
  <c r="R44" i="2" s="1"/>
  <c r="S44" i="2" s="1"/>
  <c r="T44" i="2" s="1"/>
  <c r="Y44" i="2" s="1"/>
  <c r="Z44" i="2" s="1"/>
  <c r="V77" i="2"/>
  <c r="W77" i="2" s="1"/>
  <c r="V86" i="2"/>
  <c r="W86" i="2" s="1"/>
  <c r="P91" i="2"/>
  <c r="V118" i="2"/>
  <c r="W118" i="2" s="1"/>
  <c r="V123" i="2"/>
  <c r="W123" i="2" s="1"/>
  <c r="P133" i="2"/>
  <c r="N183" i="2"/>
  <c r="U183" i="2" s="1"/>
  <c r="W183" i="2"/>
  <c r="Q181" i="2"/>
  <c r="R181" i="2" s="1"/>
  <c r="S181" i="2" s="1"/>
  <c r="T181" i="2" s="1"/>
  <c r="Y181" i="2" s="1"/>
  <c r="Z181" i="2" s="1"/>
  <c r="V220" i="2"/>
  <c r="W220" i="2" s="1"/>
  <c r="V108" i="2"/>
  <c r="W108" i="2" s="1"/>
  <c r="V154" i="2"/>
  <c r="W154" i="2" s="1"/>
  <c r="N203" i="2"/>
  <c r="U203" i="2" s="1"/>
  <c r="Q119" i="2"/>
  <c r="R119" i="2" s="1"/>
  <c r="S119" i="2" s="1"/>
  <c r="V152" i="2"/>
  <c r="W152" i="2" s="1"/>
  <c r="V187" i="2"/>
  <c r="W187" i="2" s="1"/>
  <c r="N128" i="2"/>
  <c r="U128" i="2" s="1"/>
  <c r="W128" i="2"/>
  <c r="Q234" i="2"/>
  <c r="R234" i="2" s="1"/>
  <c r="S234" i="2" s="1"/>
  <c r="V379" i="2"/>
  <c r="W379" i="2" s="1"/>
  <c r="P461" i="2"/>
  <c r="N457" i="2"/>
  <c r="U457" i="2" s="1"/>
  <c r="V443" i="2"/>
  <c r="W443" i="2" s="1"/>
  <c r="P278" i="2"/>
  <c r="W454" i="2"/>
  <c r="V517" i="2"/>
  <c r="W517" i="2" s="1"/>
  <c r="N496" i="2"/>
  <c r="U496" i="2" s="1"/>
  <c r="V207" i="2"/>
  <c r="W207" i="2" s="1"/>
  <c r="P223" i="2"/>
  <c r="V591" i="2"/>
  <c r="W591" i="2" s="1"/>
  <c r="Q519" i="2"/>
  <c r="R519" i="2" s="1"/>
  <c r="S519" i="2" s="1"/>
  <c r="T519" i="2" s="1"/>
  <c r="Y519" i="2" s="1"/>
  <c r="Z519" i="2" s="1"/>
  <c r="V455" i="2"/>
  <c r="W455" i="2" s="1"/>
  <c r="V104" i="2"/>
  <c r="W104" i="2" s="1"/>
  <c r="V543" i="2"/>
  <c r="W543" i="2" s="1"/>
  <c r="V573" i="2"/>
  <c r="W573" i="2" s="1"/>
  <c r="Q587" i="2"/>
  <c r="R587" i="2" s="1"/>
  <c r="S587" i="2" s="1"/>
  <c r="T587" i="2" s="1"/>
  <c r="Y587" i="2" s="1"/>
  <c r="Z587" i="2" s="1"/>
  <c r="N623" i="2"/>
  <c r="U623" i="2" s="1"/>
  <c r="N371" i="2"/>
  <c r="U371" i="2" s="1"/>
  <c r="V625" i="2"/>
  <c r="W625" i="2" s="1"/>
  <c r="V346" i="2"/>
  <c r="W346" i="2" s="1"/>
  <c r="Q347" i="2"/>
  <c r="R347" i="2" s="1"/>
  <c r="S347" i="2" s="1"/>
  <c r="P372" i="2"/>
  <c r="P376" i="2"/>
  <c r="N380" i="2"/>
  <c r="U380" i="2" s="1"/>
  <c r="W397" i="2"/>
  <c r="V400" i="2"/>
  <c r="W400" i="2" s="1"/>
  <c r="V402" i="2"/>
  <c r="W402" i="2" s="1"/>
  <c r="V406" i="2"/>
  <c r="W406" i="2" s="1"/>
  <c r="P412" i="2"/>
  <c r="N414" i="2"/>
  <c r="U414" i="2" s="1"/>
  <c r="N446" i="2"/>
  <c r="U446" i="2" s="1"/>
  <c r="P444" i="2"/>
  <c r="Q466" i="2"/>
  <c r="R466" i="2" s="1"/>
  <c r="S466" i="2" s="1"/>
  <c r="T466" i="2" s="1"/>
  <c r="Y466" i="2" s="1"/>
  <c r="Z466" i="2" s="1"/>
  <c r="N468" i="2"/>
  <c r="U468" i="2" s="1"/>
  <c r="P484" i="2"/>
  <c r="Q513" i="2"/>
  <c r="R513" i="2" s="1"/>
  <c r="S513" i="2" s="1"/>
  <c r="T513" i="2" s="1"/>
  <c r="Y513" i="2" s="1"/>
  <c r="Z513" i="2" s="1"/>
  <c r="V529" i="2"/>
  <c r="W529" i="2" s="1"/>
  <c r="Q261" i="2"/>
  <c r="R261" i="2" s="1"/>
  <c r="S261" i="2" s="1"/>
  <c r="P301" i="2"/>
  <c r="P323" i="2"/>
  <c r="Q393" i="2"/>
  <c r="R393" i="2" s="1"/>
  <c r="S393" i="2" s="1"/>
  <c r="N283" i="2"/>
  <c r="U283" i="2" s="1"/>
  <c r="P316" i="2"/>
  <c r="P597" i="2"/>
  <c r="Q76" i="2"/>
  <c r="R76" i="2" s="1"/>
  <c r="S76" i="2" s="1"/>
  <c r="V186" i="2"/>
  <c r="W186" i="2" s="1"/>
  <c r="P103" i="2"/>
  <c r="V222" i="2"/>
  <c r="W222" i="2" s="1"/>
  <c r="V255" i="2"/>
  <c r="W255" i="2" s="1"/>
  <c r="W281" i="2"/>
  <c r="P326" i="2"/>
  <c r="Q336" i="2"/>
  <c r="R336" i="2" s="1"/>
  <c r="S336" i="2" s="1"/>
  <c r="T336" i="2" s="1"/>
  <c r="Y336" i="2" s="1"/>
  <c r="Z336" i="2" s="1"/>
  <c r="Q476" i="2"/>
  <c r="R476" i="2" s="1"/>
  <c r="S476" i="2" s="1"/>
  <c r="T476" i="2" s="1"/>
  <c r="Y476" i="2" s="1"/>
  <c r="Z476" i="2" s="1"/>
  <c r="V582" i="2"/>
  <c r="W582" i="2" s="1"/>
  <c r="V352" i="2"/>
  <c r="W352" i="2" s="1"/>
  <c r="Q313" i="2"/>
  <c r="R313" i="2" s="1"/>
  <c r="S313" i="2" s="1"/>
  <c r="T313" i="2" s="1"/>
  <c r="Y313" i="2" s="1"/>
  <c r="Z313" i="2" s="1"/>
  <c r="P554" i="2"/>
  <c r="Q422" i="2"/>
  <c r="R422" i="2" s="1"/>
  <c r="S422" i="2" s="1"/>
  <c r="T422" i="2" s="1"/>
  <c r="Y422" i="2" s="1"/>
  <c r="Z422" i="2" s="1"/>
  <c r="Q240" i="2"/>
  <c r="R240" i="2" s="1"/>
  <c r="S240" i="2" s="1"/>
  <c r="T240" i="2" s="1"/>
  <c r="Y240" i="2" s="1"/>
  <c r="Z240" i="2" s="1"/>
  <c r="V656" i="2"/>
  <c r="AC656" i="2"/>
  <c r="N656" i="2"/>
  <c r="P671" i="2"/>
  <c r="P673" i="2"/>
  <c r="V692" i="2"/>
  <c r="W692" i="2"/>
  <c r="V694" i="2"/>
  <c r="N694" i="2"/>
  <c r="V700" i="2"/>
  <c r="W700" i="2"/>
  <c r="V702" i="2"/>
  <c r="AC702" i="2"/>
  <c r="N702" i="2"/>
  <c r="N704" i="2"/>
  <c r="N706" i="2"/>
  <c r="AC706" i="2"/>
  <c r="Q719" i="2"/>
  <c r="R719" i="2" s="1"/>
  <c r="S719" i="2" s="1"/>
  <c r="T719" i="2" s="1"/>
  <c r="Y719" i="2" s="1"/>
  <c r="Z719" i="2" s="1"/>
  <c r="P719" i="2"/>
  <c r="V728" i="2"/>
  <c r="W728" i="2"/>
  <c r="W729" i="2"/>
  <c r="AC729" i="2"/>
  <c r="V729" i="2"/>
  <c r="N729" i="2"/>
  <c r="AC730" i="2"/>
  <c r="V734" i="2"/>
  <c r="AC734" i="2"/>
  <c r="N734" i="2"/>
  <c r="N738" i="2"/>
  <c r="N741" i="2"/>
  <c r="V749" i="2"/>
  <c r="AC749" i="2"/>
  <c r="W749" i="2"/>
  <c r="N749" i="2"/>
  <c r="AC750" i="2"/>
  <c r="V765" i="2"/>
  <c r="AC765" i="2"/>
  <c r="W765" i="2"/>
  <c r="N765" i="2"/>
  <c r="V768" i="2"/>
  <c r="AC768" i="2"/>
  <c r="N768" i="2"/>
  <c r="Q789" i="2"/>
  <c r="R789" i="2" s="1"/>
  <c r="S789" i="2" s="1"/>
  <c r="T789" i="2" s="1"/>
  <c r="Y789" i="2" s="1"/>
  <c r="Z789" i="2" s="1"/>
  <c r="P789" i="2"/>
  <c r="V804" i="2"/>
  <c r="W804" i="2"/>
  <c r="AC804" i="2"/>
  <c r="N804" i="2"/>
  <c r="V806" i="2"/>
  <c r="AC806" i="2"/>
  <c r="N806" i="2"/>
  <c r="W806" i="2"/>
  <c r="V812" i="2"/>
  <c r="AC812" i="2"/>
  <c r="N812" i="2"/>
  <c r="W812" i="2"/>
  <c r="V839" i="2"/>
  <c r="AC839" i="2"/>
  <c r="W839" i="2"/>
  <c r="N839" i="2"/>
  <c r="V867" i="2"/>
  <c r="W867" i="2"/>
  <c r="N867" i="2"/>
  <c r="AC867" i="2"/>
  <c r="V47" i="2"/>
  <c r="W47" i="2" s="1"/>
  <c r="V70" i="2"/>
  <c r="W70" i="2" s="1"/>
  <c r="V238" i="2"/>
  <c r="W238" i="2" s="1"/>
  <c r="V138" i="2"/>
  <c r="W138" i="2" s="1"/>
  <c r="V188" i="2"/>
  <c r="W188" i="2" s="1"/>
  <c r="V612" i="2"/>
  <c r="W612" i="2" s="1"/>
  <c r="V356" i="2"/>
  <c r="W356" i="2" s="1"/>
  <c r="N390" i="2"/>
  <c r="U390" i="2" s="1"/>
  <c r="V232" i="2"/>
  <c r="W232" i="2" s="1"/>
  <c r="V632" i="2"/>
  <c r="W632" i="2" s="1"/>
  <c r="V585" i="2"/>
  <c r="W585" i="2" s="1"/>
  <c r="V594" i="2"/>
  <c r="W594" i="2" s="1"/>
  <c r="V595" i="2"/>
  <c r="W595" i="2" s="1"/>
  <c r="V617" i="2"/>
  <c r="W617" i="2" s="1"/>
  <c r="V621" i="2"/>
  <c r="W621" i="2" s="1"/>
  <c r="V624" i="2"/>
  <c r="W624" i="2" s="1"/>
  <c r="V21" i="2"/>
  <c r="W21" i="2" s="1"/>
  <c r="V92" i="2"/>
  <c r="W92" i="2" s="1"/>
  <c r="V122" i="2"/>
  <c r="W122" i="2" s="1"/>
  <c r="V134" i="2"/>
  <c r="W134" i="2" s="1"/>
  <c r="V137" i="2"/>
  <c r="W137" i="2" s="1"/>
  <c r="V141" i="2"/>
  <c r="W141" i="2" s="1"/>
  <c r="V145" i="2"/>
  <c r="W145" i="2" s="1"/>
  <c r="V143" i="2"/>
  <c r="W143" i="2" s="1"/>
  <c r="V148" i="2"/>
  <c r="W148" i="2" s="1"/>
  <c r="V155" i="2"/>
  <c r="W155" i="2" s="1"/>
  <c r="V163" i="2"/>
  <c r="W163" i="2" s="1"/>
  <c r="V193" i="2"/>
  <c r="W193" i="2" s="1"/>
  <c r="V198" i="2"/>
  <c r="W198" i="2" s="1"/>
  <c r="V256" i="2"/>
  <c r="W256" i="2" s="1"/>
  <c r="V175" i="2"/>
  <c r="W175" i="2" s="1"/>
  <c r="V477" i="2"/>
  <c r="W477" i="2" s="1"/>
  <c r="V500" i="2"/>
  <c r="W500" i="2" s="1"/>
  <c r="N40" i="2"/>
  <c r="U40" i="2" s="1"/>
  <c r="N627" i="2"/>
  <c r="U627" i="2" s="1"/>
  <c r="V642" i="2"/>
  <c r="W642" i="2" s="1"/>
  <c r="V619" i="2"/>
  <c r="W619" i="2" s="1"/>
  <c r="V584" i="2"/>
  <c r="W584" i="2" s="1"/>
  <c r="V328" i="2"/>
  <c r="W328" i="2" s="1"/>
  <c r="V329" i="2"/>
  <c r="W329" i="2" s="1"/>
  <c r="N341" i="2"/>
  <c r="U341" i="2" s="1"/>
  <c r="N349" i="2"/>
  <c r="U349" i="2" s="1"/>
  <c r="V386" i="2"/>
  <c r="W386" i="2" s="1"/>
  <c r="V434" i="2"/>
  <c r="W434" i="2" s="1"/>
  <c r="N438" i="2"/>
  <c r="U438" i="2" s="1"/>
  <c r="V504" i="2"/>
  <c r="W504" i="2" s="1"/>
  <c r="W604" i="2"/>
  <c r="W127" i="2"/>
  <c r="W413" i="2"/>
  <c r="V97" i="2"/>
  <c r="W97" i="2" s="1"/>
  <c r="V300" i="2"/>
  <c r="W300" i="2" s="1"/>
  <c r="V381" i="2"/>
  <c r="W381" i="2" s="1"/>
  <c r="P105" i="2"/>
  <c r="Q105" i="2"/>
  <c r="R105" i="2" s="1"/>
  <c r="S105" i="2" s="1"/>
  <c r="T105" i="2" s="1"/>
  <c r="Y105" i="2" s="1"/>
  <c r="Z105" i="2" s="1"/>
  <c r="V324" i="2"/>
  <c r="W324" i="2" s="1"/>
  <c r="N286" i="2"/>
  <c r="U286" i="2" s="1"/>
  <c r="V287" i="2"/>
  <c r="W287" i="2" s="1"/>
  <c r="W675" i="2"/>
  <c r="AC675" i="2"/>
  <c r="V675" i="2"/>
  <c r="V678" i="2"/>
  <c r="N678" i="2"/>
  <c r="V680" i="2"/>
  <c r="AC680" i="2"/>
  <c r="N680" i="2"/>
  <c r="Q683" i="2"/>
  <c r="R683" i="2" s="1"/>
  <c r="S683" i="2" s="1"/>
  <c r="T683" i="2" s="1"/>
  <c r="Y683" i="2" s="1"/>
  <c r="Z683" i="2" s="1"/>
  <c r="P683" i="2"/>
  <c r="V686" i="2"/>
  <c r="N686" i="2"/>
  <c r="Q711" i="2"/>
  <c r="R711" i="2" s="1"/>
  <c r="S711" i="2" s="1"/>
  <c r="T711" i="2" s="1"/>
  <c r="Y711" i="2" s="1"/>
  <c r="Z711" i="2" s="1"/>
  <c r="P711" i="2"/>
  <c r="V720" i="2"/>
  <c r="W720" i="2"/>
  <c r="W721" i="2"/>
  <c r="AC721" i="2"/>
  <c r="V721" i="2"/>
  <c r="N721" i="2"/>
  <c r="AC722" i="2"/>
  <c r="V726" i="2"/>
  <c r="AC726" i="2"/>
  <c r="N726" i="2"/>
  <c r="N728" i="2"/>
  <c r="N730" i="2"/>
  <c r="N733" i="2"/>
  <c r="Q743" i="2"/>
  <c r="R743" i="2" s="1"/>
  <c r="S743" i="2" s="1"/>
  <c r="T743" i="2" s="1"/>
  <c r="Y743" i="2" s="1"/>
  <c r="Z743" i="2" s="1"/>
  <c r="P743" i="2"/>
  <c r="Q745" i="2"/>
  <c r="R745" i="2" s="1"/>
  <c r="S745" i="2" s="1"/>
  <c r="T745" i="2" s="1"/>
  <c r="Y745" i="2" s="1"/>
  <c r="Z745" i="2" s="1"/>
  <c r="P745" i="2"/>
  <c r="N750" i="2"/>
  <c r="V752" i="2"/>
  <c r="AC752" i="2"/>
  <c r="N752" i="2"/>
  <c r="V755" i="2"/>
  <c r="AC755" i="2"/>
  <c r="W755" i="2"/>
  <c r="P759" i="2"/>
  <c r="Q761" i="2"/>
  <c r="R761" i="2" s="1"/>
  <c r="S761" i="2" s="1"/>
  <c r="T761" i="2" s="1"/>
  <c r="Y761" i="2" s="1"/>
  <c r="Z761" i="2" s="1"/>
  <c r="P761" i="2"/>
  <c r="V773" i="2"/>
  <c r="AC773" i="2"/>
  <c r="W773" i="2"/>
  <c r="N773" i="2"/>
  <c r="V776" i="2"/>
  <c r="AC776" i="2"/>
  <c r="N776" i="2"/>
  <c r="V790" i="2"/>
  <c r="AC790" i="2"/>
  <c r="N790" i="2"/>
  <c r="W790" i="2"/>
  <c r="V796" i="2"/>
  <c r="N796" i="2"/>
  <c r="AC796" i="2"/>
  <c r="W796" i="2"/>
  <c r="Q827" i="2"/>
  <c r="R827" i="2" s="1"/>
  <c r="S827" i="2" s="1"/>
  <c r="P827" i="2"/>
  <c r="V51" i="2"/>
  <c r="W51" i="2" s="1"/>
  <c r="V107" i="2"/>
  <c r="W107" i="2" s="1"/>
  <c r="V121" i="2"/>
  <c r="W121" i="2" s="1"/>
  <c r="V149" i="2"/>
  <c r="W149" i="2" s="1"/>
  <c r="V239" i="2"/>
  <c r="W239" i="2" s="1"/>
  <c r="V246" i="2"/>
  <c r="W246" i="2" s="1"/>
  <c r="N411" i="2"/>
  <c r="U411" i="2" s="1"/>
  <c r="V136" i="2"/>
  <c r="W136" i="2" s="1"/>
  <c r="V344" i="2"/>
  <c r="W344" i="2" s="1"/>
  <c r="V421" i="2"/>
  <c r="W421" i="2" s="1"/>
  <c r="V460" i="2"/>
  <c r="W460" i="2" s="1"/>
  <c r="V523" i="2"/>
  <c r="W523" i="2" s="1"/>
  <c r="V521" i="2"/>
  <c r="W521" i="2" s="1"/>
  <c r="N146" i="2"/>
  <c r="U146" i="2" s="1"/>
  <c r="V524" i="2"/>
  <c r="W524" i="2" s="1"/>
  <c r="V404" i="2"/>
  <c r="W404" i="2" s="1"/>
  <c r="V538" i="2"/>
  <c r="W538" i="2" s="1"/>
  <c r="W659" i="2"/>
  <c r="AC659" i="2"/>
  <c r="V659" i="2"/>
  <c r="V662" i="2"/>
  <c r="N662" i="2"/>
  <c r="V664" i="2"/>
  <c r="AC664" i="2"/>
  <c r="N664" i="2"/>
  <c r="Q699" i="2"/>
  <c r="R699" i="2" s="1"/>
  <c r="S699" i="2" s="1"/>
  <c r="T699" i="2" s="1"/>
  <c r="Y699" i="2" s="1"/>
  <c r="Z699" i="2" s="1"/>
  <c r="P699" i="2"/>
  <c r="W705" i="2"/>
  <c r="AC705" i="2"/>
  <c r="V705" i="2"/>
  <c r="N705" i="2"/>
  <c r="W706" i="2"/>
  <c r="V710" i="2"/>
  <c r="AC710" i="2"/>
  <c r="N710" i="2"/>
  <c r="Q727" i="2"/>
  <c r="R727" i="2" s="1"/>
  <c r="S727" i="2" s="1"/>
  <c r="T727" i="2" s="1"/>
  <c r="Y727" i="2" s="1"/>
  <c r="Z727" i="2" s="1"/>
  <c r="P727" i="2"/>
  <c r="V736" i="2"/>
  <c r="W736" i="2"/>
  <c r="W737" i="2"/>
  <c r="AC737" i="2"/>
  <c r="V737" i="2"/>
  <c r="N737" i="2"/>
  <c r="AC738" i="2"/>
  <c r="V742" i="2"/>
  <c r="AC742" i="2"/>
  <c r="N742" i="2"/>
  <c r="V744" i="2"/>
  <c r="AC744" i="2"/>
  <c r="N744" i="2"/>
  <c r="V747" i="2"/>
  <c r="AC747" i="2"/>
  <c r="W747" i="2"/>
  <c r="Q753" i="2"/>
  <c r="R753" i="2" s="1"/>
  <c r="S753" i="2" s="1"/>
  <c r="T753" i="2" s="1"/>
  <c r="Y753" i="2" s="1"/>
  <c r="Z753" i="2" s="1"/>
  <c r="P753" i="2"/>
  <c r="V760" i="2"/>
  <c r="AC760" i="2"/>
  <c r="N760" i="2"/>
  <c r="V763" i="2"/>
  <c r="AC763" i="2"/>
  <c r="W763" i="2"/>
  <c r="V233" i="2"/>
  <c r="W233" i="2" s="1"/>
  <c r="V599" i="2"/>
  <c r="W599" i="2" s="1"/>
  <c r="V602" i="2"/>
  <c r="W602" i="2" s="1"/>
  <c r="V607" i="2"/>
  <c r="W607" i="2" s="1"/>
  <c r="V609" i="2"/>
  <c r="W609" i="2" s="1"/>
  <c r="V616" i="2"/>
  <c r="W616" i="2" s="1"/>
  <c r="V626" i="2"/>
  <c r="W626" i="2" s="1"/>
  <c r="V630" i="2"/>
  <c r="W630" i="2" s="1"/>
  <c r="V636" i="2"/>
  <c r="W636" i="2" s="1"/>
  <c r="V23" i="2"/>
  <c r="W23" i="2" s="1"/>
  <c r="V25" i="2"/>
  <c r="W25" i="2" s="1"/>
  <c r="V27" i="2"/>
  <c r="W27" i="2" s="1"/>
  <c r="V31" i="2"/>
  <c r="W31" i="2" s="1"/>
  <c r="V37" i="2"/>
  <c r="W37" i="2" s="1"/>
  <c r="V39" i="2"/>
  <c r="W39" i="2" s="1"/>
  <c r="V61" i="2"/>
  <c r="W61" i="2" s="1"/>
  <c r="V117" i="2"/>
  <c r="W117" i="2" s="1"/>
  <c r="V157" i="2"/>
  <c r="W157" i="2" s="1"/>
  <c r="V174" i="2"/>
  <c r="W174" i="2" s="1"/>
  <c r="N181" i="2"/>
  <c r="U181" i="2" s="1"/>
  <c r="V208" i="2"/>
  <c r="W208" i="2" s="1"/>
  <c r="V209" i="2"/>
  <c r="W209" i="2" s="1"/>
  <c r="V217" i="2"/>
  <c r="W217" i="2" s="1"/>
  <c r="V251" i="2"/>
  <c r="W251" i="2" s="1"/>
  <c r="N58" i="2"/>
  <c r="U58" i="2" s="1"/>
  <c r="V119" i="2"/>
  <c r="W119" i="2" s="1"/>
  <c r="V185" i="2"/>
  <c r="W185" i="2" s="1"/>
  <c r="V165" i="2"/>
  <c r="W165" i="2" s="1"/>
  <c r="W199" i="2"/>
  <c r="N461" i="2"/>
  <c r="U461" i="2" s="1"/>
  <c r="V448" i="2"/>
  <c r="W448" i="2" s="1"/>
  <c r="V511" i="2"/>
  <c r="W511" i="2" s="1"/>
  <c r="N223" i="2"/>
  <c r="U223" i="2" s="1"/>
  <c r="V218" i="2"/>
  <c r="W218" i="2" s="1"/>
  <c r="W16" i="2"/>
  <c r="V19" i="2"/>
  <c r="W19" i="2" s="1"/>
  <c r="N383" i="2"/>
  <c r="U383" i="2" s="1"/>
  <c r="W54" i="2"/>
  <c r="V330" i="2"/>
  <c r="W330" i="2" s="1"/>
  <c r="Q333" i="2"/>
  <c r="R333" i="2" s="1"/>
  <c r="S333" i="2" s="1"/>
  <c r="T333" i="2" s="1"/>
  <c r="Y333" i="2" s="1"/>
  <c r="Z333" i="2" s="1"/>
  <c r="V387" i="2"/>
  <c r="W387" i="2" s="1"/>
  <c r="Q389" i="2"/>
  <c r="R389" i="2" s="1"/>
  <c r="S389" i="2" s="1"/>
  <c r="P364" i="2"/>
  <c r="V377" i="2"/>
  <c r="W377" i="2" s="1"/>
  <c r="P397" i="2"/>
  <c r="V415" i="2"/>
  <c r="W415" i="2" s="1"/>
  <c r="Q416" i="2"/>
  <c r="R416" i="2" s="1"/>
  <c r="S416" i="2" s="1"/>
  <c r="T416" i="2" s="1"/>
  <c r="Y416" i="2" s="1"/>
  <c r="Z416" i="2" s="1"/>
  <c r="V425" i="2"/>
  <c r="W425" i="2" s="1"/>
  <c r="V435" i="2"/>
  <c r="W435" i="2" s="1"/>
  <c r="V470" i="2"/>
  <c r="W470" i="2" s="1"/>
  <c r="V464" i="2"/>
  <c r="W464" i="2" s="1"/>
  <c r="N488" i="2"/>
  <c r="U488" i="2" s="1"/>
  <c r="V492" i="2"/>
  <c r="W492" i="2" s="1"/>
  <c r="V509" i="2"/>
  <c r="W509" i="2" s="1"/>
  <c r="V513" i="2"/>
  <c r="W513" i="2" s="1"/>
  <c r="P293" i="2"/>
  <c r="Q303" i="2"/>
  <c r="R303" i="2" s="1"/>
  <c r="S303" i="2" s="1"/>
  <c r="N332" i="2"/>
  <c r="U332" i="2" s="1"/>
  <c r="P177" i="2"/>
  <c r="V258" i="2"/>
  <c r="W258" i="2" s="1"/>
  <c r="N284" i="2"/>
  <c r="U284" i="2" s="1"/>
  <c r="Q259" i="2"/>
  <c r="R259" i="2" s="1"/>
  <c r="S259" i="2" s="1"/>
  <c r="T259" i="2" s="1"/>
  <c r="Y259" i="2" s="1"/>
  <c r="Z259" i="2" s="1"/>
  <c r="N97" i="2"/>
  <c r="U97" i="2" s="1"/>
  <c r="W103" i="2"/>
  <c r="V216" i="2"/>
  <c r="W216" i="2" s="1"/>
  <c r="N274" i="2"/>
  <c r="U274" i="2" s="1"/>
  <c r="V290" i="2"/>
  <c r="W290" i="2" s="1"/>
  <c r="W288" i="2"/>
  <c r="W326" i="2"/>
  <c r="V456" i="2"/>
  <c r="W456" i="2" s="1"/>
  <c r="V313" i="2"/>
  <c r="W313" i="2" s="1"/>
  <c r="N324" i="2"/>
  <c r="U324" i="2" s="1"/>
  <c r="Q339" i="2"/>
  <c r="R339" i="2" s="1"/>
  <c r="S339" i="2" s="1"/>
  <c r="P296" i="2"/>
  <c r="Q296" i="2"/>
  <c r="R296" i="2" s="1"/>
  <c r="S296" i="2" s="1"/>
  <c r="T296" i="2" s="1"/>
  <c r="Y296" i="2" s="1"/>
  <c r="Z296" i="2" s="1"/>
  <c r="V197" i="2"/>
  <c r="W197" i="2" s="1"/>
  <c r="N287" i="2"/>
  <c r="U287" i="2" s="1"/>
  <c r="P315" i="2"/>
  <c r="Q315" i="2"/>
  <c r="R315" i="2" s="1"/>
  <c r="S315" i="2" s="1"/>
  <c r="T315" i="2" s="1"/>
  <c r="Y315" i="2" s="1"/>
  <c r="Z315" i="2" s="1"/>
  <c r="P655" i="2"/>
  <c r="P657" i="2"/>
  <c r="AC662" i="2"/>
  <c r="W664" i="2"/>
  <c r="W667" i="2"/>
  <c r="AC667" i="2"/>
  <c r="V667" i="2"/>
  <c r="V670" i="2"/>
  <c r="N670" i="2"/>
  <c r="V672" i="2"/>
  <c r="AC672" i="2"/>
  <c r="N672" i="2"/>
  <c r="N675" i="2"/>
  <c r="V684" i="2"/>
  <c r="W684" i="2"/>
  <c r="P689" i="2"/>
  <c r="W694" i="2"/>
  <c r="P697" i="2"/>
  <c r="Q703" i="2"/>
  <c r="R703" i="2" s="1"/>
  <c r="S703" i="2" s="1"/>
  <c r="T703" i="2" s="1"/>
  <c r="Y703" i="2" s="1"/>
  <c r="Z703" i="2" s="1"/>
  <c r="P703" i="2"/>
  <c r="AC704" i="2"/>
  <c r="W710" i="2"/>
  <c r="V712" i="2"/>
  <c r="W712" i="2"/>
  <c r="W713" i="2"/>
  <c r="AC713" i="2"/>
  <c r="V713" i="2"/>
  <c r="N713" i="2"/>
  <c r="W714" i="2"/>
  <c r="N717" i="2"/>
  <c r="V718" i="2"/>
  <c r="AC718" i="2"/>
  <c r="N718" i="2"/>
  <c r="N720" i="2"/>
  <c r="N722" i="2"/>
  <c r="Q735" i="2"/>
  <c r="R735" i="2" s="1"/>
  <c r="S735" i="2" s="1"/>
  <c r="T735" i="2" s="1"/>
  <c r="Y735" i="2" s="1"/>
  <c r="Z735" i="2" s="1"/>
  <c r="P735" i="2"/>
  <c r="AC736" i="2"/>
  <c r="W738" i="2"/>
  <c r="W742" i="2"/>
  <c r="W744" i="2"/>
  <c r="N755" i="2"/>
  <c r="V757" i="2"/>
  <c r="AC757" i="2"/>
  <c r="W757" i="2"/>
  <c r="N757" i="2"/>
  <c r="AC758" i="2"/>
  <c r="W760" i="2"/>
  <c r="Q769" i="2"/>
  <c r="R769" i="2" s="1"/>
  <c r="S769" i="2" s="1"/>
  <c r="T769" i="2" s="1"/>
  <c r="Y769" i="2" s="1"/>
  <c r="Z769" i="2" s="1"/>
  <c r="P769" i="2"/>
  <c r="V781" i="2"/>
  <c r="AC781" i="2"/>
  <c r="W781" i="2"/>
  <c r="N781" i="2"/>
  <c r="V784" i="2"/>
  <c r="AC784" i="2"/>
  <c r="N784" i="2"/>
  <c r="V798" i="2"/>
  <c r="AC798" i="2"/>
  <c r="N798" i="2"/>
  <c r="W805" i="2"/>
  <c r="V805" i="2"/>
  <c r="N805" i="2"/>
  <c r="AC805" i="2"/>
  <c r="V822" i="2"/>
  <c r="AC822" i="2"/>
  <c r="N822" i="2"/>
  <c r="W822" i="2"/>
  <c r="V873" i="2"/>
  <c r="W873" i="2"/>
  <c r="AC873" i="2"/>
  <c r="N873" i="2"/>
  <c r="P888" i="2"/>
  <c r="Q888" i="2"/>
  <c r="R888" i="2" s="1"/>
  <c r="S888" i="2" s="1"/>
  <c r="T888" i="2" s="1"/>
  <c r="Y888" i="2" s="1"/>
  <c r="Z888" i="2" s="1"/>
  <c r="V320" i="2"/>
  <c r="W320" i="2" s="1"/>
  <c r="V327" i="2"/>
  <c r="W327" i="2" s="1"/>
  <c r="N254" i="2"/>
  <c r="U254" i="2" s="1"/>
  <c r="W493" i="2"/>
  <c r="V229" i="2"/>
  <c r="W229" i="2" s="1"/>
  <c r="N469" i="2"/>
  <c r="U469" i="2" s="1"/>
  <c r="V36" i="2"/>
  <c r="W36" i="2" s="1"/>
  <c r="N606" i="2"/>
  <c r="U606" i="2" s="1"/>
  <c r="AC688" i="2"/>
  <c r="W690" i="2"/>
  <c r="AC696" i="2"/>
  <c r="W698" i="2"/>
  <c r="W708" i="2"/>
  <c r="W716" i="2"/>
  <c r="W724" i="2"/>
  <c r="W732" i="2"/>
  <c r="W740" i="2"/>
  <c r="W746" i="2"/>
  <c r="W754" i="2"/>
  <c r="W762" i="2"/>
  <c r="W770" i="2"/>
  <c r="AC771" i="2"/>
  <c r="W778" i="2"/>
  <c r="AC779" i="2"/>
  <c r="P793" i="2"/>
  <c r="Q793" i="2"/>
  <c r="R793" i="2" s="1"/>
  <c r="S793" i="2" s="1"/>
  <c r="T793" i="2" s="1"/>
  <c r="Y793" i="2" s="1"/>
  <c r="Z793" i="2" s="1"/>
  <c r="P809" i="2"/>
  <c r="Q809" i="2"/>
  <c r="R809" i="2" s="1"/>
  <c r="S809" i="2" s="1"/>
  <c r="T809" i="2" s="1"/>
  <c r="Y809" i="2" s="1"/>
  <c r="Z809" i="2" s="1"/>
  <c r="P849" i="2"/>
  <c r="Q849" i="2"/>
  <c r="R849" i="2" s="1"/>
  <c r="S849" i="2" s="1"/>
  <c r="P857" i="2"/>
  <c r="Q857" i="2"/>
  <c r="R857" i="2" s="1"/>
  <c r="S857" i="2" s="1"/>
  <c r="V861" i="2"/>
  <c r="N861" i="2"/>
  <c r="AC861" i="2"/>
  <c r="V877" i="2"/>
  <c r="N877" i="2"/>
  <c r="AC877" i="2"/>
  <c r="W877" i="2"/>
  <c r="V545" i="2"/>
  <c r="W545" i="2" s="1"/>
  <c r="V578" i="2"/>
  <c r="W578" i="2" s="1"/>
  <c r="N22" i="2"/>
  <c r="U22" i="2" s="1"/>
  <c r="V270" i="2"/>
  <c r="N320" i="2"/>
  <c r="U320" i="2" s="1"/>
  <c r="Q522" i="2"/>
  <c r="R522" i="2" s="1"/>
  <c r="S522" i="2" s="1"/>
  <c r="T522" i="2" s="1"/>
  <c r="Y522" i="2" s="1"/>
  <c r="Z522" i="2" s="1"/>
  <c r="N327" i="2"/>
  <c r="U327" i="2" s="1"/>
  <c r="N310" i="2"/>
  <c r="U310" i="2" s="1"/>
  <c r="Q250" i="2"/>
  <c r="R250" i="2" s="1"/>
  <c r="S250" i="2" s="1"/>
  <c r="T250" i="2" s="1"/>
  <c r="Y250" i="2" s="1"/>
  <c r="Z250" i="2" s="1"/>
  <c r="N493" i="2"/>
  <c r="U493" i="2" s="1"/>
  <c r="N229" i="2"/>
  <c r="U229" i="2" s="1"/>
  <c r="V605" i="2"/>
  <c r="W605" i="2" s="1"/>
  <c r="N36" i="2"/>
  <c r="U36" i="2" s="1"/>
  <c r="N655" i="2"/>
  <c r="V655" i="2"/>
  <c r="AC658" i="2"/>
  <c r="W660" i="2"/>
  <c r="N663" i="2"/>
  <c r="V663" i="2"/>
  <c r="AC666" i="2"/>
  <c r="W668" i="2"/>
  <c r="N671" i="2"/>
  <c r="V671" i="2"/>
  <c r="AC674" i="2"/>
  <c r="W676" i="2"/>
  <c r="N679" i="2"/>
  <c r="V679" i="2"/>
  <c r="AC682" i="2"/>
  <c r="N688" i="2"/>
  <c r="AC690" i="2"/>
  <c r="AC698" i="2"/>
  <c r="N724" i="2"/>
  <c r="AC724" i="2"/>
  <c r="N732" i="2"/>
  <c r="AC732" i="2"/>
  <c r="N740" i="2"/>
  <c r="AC740" i="2"/>
  <c r="N746" i="2"/>
  <c r="AC746" i="2"/>
  <c r="W748" i="2"/>
  <c r="N751" i="2"/>
  <c r="W751" i="2"/>
  <c r="N754" i="2"/>
  <c r="AC754" i="2"/>
  <c r="W756" i="2"/>
  <c r="N759" i="2"/>
  <c r="W759" i="2"/>
  <c r="N762" i="2"/>
  <c r="AC762" i="2"/>
  <c r="W764" i="2"/>
  <c r="N767" i="2"/>
  <c r="W767" i="2"/>
  <c r="N770" i="2"/>
  <c r="AC770" i="2"/>
  <c r="W772" i="2"/>
  <c r="N775" i="2"/>
  <c r="W775" i="2"/>
  <c r="N778" i="2"/>
  <c r="AC778" i="2"/>
  <c r="W780" i="2"/>
  <c r="N783" i="2"/>
  <c r="W783" i="2"/>
  <c r="V785" i="2"/>
  <c r="W785" i="2"/>
  <c r="N785" i="2"/>
  <c r="AC785" i="2"/>
  <c r="AC788" i="2"/>
  <c r="P791" i="2"/>
  <c r="V793" i="2"/>
  <c r="W801" i="2"/>
  <c r="AC801" i="2"/>
  <c r="N801" i="2"/>
  <c r="Q805" i="2"/>
  <c r="R805" i="2" s="1"/>
  <c r="S805" i="2" s="1"/>
  <c r="P807" i="2"/>
  <c r="V809" i="2"/>
  <c r="Q813" i="2"/>
  <c r="R813" i="2" s="1"/>
  <c r="S813" i="2" s="1"/>
  <c r="P813" i="2"/>
  <c r="Q823" i="2"/>
  <c r="R823" i="2" s="1"/>
  <c r="S823" i="2" s="1"/>
  <c r="P823" i="2"/>
  <c r="V826" i="2"/>
  <c r="AC826" i="2"/>
  <c r="N826" i="2"/>
  <c r="V829" i="2"/>
  <c r="AC829" i="2"/>
  <c r="N829" i="2"/>
  <c r="P843" i="2"/>
  <c r="Q843" i="2"/>
  <c r="P851" i="2"/>
  <c r="Q851" i="2"/>
  <c r="R851" i="2" s="1"/>
  <c r="S851" i="2" s="1"/>
  <c r="P904" i="2"/>
  <c r="Q904" i="2"/>
  <c r="R904" i="2" s="1"/>
  <c r="S904" i="2" s="1"/>
  <c r="T904" i="2" s="1"/>
  <c r="Y904" i="2" s="1"/>
  <c r="Z904" i="2" s="1"/>
  <c r="W270" i="2"/>
  <c r="W766" i="2"/>
  <c r="W774" i="2"/>
  <c r="W782" i="2"/>
  <c r="W786" i="2"/>
  <c r="W789" i="2"/>
  <c r="V789" i="2"/>
  <c r="N789" i="2"/>
  <c r="AC789" i="2"/>
  <c r="AC793" i="2"/>
  <c r="P803" i="2"/>
  <c r="Q803" i="2"/>
  <c r="R803" i="2" s="1"/>
  <c r="S803" i="2" s="1"/>
  <c r="T803" i="2" s="1"/>
  <c r="Y803" i="2" s="1"/>
  <c r="Z803" i="2" s="1"/>
  <c r="AC809" i="2"/>
  <c r="V814" i="2"/>
  <c r="N814" i="2"/>
  <c r="W814" i="2"/>
  <c r="V828" i="2"/>
  <c r="AC828" i="2"/>
  <c r="N828" i="2"/>
  <c r="W828" i="2"/>
  <c r="P829" i="2"/>
  <c r="Q829" i="2"/>
  <c r="R829" i="2" s="1"/>
  <c r="S829" i="2" s="1"/>
  <c r="V833" i="2"/>
  <c r="W833" i="2"/>
  <c r="N833" i="2"/>
  <c r="AC833" i="2"/>
  <c r="W841" i="2"/>
  <c r="N841" i="2"/>
  <c r="P866" i="2"/>
  <c r="Q866" i="2"/>
  <c r="R866" i="2" s="1"/>
  <c r="S866" i="2" s="1"/>
  <c r="T866" i="2" s="1"/>
  <c r="Y866" i="2" s="1"/>
  <c r="Z866" i="2" s="1"/>
  <c r="P882" i="2"/>
  <c r="Q882" i="2"/>
  <c r="R882" i="2" s="1"/>
  <c r="S882" i="2" s="1"/>
  <c r="T882" i="2" s="1"/>
  <c r="Y882" i="2" s="1"/>
  <c r="Z882" i="2" s="1"/>
  <c r="W797" i="2"/>
  <c r="V797" i="2"/>
  <c r="N797" i="2"/>
  <c r="AC797" i="2"/>
  <c r="W820" i="2"/>
  <c r="V831" i="2"/>
  <c r="AC831" i="2"/>
  <c r="W834" i="2"/>
  <c r="V836" i="2"/>
  <c r="AC836" i="2"/>
  <c r="N836" i="2"/>
  <c r="W837" i="2"/>
  <c r="P847" i="2"/>
  <c r="Q847" i="2"/>
  <c r="R847" i="2" s="1"/>
  <c r="S847" i="2" s="1"/>
  <c r="AC859" i="2"/>
  <c r="V865" i="2"/>
  <c r="W865" i="2"/>
  <c r="V869" i="2"/>
  <c r="N869" i="2"/>
  <c r="W883" i="2"/>
  <c r="P898" i="2"/>
  <c r="Q898" i="2"/>
  <c r="R898" i="2" s="1"/>
  <c r="S898" i="2" s="1"/>
  <c r="T898" i="2" s="1"/>
  <c r="Y898" i="2" s="1"/>
  <c r="Z898" i="2" s="1"/>
  <c r="P894" i="2"/>
  <c r="Q894" i="2"/>
  <c r="R894" i="2" s="1"/>
  <c r="S894" i="2" s="1"/>
  <c r="T894" i="2" s="1"/>
  <c r="Y894" i="2" s="1"/>
  <c r="Z894" i="2" s="1"/>
  <c r="W815" i="2"/>
  <c r="N815" i="2"/>
  <c r="V817" i="2"/>
  <c r="W824" i="2"/>
  <c r="AC832" i="2"/>
  <c r="P855" i="2"/>
  <c r="Q855" i="2"/>
  <c r="R855" i="2" s="1"/>
  <c r="S855" i="2" s="1"/>
  <c r="P872" i="2"/>
  <c r="AC875" i="2"/>
  <c r="V881" i="2"/>
  <c r="W881" i="2"/>
  <c r="N883" i="2"/>
  <c r="Q902" i="2"/>
  <c r="R902" i="2" s="1"/>
  <c r="S902" i="2" s="1"/>
  <c r="T902" i="2" s="1"/>
  <c r="Y902" i="2" s="1"/>
  <c r="Z902" i="2" s="1"/>
  <c r="AC792" i="2"/>
  <c r="W794" i="2"/>
  <c r="AC800" i="2"/>
  <c r="W802" i="2"/>
  <c r="AC808" i="2"/>
  <c r="W810" i="2"/>
  <c r="AC816" i="2"/>
  <c r="W818" i="2"/>
  <c r="W830" i="2"/>
  <c r="W838" i="2"/>
  <c r="AC863" i="2"/>
  <c r="AC871" i="2"/>
  <c r="AC879" i="2"/>
  <c r="N205" i="2"/>
  <c r="U205" i="2" s="1"/>
  <c r="V170" i="2"/>
  <c r="W170" i="2" s="1"/>
  <c r="N170" i="2"/>
  <c r="U170" i="2" s="1"/>
  <c r="V195" i="2"/>
  <c r="W195" i="2" s="1"/>
  <c r="N195" i="2"/>
  <c r="U195" i="2" s="1"/>
  <c r="V125" i="2"/>
  <c r="W125" i="2" s="1"/>
  <c r="V14" i="2"/>
  <c r="W14" i="2" s="1"/>
  <c r="N231" i="2"/>
  <c r="U231" i="2" s="1"/>
  <c r="V374" i="2"/>
  <c r="W374" i="2" s="1"/>
  <c r="N374" i="2"/>
  <c r="U374" i="2" s="1"/>
  <c r="V641" i="2"/>
  <c r="W641" i="2" s="1"/>
  <c r="N641" i="2"/>
  <c r="U641" i="2" s="1"/>
  <c r="N369" i="2"/>
  <c r="U369" i="2" s="1"/>
  <c r="N396" i="2"/>
  <c r="U396" i="2" s="1"/>
  <c r="V423" i="2"/>
  <c r="W423" i="2" s="1"/>
  <c r="N423" i="2"/>
  <c r="U423" i="2" s="1"/>
  <c r="V210" i="2"/>
  <c r="W210" i="2" s="1"/>
  <c r="N210" i="2"/>
  <c r="U210" i="2" s="1"/>
  <c r="V53" i="2"/>
  <c r="W53" i="2" s="1"/>
  <c r="N53" i="2"/>
  <c r="U53" i="2" s="1"/>
  <c r="V403" i="2"/>
  <c r="W403" i="2" s="1"/>
  <c r="N403" i="2"/>
  <c r="U403" i="2" s="1"/>
  <c r="V568" i="2"/>
  <c r="W568" i="2" s="1"/>
  <c r="N568" i="2"/>
  <c r="U568" i="2" s="1"/>
  <c r="N237" i="2"/>
  <c r="U237" i="2" s="1"/>
  <c r="N86" i="2"/>
  <c r="U86" i="2" s="1"/>
  <c r="V132" i="2"/>
  <c r="W132" i="2" s="1"/>
  <c r="N143" i="2"/>
  <c r="U143" i="2" s="1"/>
  <c r="V150" i="2"/>
  <c r="W150" i="2" s="1"/>
  <c r="N150" i="2"/>
  <c r="U150" i="2" s="1"/>
  <c r="V159" i="2"/>
  <c r="W159" i="2" s="1"/>
  <c r="N191" i="2"/>
  <c r="U191" i="2" s="1"/>
  <c r="V12" i="2"/>
  <c r="W12" i="2" s="1"/>
  <c r="N125" i="2"/>
  <c r="U125" i="2" s="1"/>
  <c r="V237" i="2"/>
  <c r="W237" i="2" s="1"/>
  <c r="V654" i="2"/>
  <c r="W654" i="2" s="1"/>
  <c r="N136" i="2"/>
  <c r="U136" i="2" s="1"/>
  <c r="V358" i="2"/>
  <c r="W358" i="2" s="1"/>
  <c r="V363" i="2"/>
  <c r="W363" i="2" s="1"/>
  <c r="N363" i="2"/>
  <c r="U363" i="2" s="1"/>
  <c r="V475" i="2"/>
  <c r="W475" i="2" s="1"/>
  <c r="N475" i="2"/>
  <c r="U475" i="2" s="1"/>
  <c r="N628" i="2"/>
  <c r="U628" i="2" s="1"/>
  <c r="V130" i="2"/>
  <c r="W130" i="2" s="1"/>
  <c r="N130" i="2"/>
  <c r="U130" i="2" s="1"/>
  <c r="V156" i="2"/>
  <c r="W156" i="2" s="1"/>
  <c r="N156" i="2"/>
  <c r="U156" i="2" s="1"/>
  <c r="N631" i="2"/>
  <c r="U631" i="2" s="1"/>
  <c r="N572" i="2"/>
  <c r="U572" i="2" s="1"/>
  <c r="N357" i="2"/>
  <c r="U357" i="2" s="1"/>
  <c r="V357" i="2"/>
  <c r="W357" i="2" s="1"/>
  <c r="V370" i="2"/>
  <c r="W370" i="2" s="1"/>
  <c r="N132" i="2"/>
  <c r="U132" i="2" s="1"/>
  <c r="N159" i="2"/>
  <c r="U159" i="2" s="1"/>
  <c r="V176" i="2"/>
  <c r="W176" i="2" s="1"/>
  <c r="V189" i="2"/>
  <c r="W189" i="2" s="1"/>
  <c r="N189" i="2"/>
  <c r="U189" i="2" s="1"/>
  <c r="N192" i="2"/>
  <c r="U192" i="2" s="1"/>
  <c r="V192" i="2"/>
  <c r="W192" i="2" s="1"/>
  <c r="V200" i="2"/>
  <c r="W200" i="2" s="1"/>
  <c r="V378" i="2"/>
  <c r="W378" i="2" s="1"/>
  <c r="N378" i="2"/>
  <c r="U378" i="2" s="1"/>
  <c r="N654" i="2"/>
  <c r="U654" i="2" s="1"/>
  <c r="V15" i="2"/>
  <c r="W15" i="2" s="1"/>
  <c r="N15" i="2"/>
  <c r="U15" i="2" s="1"/>
  <c r="N342" i="2"/>
  <c r="U342" i="2" s="1"/>
  <c r="V361" i="2"/>
  <c r="W361" i="2" s="1"/>
  <c r="N361" i="2"/>
  <c r="U361" i="2" s="1"/>
  <c r="V417" i="2"/>
  <c r="W417" i="2" s="1"/>
  <c r="N417" i="2"/>
  <c r="U417" i="2" s="1"/>
  <c r="V384" i="2"/>
  <c r="W384" i="2" s="1"/>
  <c r="N384" i="2"/>
  <c r="U384" i="2" s="1"/>
  <c r="V83" i="2"/>
  <c r="W83" i="2" s="1"/>
  <c r="N83" i="2"/>
  <c r="U83" i="2" s="1"/>
  <c r="V539" i="2"/>
  <c r="W539" i="2" s="1"/>
  <c r="N539" i="2"/>
  <c r="U539" i="2" s="1"/>
  <c r="V100" i="2"/>
  <c r="W100" i="2" s="1"/>
  <c r="N100" i="2"/>
  <c r="U100" i="2" s="1"/>
  <c r="V294" i="2"/>
  <c r="W294" i="2" s="1"/>
  <c r="N294" i="2"/>
  <c r="U294" i="2" s="1"/>
  <c r="V322" i="2"/>
  <c r="W322" i="2" s="1"/>
  <c r="N322" i="2"/>
  <c r="U322" i="2" s="1"/>
  <c r="V439" i="2"/>
  <c r="W439" i="2" s="1"/>
  <c r="N439" i="2"/>
  <c r="U439" i="2" s="1"/>
  <c r="N644" i="2"/>
  <c r="U644" i="2" s="1"/>
  <c r="V228" i="2"/>
  <c r="W228" i="2" s="1"/>
  <c r="N228" i="2"/>
  <c r="U228" i="2" s="1"/>
  <c r="V317" i="2"/>
  <c r="W317" i="2" s="1"/>
  <c r="V244" i="2"/>
  <c r="W244" i="2" s="1"/>
  <c r="N244" i="2"/>
  <c r="U244" i="2" s="1"/>
  <c r="V507" i="2"/>
  <c r="W507" i="2" s="1"/>
  <c r="N507" i="2"/>
  <c r="U507" i="2" s="1"/>
  <c r="V437" i="2"/>
  <c r="W437" i="2" s="1"/>
  <c r="N437" i="2"/>
  <c r="U437" i="2" s="1"/>
  <c r="N401" i="2"/>
  <c r="U401" i="2" s="1"/>
  <c r="V494" i="2"/>
  <c r="W494" i="2" s="1"/>
  <c r="V265" i="2"/>
  <c r="W265" i="2" s="1"/>
  <c r="N265" i="2"/>
  <c r="U265" i="2" s="1"/>
  <c r="V292" i="2"/>
  <c r="W292" i="2" s="1"/>
  <c r="N292" i="2"/>
  <c r="U292" i="2" s="1"/>
  <c r="V304" i="2"/>
  <c r="W304" i="2" s="1"/>
  <c r="N304" i="2"/>
  <c r="U304" i="2" s="1"/>
  <c r="V319" i="2"/>
  <c r="W319" i="2" s="1"/>
  <c r="N319" i="2"/>
  <c r="U319" i="2" s="1"/>
  <c r="V410" i="2"/>
  <c r="W410" i="2" s="1"/>
  <c r="N410" i="2"/>
  <c r="U410" i="2" s="1"/>
  <c r="V46" i="2"/>
  <c r="W46" i="2" s="1"/>
  <c r="N46" i="2"/>
  <c r="U46" i="2" s="1"/>
  <c r="V565" i="2"/>
  <c r="W565" i="2" s="1"/>
  <c r="N565" i="2"/>
  <c r="U565" i="2" s="1"/>
  <c r="N126" i="2"/>
  <c r="U126" i="2" s="1"/>
  <c r="N290" i="2"/>
  <c r="U290" i="2" s="1"/>
  <c r="V263" i="2"/>
  <c r="W263" i="2" s="1"/>
  <c r="N313" i="2"/>
  <c r="U313" i="2" s="1"/>
  <c r="V297" i="2"/>
  <c r="W297" i="2" s="1"/>
  <c r="N297" i="2"/>
  <c r="U297" i="2" s="1"/>
  <c r="V522" i="2"/>
  <c r="W522" i="2" s="1"/>
  <c r="N317" i="2"/>
  <c r="U317" i="2" s="1"/>
  <c r="V399" i="2"/>
  <c r="W399" i="2" s="1"/>
  <c r="N399" i="2"/>
  <c r="U399" i="2" s="1"/>
  <c r="N418" i="2"/>
  <c r="U418" i="2" s="1"/>
  <c r="V420" i="2"/>
  <c r="W420" i="2" s="1"/>
  <c r="V267" i="2"/>
  <c r="W267" i="2" s="1"/>
  <c r="N267" i="2"/>
  <c r="U267" i="2" s="1"/>
  <c r="V305" i="2"/>
  <c r="W305" i="2" s="1"/>
  <c r="N305" i="2"/>
  <c r="U305" i="2" s="1"/>
  <c r="V196" i="2"/>
  <c r="W196" i="2" s="1"/>
  <c r="N196" i="2"/>
  <c r="U196" i="2" s="1"/>
  <c r="N420" i="2"/>
  <c r="U420" i="2" s="1"/>
  <c r="N70" i="2"/>
  <c r="U70" i="2" s="1"/>
  <c r="N92" i="2"/>
  <c r="U92" i="2" s="1"/>
  <c r="N111" i="2"/>
  <c r="U111" i="2" s="1"/>
  <c r="N148" i="2"/>
  <c r="U148" i="2" s="1"/>
  <c r="N169" i="2"/>
  <c r="U169" i="2" s="1"/>
  <c r="N194" i="2"/>
  <c r="U194" i="2" s="1"/>
  <c r="N455" i="2"/>
  <c r="U455" i="2" s="1"/>
  <c r="N328" i="2"/>
  <c r="U328" i="2" s="1"/>
  <c r="N340" i="2"/>
  <c r="U340" i="2" s="1"/>
  <c r="N344" i="2"/>
  <c r="U344" i="2" s="1"/>
  <c r="N386" i="2"/>
  <c r="U386" i="2" s="1"/>
  <c r="N400" i="2"/>
  <c r="U400" i="2" s="1"/>
  <c r="V419" i="2"/>
  <c r="W419" i="2" s="1"/>
  <c r="V429" i="2"/>
  <c r="W429" i="2" s="1"/>
  <c r="V262" i="2"/>
  <c r="W262" i="2" s="1"/>
  <c r="N262" i="2"/>
  <c r="U262" i="2" s="1"/>
  <c r="V271" i="2"/>
  <c r="W271" i="2" s="1"/>
  <c r="V282" i="2"/>
  <c r="W282" i="2" s="1"/>
  <c r="N282" i="2"/>
  <c r="U282" i="2" s="1"/>
  <c r="V299" i="2"/>
  <c r="W299" i="2" s="1"/>
  <c r="V302" i="2"/>
  <c r="W302" i="2" s="1"/>
  <c r="N302" i="2"/>
  <c r="U302" i="2" s="1"/>
  <c r="V308" i="2"/>
  <c r="W308" i="2" s="1"/>
  <c r="V314" i="2"/>
  <c r="W314" i="2" s="1"/>
  <c r="N314" i="2"/>
  <c r="U314" i="2" s="1"/>
  <c r="V332" i="2"/>
  <c r="W332" i="2" s="1"/>
  <c r="V373" i="2"/>
  <c r="W373" i="2" s="1"/>
  <c r="N373" i="2"/>
  <c r="U373" i="2" s="1"/>
  <c r="V442" i="2"/>
  <c r="W442" i="2" s="1"/>
  <c r="V452" i="2"/>
  <c r="W452" i="2" s="1"/>
  <c r="N452" i="2"/>
  <c r="U452" i="2" s="1"/>
  <c r="V283" i="2"/>
  <c r="W283" i="2" s="1"/>
  <c r="V355" i="2"/>
  <c r="W355" i="2" s="1"/>
  <c r="N355" i="2"/>
  <c r="U355" i="2" s="1"/>
  <c r="V472" i="2"/>
  <c r="W472" i="2" s="1"/>
  <c r="V506" i="2"/>
  <c r="W506" i="2" s="1"/>
  <c r="N506" i="2"/>
  <c r="U506" i="2" s="1"/>
  <c r="N101" i="2"/>
  <c r="U101" i="2" s="1"/>
  <c r="V101" i="2"/>
  <c r="W101" i="2" s="1"/>
  <c r="V284" i="2"/>
  <c r="W284" i="2" s="1"/>
  <c r="V430" i="2"/>
  <c r="W430" i="2" s="1"/>
  <c r="N430" i="2"/>
  <c r="U430" i="2" s="1"/>
  <c r="V224" i="2"/>
  <c r="W224" i="2" s="1"/>
  <c r="V249" i="2"/>
  <c r="W249" i="2" s="1"/>
  <c r="N249" i="2"/>
  <c r="U249" i="2" s="1"/>
  <c r="N263" i="2"/>
  <c r="U263" i="2" s="1"/>
  <c r="V353" i="2"/>
  <c r="W353" i="2" s="1"/>
  <c r="N353" i="2"/>
  <c r="U353" i="2" s="1"/>
  <c r="N522" i="2"/>
  <c r="U522" i="2" s="1"/>
  <c r="V502" i="2"/>
  <c r="W502" i="2" s="1"/>
  <c r="N502" i="2"/>
  <c r="U502" i="2" s="1"/>
  <c r="V315" i="2"/>
  <c r="W315" i="2" s="1"/>
  <c r="V274" i="2"/>
  <c r="W274" i="2" s="1"/>
  <c r="V296" i="2"/>
  <c r="W296" i="2" s="1"/>
  <c r="V310" i="2"/>
  <c r="W310" i="2" s="1"/>
  <c r="N285" i="2"/>
  <c r="U285" i="2" s="1"/>
  <c r="N216" i="2"/>
  <c r="U216" i="2" s="1"/>
  <c r="N288" i="2"/>
  <c r="U288" i="2" s="1"/>
  <c r="N391" i="2"/>
  <c r="U391" i="2" s="1"/>
  <c r="V391" i="2"/>
  <c r="W391" i="2" s="1"/>
  <c r="N538" i="2"/>
  <c r="U538" i="2" s="1"/>
  <c r="Q532" i="2"/>
  <c r="R532" i="2" s="1"/>
  <c r="S532" i="2" s="1"/>
  <c r="T532" i="2" s="1"/>
  <c r="Y532" i="2" s="1"/>
  <c r="Z532" i="2" s="1"/>
  <c r="Q577" i="2"/>
  <c r="R577" i="2" s="1"/>
  <c r="S577" i="2" s="1"/>
  <c r="T577" i="2" s="1"/>
  <c r="Y577" i="2" s="1"/>
  <c r="Z577" i="2" s="1"/>
  <c r="Q17" i="2"/>
  <c r="R17" i="2" s="1"/>
  <c r="S17" i="2" s="1"/>
  <c r="T17" i="2" s="1"/>
  <c r="Y17" i="2" s="1"/>
  <c r="Z17" i="2" s="1"/>
  <c r="Q49" i="2"/>
  <c r="R49" i="2" s="1"/>
  <c r="S49" i="2" s="1"/>
  <c r="T49" i="2" s="1"/>
  <c r="Y49" i="2" s="1"/>
  <c r="Z49" i="2" s="1"/>
  <c r="P69" i="2"/>
  <c r="P121" i="2"/>
  <c r="Q135" i="2"/>
  <c r="R135" i="2" s="1"/>
  <c r="S135" i="2" s="1"/>
  <c r="P149" i="2"/>
  <c r="P151" i="2"/>
  <c r="P158" i="2"/>
  <c r="P178" i="2"/>
  <c r="Q242" i="2"/>
  <c r="R242" i="2" s="1"/>
  <c r="S242" i="2" s="1"/>
  <c r="T242" i="2" s="1"/>
  <c r="Y242" i="2" s="1"/>
  <c r="Z242" i="2" s="1"/>
  <c r="P40" i="2"/>
  <c r="P54" i="2"/>
  <c r="P503" i="2"/>
  <c r="P612" i="2"/>
  <c r="Q343" i="2"/>
  <c r="R343" i="2" s="1"/>
  <c r="S343" i="2" s="1"/>
  <c r="P362" i="2"/>
  <c r="P380" i="2"/>
  <c r="P392" i="2"/>
  <c r="P414" i="2"/>
  <c r="P428" i="2"/>
  <c r="Q479" i="2"/>
  <c r="R479" i="2" s="1"/>
  <c r="S479" i="2" s="1"/>
  <c r="T479" i="2" s="1"/>
  <c r="Y479" i="2" s="1"/>
  <c r="Z479" i="2" s="1"/>
  <c r="P269" i="2"/>
  <c r="P298" i="2"/>
  <c r="P307" i="2"/>
  <c r="P325" i="2"/>
  <c r="P445" i="2"/>
  <c r="P206" i="2"/>
  <c r="P467" i="2"/>
  <c r="Q101" i="2"/>
  <c r="R101" i="2" s="1"/>
  <c r="S101" i="2" s="1"/>
  <c r="T101" i="2" s="1"/>
  <c r="Y101" i="2" s="1"/>
  <c r="Z101" i="2" s="1"/>
  <c r="P284" i="2"/>
  <c r="P146" i="2"/>
  <c r="P255" i="2"/>
  <c r="Q465" i="2"/>
  <c r="R465" i="2" s="1"/>
  <c r="S465" i="2" s="1"/>
  <c r="T465" i="2" s="1"/>
  <c r="Y465" i="2" s="1"/>
  <c r="Z465" i="2" s="1"/>
  <c r="Q74" i="2"/>
  <c r="R74" i="2" s="1"/>
  <c r="S74" i="2" s="1"/>
  <c r="T74" i="2" s="1"/>
  <c r="Y74" i="2" s="1"/>
  <c r="Z74" i="2" s="1"/>
  <c r="Q586" i="2"/>
  <c r="R586" i="2" s="1"/>
  <c r="S586" i="2" s="1"/>
  <c r="T586" i="2" s="1"/>
  <c r="Y586" i="2" s="1"/>
  <c r="Z586" i="2" s="1"/>
  <c r="P53" i="2"/>
  <c r="P22" i="2"/>
  <c r="P404" i="2"/>
  <c r="P286" i="2"/>
  <c r="P317" i="2"/>
  <c r="P254" i="2"/>
  <c r="P493" i="2"/>
  <c r="P469" i="2"/>
  <c r="P100" i="2"/>
  <c r="P606" i="2"/>
  <c r="Q645" i="2"/>
  <c r="R645" i="2" s="1"/>
  <c r="S645" i="2" s="1"/>
  <c r="T645" i="2" s="1"/>
  <c r="Y645" i="2" s="1"/>
  <c r="Z645" i="2" s="1"/>
  <c r="P139" i="2"/>
  <c r="P172" i="2"/>
  <c r="Q212" i="2"/>
  <c r="R212" i="2" s="1"/>
  <c r="S212" i="2" s="1"/>
  <c r="T212" i="2" s="1"/>
  <c r="Y212" i="2" s="1"/>
  <c r="Z212" i="2" s="1"/>
  <c r="Q88" i="2"/>
  <c r="R88" i="2" s="1"/>
  <c r="S88" i="2" s="1"/>
  <c r="T88" i="2" s="1"/>
  <c r="Y88" i="2" s="1"/>
  <c r="Z88" i="2" s="1"/>
  <c r="Q247" i="2"/>
  <c r="R247" i="2" s="1"/>
  <c r="S247" i="2" s="1"/>
  <c r="Q341" i="2"/>
  <c r="R341" i="2" s="1"/>
  <c r="S341" i="2" s="1"/>
  <c r="T341" i="2" s="1"/>
  <c r="Y341" i="2" s="1"/>
  <c r="Z341" i="2" s="1"/>
  <c r="P360" i="2"/>
  <c r="P438" i="2"/>
  <c r="Q473" i="2"/>
  <c r="R473" i="2" s="1"/>
  <c r="S473" i="2" s="1"/>
  <c r="Q498" i="2"/>
  <c r="R498" i="2" s="1"/>
  <c r="S498" i="2" s="1"/>
  <c r="T498" i="2" s="1"/>
  <c r="Y498" i="2" s="1"/>
  <c r="Z498" i="2" s="1"/>
  <c r="Q525" i="2"/>
  <c r="R525" i="2" s="1"/>
  <c r="S525" i="2" s="1"/>
  <c r="T525" i="2" s="1"/>
  <c r="Y525" i="2" s="1"/>
  <c r="Z525" i="2" s="1"/>
  <c r="Q106" i="2"/>
  <c r="R106" i="2" s="1"/>
  <c r="S106" i="2" s="1"/>
  <c r="Q273" i="2"/>
  <c r="R273" i="2" s="1"/>
  <c r="S273" i="2" s="1"/>
  <c r="T273" i="2" s="1"/>
  <c r="Y273" i="2" s="1"/>
  <c r="Z273" i="2" s="1"/>
  <c r="Q33" i="2"/>
  <c r="R33" i="2" s="1"/>
  <c r="S33" i="2" s="1"/>
  <c r="T33" i="2" s="1"/>
  <c r="Y33" i="2" s="1"/>
  <c r="Z33" i="2" s="1"/>
  <c r="Q295" i="2"/>
  <c r="R295" i="2" s="1"/>
  <c r="S295" i="2" s="1"/>
  <c r="T295" i="2" s="1"/>
  <c r="Y295" i="2" s="1"/>
  <c r="Z295" i="2" s="1"/>
  <c r="T799" i="2"/>
  <c r="Y799" i="2" s="1"/>
  <c r="Z799" i="2" s="1"/>
  <c r="T469" i="2"/>
  <c r="Y469" i="2" s="1"/>
  <c r="Z469" i="2" s="1"/>
  <c r="T22" i="2"/>
  <c r="Y22" i="2" s="1"/>
  <c r="Z22" i="2" s="1"/>
  <c r="T729" i="2"/>
  <c r="Y729" i="2" s="1"/>
  <c r="Z729" i="2" s="1"/>
  <c r="T606" i="2"/>
  <c r="Y606" i="2" s="1"/>
  <c r="Z606" i="2" s="1"/>
  <c r="T397" i="2"/>
  <c r="Y397" i="2" s="1"/>
  <c r="Z397" i="2" s="1"/>
  <c r="T404" i="2"/>
  <c r="Y404" i="2" s="1"/>
  <c r="Z404" i="2" s="1"/>
  <c r="R317" i="2"/>
  <c r="S317" i="2" s="1"/>
  <c r="T317" i="2" s="1"/>
  <c r="Y317" i="2" s="1"/>
  <c r="Z317" i="2" s="1"/>
  <c r="R121" i="2"/>
  <c r="S121" i="2" s="1"/>
  <c r="T121" i="2" s="1"/>
  <c r="Y121" i="2" s="1"/>
  <c r="Z121" i="2" s="1"/>
  <c r="R140" i="2"/>
  <c r="S140" i="2" s="1"/>
  <c r="T140" i="2" s="1"/>
  <c r="Y140" i="2" s="1"/>
  <c r="Z140" i="2" s="1"/>
  <c r="R411" i="2"/>
  <c r="S411" i="2" s="1"/>
  <c r="T411" i="2" s="1"/>
  <c r="Y411" i="2" s="1"/>
  <c r="Z411" i="2" s="1"/>
  <c r="R383" i="2"/>
  <c r="S383" i="2" s="1"/>
  <c r="T383" i="2" s="1"/>
  <c r="Y383" i="2" s="1"/>
  <c r="Z383" i="2" s="1"/>
  <c r="R158" i="2"/>
  <c r="S158" i="2" s="1"/>
  <c r="T158" i="2" s="1"/>
  <c r="Y158" i="2" s="1"/>
  <c r="Z158" i="2" s="1"/>
  <c r="R627" i="2"/>
  <c r="S627" i="2" s="1"/>
  <c r="T627" i="2" s="1"/>
  <c r="Y627" i="2" s="1"/>
  <c r="Z627" i="2" s="1"/>
  <c r="R149" i="2"/>
  <c r="S149" i="2" s="1"/>
  <c r="T149" i="2" s="1"/>
  <c r="Y149" i="2" s="1"/>
  <c r="Z149" i="2" s="1"/>
  <c r="R151" i="2"/>
  <c r="S151" i="2" s="1"/>
  <c r="T151" i="2" s="1"/>
  <c r="Y151" i="2" s="1"/>
  <c r="Z151" i="2" s="1"/>
  <c r="R117" i="2"/>
  <c r="S117" i="2" s="1"/>
  <c r="T117" i="2" s="1"/>
  <c r="Y117" i="2" s="1"/>
  <c r="Z117" i="2" s="1"/>
  <c r="R172" i="2"/>
  <c r="S172" i="2" s="1"/>
  <c r="T172" i="2" s="1"/>
  <c r="Y172" i="2" s="1"/>
  <c r="Z172" i="2" s="1"/>
  <c r="P613" i="2"/>
  <c r="AB634" i="2"/>
  <c r="AC634" i="2" s="1"/>
  <c r="Q31" i="2"/>
  <c r="R31" i="2" s="1"/>
  <c r="S31" i="2" s="1"/>
  <c r="T31" i="2" s="1"/>
  <c r="Y31" i="2" s="1"/>
  <c r="Z31" i="2" s="1"/>
  <c r="AB78" i="2"/>
  <c r="AC78" i="2" s="1"/>
  <c r="N77" i="2"/>
  <c r="U77" i="2" s="1"/>
  <c r="P87" i="2"/>
  <c r="P117" i="2"/>
  <c r="N118" i="2"/>
  <c r="U118" i="2" s="1"/>
  <c r="P129" i="2"/>
  <c r="T131" i="2"/>
  <c r="Y131" i="2" s="1"/>
  <c r="Z131" i="2" s="1"/>
  <c r="N141" i="2"/>
  <c r="U141" i="2" s="1"/>
  <c r="P140" i="2"/>
  <c r="N145" i="2"/>
  <c r="U145" i="2" s="1"/>
  <c r="P147" i="2"/>
  <c r="P153" i="2"/>
  <c r="P162" i="2"/>
  <c r="P169" i="2"/>
  <c r="P171" i="2"/>
  <c r="P194" i="2"/>
  <c r="P205" i="2"/>
  <c r="Q220" i="2"/>
  <c r="R220" i="2" s="1"/>
  <c r="S220" i="2" s="1"/>
  <c r="T220" i="2" s="1"/>
  <c r="Y220" i="2" s="1"/>
  <c r="Z220" i="2" s="1"/>
  <c r="V58" i="2"/>
  <c r="W58" i="2" s="1"/>
  <c r="Q108" i="2"/>
  <c r="R108" i="2" s="1"/>
  <c r="S108" i="2" s="1"/>
  <c r="AB154" i="2"/>
  <c r="AC154" i="2" s="1"/>
  <c r="N138" i="2"/>
  <c r="U138" i="2" s="1"/>
  <c r="P124" i="2"/>
  <c r="N116" i="2"/>
  <c r="U116" i="2" s="1"/>
  <c r="AB184" i="2"/>
  <c r="AC184" i="2" s="1"/>
  <c r="Q195" i="2"/>
  <c r="R195" i="2" s="1"/>
  <c r="S195" i="2" s="1"/>
  <c r="T195" i="2" s="1"/>
  <c r="Y195" i="2" s="1"/>
  <c r="Z195" i="2" s="1"/>
  <c r="N375" i="2"/>
  <c r="U375" i="2" s="1"/>
  <c r="N379" i="2"/>
  <c r="U379" i="2" s="1"/>
  <c r="T461" i="2"/>
  <c r="Y461" i="2" s="1"/>
  <c r="Z461" i="2" s="1"/>
  <c r="N448" i="2"/>
  <c r="U448" i="2" s="1"/>
  <c r="P454" i="2"/>
  <c r="P411" i="2"/>
  <c r="P496" i="2"/>
  <c r="N511" i="2"/>
  <c r="U511" i="2" s="1"/>
  <c r="Q638" i="2"/>
  <c r="R638" i="2" s="1"/>
  <c r="S638" i="2" s="1"/>
  <c r="T638" i="2" s="1"/>
  <c r="Y638" i="2" s="1"/>
  <c r="Z638" i="2" s="1"/>
  <c r="N311" i="2"/>
  <c r="U311" i="2" s="1"/>
  <c r="T40" i="2"/>
  <c r="Y40" i="2" s="1"/>
  <c r="Z40" i="2" s="1"/>
  <c r="N207" i="2"/>
  <c r="U207" i="2" s="1"/>
  <c r="P16" i="2"/>
  <c r="P627" i="2"/>
  <c r="N34" i="2"/>
  <c r="U34" i="2" s="1"/>
  <c r="Q589" i="2"/>
  <c r="R589" i="2" s="1"/>
  <c r="S589" i="2" s="1"/>
  <c r="T589" i="2" s="1"/>
  <c r="Y589" i="2" s="1"/>
  <c r="Z589" i="2" s="1"/>
  <c r="N519" i="2"/>
  <c r="U519" i="2" s="1"/>
  <c r="N14" i="2"/>
  <c r="U14" i="2" s="1"/>
  <c r="N200" i="2"/>
  <c r="U200" i="2" s="1"/>
  <c r="P237" i="2"/>
  <c r="P383" i="2"/>
  <c r="P441" i="2"/>
  <c r="Q544" i="2"/>
  <c r="N54" i="2"/>
  <c r="U54" i="2" s="1"/>
  <c r="R54" i="2"/>
  <c r="S54" i="2" s="1"/>
  <c r="T54" i="2" s="1"/>
  <c r="Y54" i="2" s="1"/>
  <c r="Z54" i="2" s="1"/>
  <c r="Q631" i="2"/>
  <c r="R631" i="2" s="1"/>
  <c r="S631" i="2" s="1"/>
  <c r="T631" i="2" s="1"/>
  <c r="Y631" i="2" s="1"/>
  <c r="Z631" i="2" s="1"/>
  <c r="N642" i="2"/>
  <c r="U642" i="2" s="1"/>
  <c r="Q650" i="2"/>
  <c r="R650" i="2" s="1"/>
  <c r="S650" i="2" s="1"/>
  <c r="T650" i="2" s="1"/>
  <c r="Y650" i="2" s="1"/>
  <c r="Z650" i="2" s="1"/>
  <c r="N649" i="2"/>
  <c r="U649" i="2" s="1"/>
  <c r="T503" i="2"/>
  <c r="Y503" i="2" s="1"/>
  <c r="Z503" i="2" s="1"/>
  <c r="V572" i="2"/>
  <c r="W572" i="2" s="1"/>
  <c r="N619" i="2"/>
  <c r="U619" i="2" s="1"/>
  <c r="P623" i="2"/>
  <c r="Q371" i="2"/>
  <c r="R371" i="2" s="1"/>
  <c r="S371" i="2" s="1"/>
  <c r="T371" i="2" s="1"/>
  <c r="Y371" i="2" s="1"/>
  <c r="Z371" i="2" s="1"/>
  <c r="N625" i="2"/>
  <c r="U625" i="2" s="1"/>
  <c r="P114" i="2"/>
  <c r="V341" i="2"/>
  <c r="W341" i="2" s="1"/>
  <c r="V351" i="2"/>
  <c r="W351" i="2" s="1"/>
  <c r="N351" i="2"/>
  <c r="U351" i="2" s="1"/>
  <c r="N367" i="2"/>
  <c r="U367" i="2" s="1"/>
  <c r="V388" i="2"/>
  <c r="W388" i="2" s="1"/>
  <c r="N388" i="2"/>
  <c r="U388" i="2" s="1"/>
  <c r="V395" i="2"/>
  <c r="W395" i="2" s="1"/>
  <c r="N395" i="2"/>
  <c r="U395" i="2" s="1"/>
  <c r="V398" i="2"/>
  <c r="W398" i="2" s="1"/>
  <c r="N398" i="2"/>
  <c r="U398" i="2" s="1"/>
  <c r="V424" i="2"/>
  <c r="W424" i="2" s="1"/>
  <c r="N424" i="2"/>
  <c r="U424" i="2" s="1"/>
  <c r="R431" i="2"/>
  <c r="S431" i="2" s="1"/>
  <c r="T431" i="2" s="1"/>
  <c r="Y431" i="2" s="1"/>
  <c r="Z431" i="2" s="1"/>
  <c r="AB271" i="2"/>
  <c r="AC271" i="2" s="1"/>
  <c r="AB299" i="2"/>
  <c r="AC299" i="2" s="1"/>
  <c r="AB308" i="2"/>
  <c r="AC308" i="2" s="1"/>
  <c r="AB332" i="2"/>
  <c r="AC332" i="2" s="1"/>
  <c r="AB442" i="2"/>
  <c r="AC442" i="2" s="1"/>
  <c r="AB283" i="2"/>
  <c r="AC283" i="2" s="1"/>
  <c r="AB472" i="2"/>
  <c r="AC472" i="2" s="1"/>
  <c r="AB127" i="2"/>
  <c r="AC127" i="2" s="1"/>
  <c r="AB906" i="2"/>
  <c r="AB898" i="2"/>
  <c r="AB888" i="2"/>
  <c r="AB904" i="2"/>
  <c r="AB896" i="2"/>
  <c r="AB902" i="2"/>
  <c r="AB894" i="2"/>
  <c r="AB876" i="2"/>
  <c r="AB900" i="2"/>
  <c r="AB887" i="2"/>
  <c r="AB882" i="2"/>
  <c r="AB892" i="2"/>
  <c r="AB880" i="2"/>
  <c r="AB874" i="2"/>
  <c r="AB872" i="2"/>
  <c r="AB870" i="2"/>
  <c r="AB868" i="2"/>
  <c r="AB864" i="2"/>
  <c r="AB858" i="2"/>
  <c r="AB857" i="2"/>
  <c r="AB855" i="2"/>
  <c r="AB853" i="2"/>
  <c r="AB851" i="2"/>
  <c r="AB849" i="2"/>
  <c r="AB847" i="2"/>
  <c r="AB845" i="2"/>
  <c r="AB843" i="2"/>
  <c r="AB839" i="2"/>
  <c r="AB837" i="2"/>
  <c r="AB835" i="2"/>
  <c r="AB833" i="2"/>
  <c r="AB862" i="2"/>
  <c r="AB878" i="2"/>
  <c r="AB860" i="2"/>
  <c r="AB866" i="2"/>
  <c r="AB841" i="2"/>
  <c r="AB831" i="2"/>
  <c r="AB829" i="2"/>
  <c r="AB827" i="2"/>
  <c r="AB825" i="2"/>
  <c r="AB823" i="2"/>
  <c r="AB821" i="2"/>
  <c r="AB817" i="2"/>
  <c r="AB809" i="2"/>
  <c r="AB801" i="2"/>
  <c r="AB793" i="2"/>
  <c r="AB785" i="2"/>
  <c r="AB783" i="2"/>
  <c r="AB781" i="2"/>
  <c r="AB779" i="2"/>
  <c r="AB777" i="2"/>
  <c r="AB775" i="2"/>
  <c r="AB773" i="2"/>
  <c r="AB771" i="2"/>
  <c r="AB769" i="2"/>
  <c r="AB767" i="2"/>
  <c r="AB765" i="2"/>
  <c r="AB763" i="2"/>
  <c r="AB761" i="2"/>
  <c r="AB759" i="2"/>
  <c r="AB757" i="2"/>
  <c r="AB755" i="2"/>
  <c r="AB753" i="2"/>
  <c r="AB751" i="2"/>
  <c r="AB749" i="2"/>
  <c r="AB747" i="2"/>
  <c r="AB745" i="2"/>
  <c r="AB743" i="2"/>
  <c r="AB819" i="2"/>
  <c r="AB811" i="2"/>
  <c r="AB803" i="2"/>
  <c r="AB795" i="2"/>
  <c r="AB787" i="2"/>
  <c r="AB813" i="2"/>
  <c r="AB805" i="2"/>
  <c r="AB797" i="2"/>
  <c r="AB789" i="2"/>
  <c r="AB737" i="2"/>
  <c r="AB729" i="2"/>
  <c r="AB721" i="2"/>
  <c r="AB713" i="2"/>
  <c r="AB791" i="2"/>
  <c r="AB739" i="2"/>
  <c r="AB731" i="2"/>
  <c r="AB723" i="2"/>
  <c r="AB715" i="2"/>
  <c r="AB707" i="2"/>
  <c r="AB815" i="2"/>
  <c r="AB799" i="2"/>
  <c r="AB741" i="2"/>
  <c r="AB733" i="2"/>
  <c r="AB725" i="2"/>
  <c r="AB717" i="2"/>
  <c r="AB709" i="2"/>
  <c r="AB807" i="2"/>
  <c r="AB735" i="2"/>
  <c r="AB705" i="2"/>
  <c r="AB679" i="2"/>
  <c r="AB671" i="2"/>
  <c r="AB663" i="2"/>
  <c r="AB655" i="2"/>
  <c r="AB315" i="2"/>
  <c r="AC315" i="2" s="1"/>
  <c r="AB310" i="2"/>
  <c r="AC310" i="2" s="1"/>
  <c r="AB522" i="2"/>
  <c r="AC522" i="2" s="1"/>
  <c r="AB296" i="2"/>
  <c r="AC296" i="2" s="1"/>
  <c r="AB391" i="2"/>
  <c r="AC391" i="2" s="1"/>
  <c r="AB727" i="2"/>
  <c r="AB703" i="2"/>
  <c r="AB673" i="2"/>
  <c r="AB665" i="2"/>
  <c r="AB657" i="2"/>
  <c r="AB240" i="2"/>
  <c r="AC240" i="2" s="1"/>
  <c r="AB250" i="2"/>
  <c r="AC250" i="2" s="1"/>
  <c r="AB112" i="2"/>
  <c r="AC112" i="2" s="1"/>
  <c r="AB422" i="2"/>
  <c r="AC422" i="2" s="1"/>
  <c r="AB719" i="2"/>
  <c r="AB675" i="2"/>
  <c r="AB667" i="2"/>
  <c r="AB659" i="2"/>
  <c r="AB100" i="2"/>
  <c r="AC100" i="2" s="1"/>
  <c r="AB493" i="2"/>
  <c r="AC493" i="2" s="1"/>
  <c r="AB317" i="2"/>
  <c r="AC317" i="2" s="1"/>
  <c r="AB404" i="2"/>
  <c r="AC404" i="2" s="1"/>
  <c r="AB53" i="2"/>
  <c r="AC53" i="2" s="1"/>
  <c r="AB313" i="2"/>
  <c r="AC313" i="2" s="1"/>
  <c r="AB711" i="2"/>
  <c r="AB661" i="2"/>
  <c r="AB286" i="2"/>
  <c r="AC286" i="2" s="1"/>
  <c r="AB697" i="2"/>
  <c r="AB693" i="2"/>
  <c r="AB689" i="2"/>
  <c r="AB685" i="2"/>
  <c r="AB681" i="2"/>
  <c r="AB669" i="2"/>
  <c r="AB254" i="2"/>
  <c r="AC254" i="2" s="1"/>
  <c r="AB336" i="2"/>
  <c r="AC336" i="2" s="1"/>
  <c r="AB273" i="2"/>
  <c r="AC273" i="2" s="1"/>
  <c r="AB677" i="2"/>
  <c r="AB469" i="2"/>
  <c r="AC469" i="2" s="1"/>
  <c r="AB554" i="2"/>
  <c r="AC554" i="2" s="1"/>
  <c r="AB339" i="2"/>
  <c r="AC339" i="2" s="1"/>
  <c r="AB699" i="2"/>
  <c r="AB695" i="2"/>
  <c r="AB691" i="2"/>
  <c r="AB687" i="2"/>
  <c r="AB683" i="2"/>
  <c r="AB606" i="2"/>
  <c r="AC606" i="2" s="1"/>
  <c r="AB22" i="2"/>
  <c r="AC22" i="2" s="1"/>
  <c r="AB85" i="2"/>
  <c r="AC85" i="2" s="1"/>
  <c r="AB487" i="2"/>
  <c r="AC487" i="2" s="1"/>
  <c r="AB564" i="2"/>
  <c r="AC564" i="2" s="1"/>
  <c r="AB453" i="2"/>
  <c r="AC453" i="2" s="1"/>
  <c r="AB309" i="2"/>
  <c r="AC309" i="2" s="1"/>
  <c r="AB295" i="2"/>
  <c r="AC295" i="2" s="1"/>
  <c r="AB33" i="2"/>
  <c r="AC33" i="2" s="1"/>
  <c r="AB105" i="2"/>
  <c r="AC105" i="2" s="1"/>
  <c r="AB476" i="2"/>
  <c r="AC476" i="2" s="1"/>
  <c r="AB146" i="2"/>
  <c r="AC146" i="2" s="1"/>
  <c r="AB586" i="2"/>
  <c r="AC586" i="2" s="1"/>
  <c r="AB74" i="2"/>
  <c r="AC74" i="2" s="1"/>
  <c r="AB465" i="2"/>
  <c r="AC465" i="2" s="1"/>
  <c r="AB275" i="2"/>
  <c r="AC275" i="2" s="1"/>
  <c r="AB103" i="2"/>
  <c r="AC103" i="2" s="1"/>
  <c r="AB413" i="2"/>
  <c r="AC413" i="2" s="1"/>
  <c r="AB284" i="2"/>
  <c r="AC284" i="2" s="1"/>
  <c r="AB236" i="2"/>
  <c r="AC236" i="2" s="1"/>
  <c r="AB76" i="2"/>
  <c r="AC76" i="2" s="1"/>
  <c r="AB644" i="2"/>
  <c r="AC644" i="2" s="1"/>
  <c r="AB518" i="2"/>
  <c r="AC518" i="2" s="1"/>
  <c r="AB486" i="2"/>
  <c r="AC486" i="2" s="1"/>
  <c r="AB467" i="2"/>
  <c r="AC467" i="2" s="1"/>
  <c r="AB436" i="2"/>
  <c r="AC436" i="2" s="1"/>
  <c r="AB316" i="2"/>
  <c r="AC316" i="2" s="1"/>
  <c r="AB206" i="2"/>
  <c r="AC206" i="2" s="1"/>
  <c r="AB177" i="2"/>
  <c r="AC177" i="2" s="1"/>
  <c r="AB471" i="2"/>
  <c r="AC471" i="2" s="1"/>
  <c r="AB449" i="2"/>
  <c r="AC449" i="2" s="1"/>
  <c r="AB445" i="2"/>
  <c r="AC445" i="2" s="1"/>
  <c r="AB393" i="2"/>
  <c r="AC393" i="2" s="1"/>
  <c r="AB334" i="2"/>
  <c r="AC334" i="2" s="1"/>
  <c r="AB325" i="2"/>
  <c r="AC325" i="2" s="1"/>
  <c r="AB323" i="2"/>
  <c r="AC323" i="2" s="1"/>
  <c r="AB318" i="2"/>
  <c r="AC318" i="2" s="1"/>
  <c r="AB312" i="2"/>
  <c r="AC312" i="2" s="1"/>
  <c r="AB307" i="2"/>
  <c r="AC307" i="2" s="1"/>
  <c r="AB306" i="2"/>
  <c r="AC306" i="2" s="1"/>
  <c r="AB303" i="2"/>
  <c r="AC303" i="2" s="1"/>
  <c r="AB301" i="2"/>
  <c r="AC301" i="2" s="1"/>
  <c r="AB298" i="2"/>
  <c r="AC298" i="2" s="1"/>
  <c r="AB293" i="2"/>
  <c r="AC293" i="2" s="1"/>
  <c r="AB291" i="2"/>
  <c r="AC291" i="2" s="1"/>
  <c r="AB280" i="2"/>
  <c r="AC280" i="2" s="1"/>
  <c r="AB269" i="2"/>
  <c r="AC269" i="2" s="1"/>
  <c r="AB268" i="2"/>
  <c r="AC268" i="2" s="1"/>
  <c r="AB261" i="2"/>
  <c r="AC261" i="2" s="1"/>
  <c r="AB266" i="2"/>
  <c r="AC266" i="2" s="1"/>
  <c r="AB222" i="2"/>
  <c r="AC222" i="2" s="1"/>
  <c r="AB186" i="2"/>
  <c r="AC186" i="2" s="1"/>
  <c r="AB259" i="2"/>
  <c r="AC259" i="2" s="1"/>
  <c r="AB597" i="2"/>
  <c r="AC597" i="2" s="1"/>
  <c r="N633" i="2"/>
  <c r="U633" i="2" s="1"/>
  <c r="Q652" i="2"/>
  <c r="R652" i="2" s="1"/>
  <c r="S652" i="2" s="1"/>
  <c r="T652" i="2" s="1"/>
  <c r="Y652" i="2" s="1"/>
  <c r="Z652" i="2" s="1"/>
  <c r="P18" i="2"/>
  <c r="Q24" i="2"/>
  <c r="R24" i="2" s="1"/>
  <c r="S24" i="2" s="1"/>
  <c r="T24" i="2" s="1"/>
  <c r="Y24" i="2" s="1"/>
  <c r="Z24" i="2" s="1"/>
  <c r="AB60" i="2"/>
  <c r="AC60" i="2" s="1"/>
  <c r="N61" i="2"/>
  <c r="U61" i="2" s="1"/>
  <c r="AB62" i="2"/>
  <c r="AC62" i="2" s="1"/>
  <c r="N64" i="2"/>
  <c r="U64" i="2" s="1"/>
  <c r="AB69" i="2"/>
  <c r="AC69" i="2" s="1"/>
  <c r="P78" i="2"/>
  <c r="AB98" i="2"/>
  <c r="AC98" i="2" s="1"/>
  <c r="N107" i="2"/>
  <c r="U107" i="2" s="1"/>
  <c r="P120" i="2"/>
  <c r="N134" i="2"/>
  <c r="U134" i="2" s="1"/>
  <c r="N137" i="2"/>
  <c r="U137" i="2" s="1"/>
  <c r="P144" i="2"/>
  <c r="N176" i="2"/>
  <c r="U176" i="2" s="1"/>
  <c r="P191" i="2"/>
  <c r="N193" i="2"/>
  <c r="U193" i="2" s="1"/>
  <c r="N198" i="2"/>
  <c r="U198" i="2" s="1"/>
  <c r="V205" i="2"/>
  <c r="W205" i="2" s="1"/>
  <c r="Q213" i="2"/>
  <c r="R213" i="2" s="1"/>
  <c r="S213" i="2" s="1"/>
  <c r="T213" i="2" s="1"/>
  <c r="Y213" i="2" s="1"/>
  <c r="Z213" i="2" s="1"/>
  <c r="V203" i="2"/>
  <c r="W203" i="2" s="1"/>
  <c r="AB152" i="2"/>
  <c r="AC152" i="2" s="1"/>
  <c r="N167" i="2"/>
  <c r="U167" i="2" s="1"/>
  <c r="V375" i="2"/>
  <c r="W375" i="2" s="1"/>
  <c r="V461" i="2"/>
  <c r="W461" i="2" s="1"/>
  <c r="N12" i="2"/>
  <c r="U12" i="2" s="1"/>
  <c r="V519" i="2"/>
  <c r="W519" i="2" s="1"/>
  <c r="N544" i="2"/>
  <c r="U544" i="2" s="1"/>
  <c r="V631" i="2"/>
  <c r="W631" i="2" s="1"/>
  <c r="V503" i="2"/>
  <c r="W503" i="2" s="1"/>
  <c r="V371" i="2"/>
  <c r="W371" i="2" s="1"/>
  <c r="Q331" i="2"/>
  <c r="R331" i="2" s="1"/>
  <c r="S331" i="2" s="1"/>
  <c r="T331" i="2" s="1"/>
  <c r="Y331" i="2" s="1"/>
  <c r="Z331" i="2" s="1"/>
  <c r="P331" i="2"/>
  <c r="V337" i="2"/>
  <c r="W337" i="2" s="1"/>
  <c r="N337" i="2"/>
  <c r="U337" i="2" s="1"/>
  <c r="V342" i="2"/>
  <c r="W342" i="2" s="1"/>
  <c r="V348" i="2"/>
  <c r="W348" i="2" s="1"/>
  <c r="N348" i="2"/>
  <c r="U348" i="2" s="1"/>
  <c r="Q357" i="2"/>
  <c r="R357" i="2" s="1"/>
  <c r="S357" i="2" s="1"/>
  <c r="P357" i="2"/>
  <c r="V366" i="2"/>
  <c r="W366" i="2" s="1"/>
  <c r="N366" i="2"/>
  <c r="U366" i="2" s="1"/>
  <c r="V382" i="2"/>
  <c r="W382" i="2" s="1"/>
  <c r="N382" i="2"/>
  <c r="U382" i="2" s="1"/>
  <c r="Q405" i="2"/>
  <c r="R405" i="2" s="1"/>
  <c r="S405" i="2" s="1"/>
  <c r="T405" i="2" s="1"/>
  <c r="Y405" i="2" s="1"/>
  <c r="Z405" i="2" s="1"/>
  <c r="P405" i="2"/>
  <c r="P407" i="2"/>
  <c r="R412" i="2"/>
  <c r="S412" i="2" s="1"/>
  <c r="T412" i="2" s="1"/>
  <c r="Y412" i="2" s="1"/>
  <c r="Z412" i="2" s="1"/>
  <c r="Q420" i="2"/>
  <c r="P420" i="2"/>
  <c r="N431" i="2"/>
  <c r="U431" i="2" s="1"/>
  <c r="V431" i="2"/>
  <c r="W431" i="2" s="1"/>
  <c r="V450" i="2"/>
  <c r="W450" i="2" s="1"/>
  <c r="N450" i="2"/>
  <c r="U450" i="2" s="1"/>
  <c r="R470" i="2"/>
  <c r="S470" i="2" s="1"/>
  <c r="T470" i="2" s="1"/>
  <c r="Y470" i="2" s="1"/>
  <c r="Z470" i="2" s="1"/>
  <c r="Q468" i="2"/>
  <c r="R468" i="2" s="1"/>
  <c r="S468" i="2" s="1"/>
  <c r="T468" i="2" s="1"/>
  <c r="Y468" i="2" s="1"/>
  <c r="Z468" i="2" s="1"/>
  <c r="P468" i="2"/>
  <c r="V480" i="2"/>
  <c r="W480" i="2" s="1"/>
  <c r="N480" i="2"/>
  <c r="U480" i="2" s="1"/>
  <c r="AB262" i="2"/>
  <c r="AC262" i="2" s="1"/>
  <c r="AB282" i="2"/>
  <c r="AC282" i="2" s="1"/>
  <c r="AB302" i="2"/>
  <c r="AC302" i="2" s="1"/>
  <c r="AB314" i="2"/>
  <c r="AC314" i="2" s="1"/>
  <c r="AB373" i="2"/>
  <c r="AC373" i="2" s="1"/>
  <c r="AB452" i="2"/>
  <c r="AC452" i="2" s="1"/>
  <c r="AB355" i="2"/>
  <c r="AC355" i="2" s="1"/>
  <c r="AB506" i="2"/>
  <c r="AC506" i="2" s="1"/>
  <c r="AB91" i="2"/>
  <c r="AC91" i="2" s="1"/>
  <c r="V191" i="2"/>
  <c r="W191" i="2" s="1"/>
  <c r="V447" i="2"/>
  <c r="W447" i="2" s="1"/>
  <c r="AB277" i="2"/>
  <c r="AC277" i="2" s="1"/>
  <c r="AB199" i="2"/>
  <c r="AC199" i="2" s="1"/>
  <c r="V79" i="2"/>
  <c r="W79" i="2" s="1"/>
  <c r="Q329" i="2"/>
  <c r="R329" i="2" s="1"/>
  <c r="S329" i="2" s="1"/>
  <c r="T329" i="2" s="1"/>
  <c r="Y329" i="2" s="1"/>
  <c r="Z329" i="2" s="1"/>
  <c r="P329" i="2"/>
  <c r="V335" i="2"/>
  <c r="W335" i="2" s="1"/>
  <c r="R354" i="2"/>
  <c r="S354" i="2" s="1"/>
  <c r="T354" i="2" s="1"/>
  <c r="Y354" i="2" s="1"/>
  <c r="Z354" i="2" s="1"/>
  <c r="R376" i="2"/>
  <c r="S376" i="2" s="1"/>
  <c r="T376" i="2" s="1"/>
  <c r="Y376" i="2" s="1"/>
  <c r="Z376" i="2" s="1"/>
  <c r="Q396" i="2"/>
  <c r="R396" i="2" s="1"/>
  <c r="S396" i="2" s="1"/>
  <c r="T396" i="2" s="1"/>
  <c r="Y396" i="2" s="1"/>
  <c r="Z396" i="2" s="1"/>
  <c r="P396" i="2"/>
  <c r="Q401" i="2"/>
  <c r="R401" i="2" s="1"/>
  <c r="S401" i="2" s="1"/>
  <c r="T401" i="2" s="1"/>
  <c r="Y401" i="2" s="1"/>
  <c r="Z401" i="2" s="1"/>
  <c r="P401" i="2"/>
  <c r="V408" i="2"/>
  <c r="W408" i="2" s="1"/>
  <c r="N412" i="2"/>
  <c r="U412" i="2" s="1"/>
  <c r="V412" i="2"/>
  <c r="W412" i="2" s="1"/>
  <c r="Q418" i="2"/>
  <c r="P418" i="2"/>
  <c r="N451" i="2"/>
  <c r="U451" i="2" s="1"/>
  <c r="Q433" i="2"/>
  <c r="R433" i="2" s="1"/>
  <c r="S433" i="2" s="1"/>
  <c r="T433" i="2" s="1"/>
  <c r="Y433" i="2" s="1"/>
  <c r="Z433" i="2" s="1"/>
  <c r="P433" i="2"/>
  <c r="AB265" i="2"/>
  <c r="AC265" i="2" s="1"/>
  <c r="AB292" i="2"/>
  <c r="AC292" i="2" s="1"/>
  <c r="AB304" i="2"/>
  <c r="AC304" i="2" s="1"/>
  <c r="AB319" i="2"/>
  <c r="AC319" i="2" s="1"/>
  <c r="AB410" i="2"/>
  <c r="AC410" i="2" s="1"/>
  <c r="AB46" i="2"/>
  <c r="AC46" i="2" s="1"/>
  <c r="AB565" i="2"/>
  <c r="AC565" i="2" s="1"/>
  <c r="AB604" i="2"/>
  <c r="AC604" i="2" s="1"/>
  <c r="R71" i="2"/>
  <c r="S71" i="2" s="1"/>
  <c r="T71" i="2" s="1"/>
  <c r="Y71" i="2" s="1"/>
  <c r="Z71" i="2" s="1"/>
  <c r="R102" i="2"/>
  <c r="S102" i="2" s="1"/>
  <c r="T102" i="2" s="1"/>
  <c r="Y102" i="2" s="1"/>
  <c r="Z102" i="2" s="1"/>
  <c r="AB87" i="2"/>
  <c r="AC87" i="2" s="1"/>
  <c r="Q211" i="2"/>
  <c r="R211" i="2" s="1"/>
  <c r="S211" i="2" s="1"/>
  <c r="Q215" i="2"/>
  <c r="R215" i="2" s="1"/>
  <c r="S215" i="2" s="1"/>
  <c r="T215" i="2" s="1"/>
  <c r="Y215" i="2" s="1"/>
  <c r="Z215" i="2" s="1"/>
  <c r="Q226" i="2"/>
  <c r="R226" i="2" s="1"/>
  <c r="S226" i="2" s="1"/>
  <c r="T226" i="2" s="1"/>
  <c r="Y226" i="2" s="1"/>
  <c r="Z226" i="2" s="1"/>
  <c r="N447" i="2"/>
  <c r="U447" i="2" s="1"/>
  <c r="P277" i="2"/>
  <c r="N88" i="2"/>
  <c r="U88" i="2" s="1"/>
  <c r="AB124" i="2"/>
  <c r="AC124" i="2" s="1"/>
  <c r="Q185" i="2"/>
  <c r="R185" i="2" s="1"/>
  <c r="S185" i="2" s="1"/>
  <c r="T185" i="2" s="1"/>
  <c r="Y185" i="2" s="1"/>
  <c r="Z185" i="2" s="1"/>
  <c r="N443" i="2"/>
  <c r="U443" i="2" s="1"/>
  <c r="V411" i="2"/>
  <c r="W411" i="2" s="1"/>
  <c r="N483" i="2"/>
  <c r="U483" i="2" s="1"/>
  <c r="N218" i="2"/>
  <c r="U218" i="2" s="1"/>
  <c r="V627" i="2"/>
  <c r="W627" i="2" s="1"/>
  <c r="N591" i="2"/>
  <c r="U591" i="2" s="1"/>
  <c r="N257" i="2"/>
  <c r="U257" i="2" s="1"/>
  <c r="V383" i="2"/>
  <c r="W383" i="2" s="1"/>
  <c r="N104" i="2"/>
  <c r="U104" i="2" s="1"/>
  <c r="N543" i="2"/>
  <c r="U543" i="2" s="1"/>
  <c r="N503" i="2"/>
  <c r="U503" i="2" s="1"/>
  <c r="N573" i="2"/>
  <c r="U573" i="2" s="1"/>
  <c r="T623" i="2"/>
  <c r="Y623" i="2" s="1"/>
  <c r="Z623" i="2" s="1"/>
  <c r="V629" i="2"/>
  <c r="W629" i="2" s="1"/>
  <c r="N629" i="2"/>
  <c r="U629" i="2" s="1"/>
  <c r="N79" i="2"/>
  <c r="U79" i="2" s="1"/>
  <c r="N584" i="2"/>
  <c r="U584" i="2" s="1"/>
  <c r="N612" i="2"/>
  <c r="U612" i="2" s="1"/>
  <c r="T612" i="2"/>
  <c r="Y612" i="2" s="1"/>
  <c r="Z612" i="2" s="1"/>
  <c r="N335" i="2"/>
  <c r="U335" i="2" s="1"/>
  <c r="P338" i="2"/>
  <c r="N347" i="2"/>
  <c r="U347" i="2" s="1"/>
  <c r="V349" i="2"/>
  <c r="W349" i="2" s="1"/>
  <c r="N354" i="2"/>
  <c r="U354" i="2" s="1"/>
  <c r="V354" i="2"/>
  <c r="W354" i="2" s="1"/>
  <c r="N389" i="2"/>
  <c r="U389" i="2" s="1"/>
  <c r="V390" i="2"/>
  <c r="W390" i="2" s="1"/>
  <c r="V350" i="2"/>
  <c r="W350" i="2" s="1"/>
  <c r="N350" i="2"/>
  <c r="U350" i="2" s="1"/>
  <c r="N362" i="2"/>
  <c r="U362" i="2" s="1"/>
  <c r="V369" i="2"/>
  <c r="W369" i="2" s="1"/>
  <c r="N376" i="2"/>
  <c r="U376" i="2" s="1"/>
  <c r="V376" i="2"/>
  <c r="W376" i="2" s="1"/>
  <c r="N406" i="2"/>
  <c r="U406" i="2" s="1"/>
  <c r="N408" i="2"/>
  <c r="U408" i="2" s="1"/>
  <c r="R444" i="2"/>
  <c r="S444" i="2" s="1"/>
  <c r="T444" i="2" s="1"/>
  <c r="Y444" i="2" s="1"/>
  <c r="Z444" i="2" s="1"/>
  <c r="V463" i="2"/>
  <c r="W463" i="2" s="1"/>
  <c r="N463" i="2"/>
  <c r="U463" i="2" s="1"/>
  <c r="P490" i="2"/>
  <c r="Q490" i="2"/>
  <c r="R490" i="2" s="1"/>
  <c r="S490" i="2" s="1"/>
  <c r="T490" i="2" s="1"/>
  <c r="Y490" i="2" s="1"/>
  <c r="Z490" i="2" s="1"/>
  <c r="AB267" i="2"/>
  <c r="AC267" i="2" s="1"/>
  <c r="AB294" i="2"/>
  <c r="AC294" i="2" s="1"/>
  <c r="AB305" i="2"/>
  <c r="AC305" i="2" s="1"/>
  <c r="AB322" i="2"/>
  <c r="AC322" i="2" s="1"/>
  <c r="AB439" i="2"/>
  <c r="AC439" i="2" s="1"/>
  <c r="AB196" i="2"/>
  <c r="AC196" i="2" s="1"/>
  <c r="AB437" i="2"/>
  <c r="AC437" i="2" s="1"/>
  <c r="T268" i="2"/>
  <c r="Y268" i="2" s="1"/>
  <c r="Z268" i="2" s="1"/>
  <c r="T269" i="2"/>
  <c r="Y269" i="2" s="1"/>
  <c r="Z269" i="2" s="1"/>
  <c r="T280" i="2"/>
  <c r="Y280" i="2" s="1"/>
  <c r="Z280" i="2" s="1"/>
  <c r="T293" i="2"/>
  <c r="Y293" i="2" s="1"/>
  <c r="Z293" i="2" s="1"/>
  <c r="T298" i="2"/>
  <c r="Y298" i="2" s="1"/>
  <c r="Z298" i="2" s="1"/>
  <c r="T301" i="2"/>
  <c r="Y301" i="2" s="1"/>
  <c r="Z301" i="2" s="1"/>
  <c r="T306" i="2"/>
  <c r="Y306" i="2" s="1"/>
  <c r="Z306" i="2" s="1"/>
  <c r="T307" i="2"/>
  <c r="Y307" i="2" s="1"/>
  <c r="Z307" i="2" s="1"/>
  <c r="T323" i="2"/>
  <c r="Y323" i="2" s="1"/>
  <c r="Z323" i="2" s="1"/>
  <c r="T325" i="2"/>
  <c r="Y325" i="2" s="1"/>
  <c r="Z325" i="2" s="1"/>
  <c r="T445" i="2"/>
  <c r="Y445" i="2" s="1"/>
  <c r="Z445" i="2" s="1"/>
  <c r="T449" i="2"/>
  <c r="Y449" i="2" s="1"/>
  <c r="Z449" i="2" s="1"/>
  <c r="T177" i="2"/>
  <c r="Y177" i="2" s="1"/>
  <c r="Z177" i="2" s="1"/>
  <c r="T206" i="2"/>
  <c r="Y206" i="2" s="1"/>
  <c r="Z206" i="2" s="1"/>
  <c r="T316" i="2"/>
  <c r="Y316" i="2" s="1"/>
  <c r="Z316" i="2" s="1"/>
  <c r="T436" i="2"/>
  <c r="Y436" i="2" s="1"/>
  <c r="Z436" i="2" s="1"/>
  <c r="T467" i="2"/>
  <c r="Y467" i="2" s="1"/>
  <c r="Z467" i="2" s="1"/>
  <c r="T486" i="2"/>
  <c r="Y486" i="2" s="1"/>
  <c r="Z486" i="2" s="1"/>
  <c r="T597" i="2"/>
  <c r="Y597" i="2" s="1"/>
  <c r="Z597" i="2" s="1"/>
  <c r="AB71" i="2"/>
  <c r="AC71" i="2" s="1"/>
  <c r="N102" i="2"/>
  <c r="U102" i="2" s="1"/>
  <c r="AB126" i="2"/>
  <c r="AC126" i="2" s="1"/>
  <c r="V201" i="2"/>
  <c r="W201" i="2" s="1"/>
  <c r="V266" i="2"/>
  <c r="W266" i="2" s="1"/>
  <c r="V261" i="2"/>
  <c r="W261" i="2" s="1"/>
  <c r="V268" i="2"/>
  <c r="W268" i="2" s="1"/>
  <c r="V269" i="2"/>
  <c r="W269" i="2" s="1"/>
  <c r="V280" i="2"/>
  <c r="W280" i="2" s="1"/>
  <c r="V291" i="2"/>
  <c r="W291" i="2" s="1"/>
  <c r="V293" i="2"/>
  <c r="W293" i="2" s="1"/>
  <c r="V298" i="2"/>
  <c r="W298" i="2" s="1"/>
  <c r="V301" i="2"/>
  <c r="W301" i="2" s="1"/>
  <c r="V303" i="2"/>
  <c r="W303" i="2" s="1"/>
  <c r="V306" i="2"/>
  <c r="W306" i="2" s="1"/>
  <c r="V307" i="2"/>
  <c r="W307" i="2" s="1"/>
  <c r="V312" i="2"/>
  <c r="W312" i="2" s="1"/>
  <c r="V318" i="2"/>
  <c r="W318" i="2" s="1"/>
  <c r="V323" i="2"/>
  <c r="W323" i="2" s="1"/>
  <c r="V325" i="2"/>
  <c r="W325" i="2" s="1"/>
  <c r="V334" i="2"/>
  <c r="W334" i="2" s="1"/>
  <c r="V393" i="2"/>
  <c r="W393" i="2" s="1"/>
  <c r="V445" i="2"/>
  <c r="W445" i="2" s="1"/>
  <c r="V449" i="2"/>
  <c r="W449" i="2" s="1"/>
  <c r="V471" i="2"/>
  <c r="W471" i="2" s="1"/>
  <c r="V177" i="2"/>
  <c r="W177" i="2" s="1"/>
  <c r="V206" i="2"/>
  <c r="W206" i="2" s="1"/>
  <c r="V316" i="2"/>
  <c r="W316" i="2" s="1"/>
  <c r="V436" i="2"/>
  <c r="W436" i="2" s="1"/>
  <c r="V467" i="2"/>
  <c r="W467" i="2" s="1"/>
  <c r="V486" i="2"/>
  <c r="W486" i="2" s="1"/>
  <c r="V518" i="2"/>
  <c r="W518" i="2" s="1"/>
  <c r="V597" i="2"/>
  <c r="W597" i="2" s="1"/>
  <c r="AB102" i="2"/>
  <c r="AC102" i="2" s="1"/>
  <c r="N106" i="2"/>
  <c r="U106" i="2" s="1"/>
  <c r="N201" i="2"/>
  <c r="U201" i="2" s="1"/>
  <c r="V236" i="2"/>
  <c r="W236" i="2" s="1"/>
  <c r="AB258" i="2"/>
  <c r="AC258" i="2" s="1"/>
  <c r="Q258" i="2"/>
  <c r="P258" i="2"/>
  <c r="V259" i="2"/>
  <c r="W259" i="2" s="1"/>
  <c r="AB97" i="2"/>
  <c r="AC97" i="2" s="1"/>
  <c r="Q97" i="2"/>
  <c r="P97" i="2"/>
  <c r="AB216" i="2"/>
  <c r="AC216" i="2" s="1"/>
  <c r="Q216" i="2"/>
  <c r="P216" i="2"/>
  <c r="Q495" i="2"/>
  <c r="R495" i="2" s="1"/>
  <c r="S495" i="2" s="1"/>
  <c r="T495" i="2" s="1"/>
  <c r="Y495" i="2" s="1"/>
  <c r="Z495" i="2" s="1"/>
  <c r="Q509" i="2"/>
  <c r="R509" i="2" s="1"/>
  <c r="S509" i="2" s="1"/>
  <c r="T509" i="2" s="1"/>
  <c r="Y509" i="2" s="1"/>
  <c r="Z509" i="2" s="1"/>
  <c r="Q523" i="2"/>
  <c r="R523" i="2" s="1"/>
  <c r="S523" i="2" s="1"/>
  <c r="T523" i="2" s="1"/>
  <c r="Y523" i="2" s="1"/>
  <c r="Z523" i="2" s="1"/>
  <c r="Q529" i="2"/>
  <c r="R529" i="2" s="1"/>
  <c r="S529" i="2" s="1"/>
  <c r="T529" i="2" s="1"/>
  <c r="Y529" i="2" s="1"/>
  <c r="Z529" i="2" s="1"/>
  <c r="N266" i="2"/>
  <c r="U266" i="2" s="1"/>
  <c r="P262" i="2"/>
  <c r="N261" i="2"/>
  <c r="U261" i="2" s="1"/>
  <c r="P265" i="2"/>
  <c r="N268" i="2"/>
  <c r="U268" i="2" s="1"/>
  <c r="P267" i="2"/>
  <c r="N269" i="2"/>
  <c r="U269" i="2" s="1"/>
  <c r="P271" i="2"/>
  <c r="N280" i="2"/>
  <c r="U280" i="2" s="1"/>
  <c r="P282" i="2"/>
  <c r="N291" i="2"/>
  <c r="U291" i="2" s="1"/>
  <c r="P292" i="2"/>
  <c r="N293" i="2"/>
  <c r="U293" i="2" s="1"/>
  <c r="P294" i="2"/>
  <c r="N298" i="2"/>
  <c r="U298" i="2" s="1"/>
  <c r="P299" i="2"/>
  <c r="N301" i="2"/>
  <c r="U301" i="2" s="1"/>
  <c r="P302" i="2"/>
  <c r="N303" i="2"/>
  <c r="U303" i="2" s="1"/>
  <c r="P304" i="2"/>
  <c r="N306" i="2"/>
  <c r="U306" i="2" s="1"/>
  <c r="P305" i="2"/>
  <c r="N307" i="2"/>
  <c r="U307" i="2" s="1"/>
  <c r="P308" i="2"/>
  <c r="N312" i="2"/>
  <c r="U312" i="2" s="1"/>
  <c r="P314" i="2"/>
  <c r="N318" i="2"/>
  <c r="U318" i="2" s="1"/>
  <c r="P319" i="2"/>
  <c r="N323" i="2"/>
  <c r="U323" i="2" s="1"/>
  <c r="P322" i="2"/>
  <c r="N325" i="2"/>
  <c r="U325" i="2" s="1"/>
  <c r="P332" i="2"/>
  <c r="N334" i="2"/>
  <c r="U334" i="2" s="1"/>
  <c r="P373" i="2"/>
  <c r="N393" i="2"/>
  <c r="U393" i="2" s="1"/>
  <c r="P410" i="2"/>
  <c r="P439" i="2"/>
  <c r="N445" i="2"/>
  <c r="U445" i="2" s="1"/>
  <c r="P442" i="2"/>
  <c r="N449" i="2"/>
  <c r="U449" i="2" s="1"/>
  <c r="P452" i="2"/>
  <c r="N471" i="2"/>
  <c r="U471" i="2" s="1"/>
  <c r="P46" i="2"/>
  <c r="N177" i="2"/>
  <c r="U177" i="2" s="1"/>
  <c r="P196" i="2"/>
  <c r="N206" i="2"/>
  <c r="U206" i="2" s="1"/>
  <c r="P283" i="2"/>
  <c r="N316" i="2"/>
  <c r="U316" i="2" s="1"/>
  <c r="P355" i="2"/>
  <c r="N436" i="2"/>
  <c r="U436" i="2" s="1"/>
  <c r="P437" i="2"/>
  <c r="N467" i="2"/>
  <c r="U467" i="2" s="1"/>
  <c r="P472" i="2"/>
  <c r="N486" i="2"/>
  <c r="U486" i="2" s="1"/>
  <c r="P506" i="2"/>
  <c r="N518" i="2"/>
  <c r="U518" i="2" s="1"/>
  <c r="P565" i="2"/>
  <c r="N597" i="2"/>
  <c r="U597" i="2" s="1"/>
  <c r="N604" i="2"/>
  <c r="U604" i="2" s="1"/>
  <c r="V644" i="2"/>
  <c r="W644" i="2" s="1"/>
  <c r="N76" i="2"/>
  <c r="U76" i="2" s="1"/>
  <c r="P102" i="2"/>
  <c r="V102" i="2"/>
  <c r="W102" i="2" s="1"/>
  <c r="AB106" i="2"/>
  <c r="AC106" i="2" s="1"/>
  <c r="Q126" i="2"/>
  <c r="N127" i="2"/>
  <c r="U127" i="2" s="1"/>
  <c r="AB201" i="2"/>
  <c r="AC201" i="2" s="1"/>
  <c r="P201" i="2"/>
  <c r="N236" i="2"/>
  <c r="U236" i="2" s="1"/>
  <c r="AB430" i="2"/>
  <c r="AC430" i="2" s="1"/>
  <c r="Q430" i="2"/>
  <c r="V146" i="2"/>
  <c r="W146" i="2" s="1"/>
  <c r="N259" i="2"/>
  <c r="U259" i="2" s="1"/>
  <c r="N330" i="2"/>
  <c r="U330" i="2" s="1"/>
  <c r="N346" i="2"/>
  <c r="U346" i="2" s="1"/>
  <c r="N356" i="2"/>
  <c r="U356" i="2" s="1"/>
  <c r="N358" i="2"/>
  <c r="U358" i="2" s="1"/>
  <c r="N387" i="2"/>
  <c r="U387" i="2" s="1"/>
  <c r="N368" i="2"/>
  <c r="U368" i="2" s="1"/>
  <c r="N377" i="2"/>
  <c r="U377" i="2" s="1"/>
  <c r="N397" i="2"/>
  <c r="U397" i="2" s="1"/>
  <c r="N402" i="2"/>
  <c r="U402" i="2" s="1"/>
  <c r="N407" i="2"/>
  <c r="U407" i="2" s="1"/>
  <c r="N415" i="2"/>
  <c r="U415" i="2" s="1"/>
  <c r="N419" i="2"/>
  <c r="U419" i="2" s="1"/>
  <c r="N421" i="2"/>
  <c r="U421" i="2" s="1"/>
  <c r="N434" i="2"/>
  <c r="U434" i="2" s="1"/>
  <c r="N444" i="2"/>
  <c r="U444" i="2" s="1"/>
  <c r="N470" i="2"/>
  <c r="U470" i="2" s="1"/>
  <c r="N464" i="2"/>
  <c r="U464" i="2" s="1"/>
  <c r="N494" i="2"/>
  <c r="U494" i="2" s="1"/>
  <c r="Q491" i="2"/>
  <c r="R491" i="2" s="1"/>
  <c r="S491" i="2" s="1"/>
  <c r="T491" i="2" s="1"/>
  <c r="Y491" i="2" s="1"/>
  <c r="Z491" i="2" s="1"/>
  <c r="Q497" i="2"/>
  <c r="R497" i="2" s="1"/>
  <c r="S497" i="2" s="1"/>
  <c r="T497" i="2" s="1"/>
  <c r="Y497" i="2" s="1"/>
  <c r="Z497" i="2" s="1"/>
  <c r="Q262" i="2"/>
  <c r="Q265" i="2"/>
  <c r="Q267" i="2"/>
  <c r="Q271" i="2"/>
  <c r="Q282" i="2"/>
  <c r="Q292" i="2"/>
  <c r="Q294" i="2"/>
  <c r="Q299" i="2"/>
  <c r="Q302" i="2"/>
  <c r="Q304" i="2"/>
  <c r="Q305" i="2"/>
  <c r="Q308" i="2"/>
  <c r="Q314" i="2"/>
  <c r="Q319" i="2"/>
  <c r="Q322" i="2"/>
  <c r="Q332" i="2"/>
  <c r="Q373" i="2"/>
  <c r="Q410" i="2"/>
  <c r="Q439" i="2"/>
  <c r="Q442" i="2"/>
  <c r="Q452" i="2"/>
  <c r="Q46" i="2"/>
  <c r="Q196" i="2"/>
  <c r="Q283" i="2"/>
  <c r="Q355" i="2"/>
  <c r="Q437" i="2"/>
  <c r="Q472" i="2"/>
  <c r="Q506" i="2"/>
  <c r="Q565" i="2"/>
  <c r="T604" i="2"/>
  <c r="Y604" i="2" s="1"/>
  <c r="Z604" i="2" s="1"/>
  <c r="Q644" i="2"/>
  <c r="N71" i="2"/>
  <c r="U71" i="2" s="1"/>
  <c r="V76" i="2"/>
  <c r="W76" i="2" s="1"/>
  <c r="AB101" i="2"/>
  <c r="AC101" i="2" s="1"/>
  <c r="V106" i="2"/>
  <c r="W106" i="2" s="1"/>
  <c r="Q201" i="2"/>
  <c r="AB285" i="2"/>
  <c r="AC285" i="2" s="1"/>
  <c r="Q285" i="2"/>
  <c r="P285" i="2"/>
  <c r="R413" i="2"/>
  <c r="S413" i="2" s="1"/>
  <c r="T413" i="2" s="1"/>
  <c r="Y413" i="2" s="1"/>
  <c r="Z413" i="2" s="1"/>
  <c r="AB210" i="2"/>
  <c r="AC210" i="2" s="1"/>
  <c r="Q210" i="2"/>
  <c r="P210" i="2"/>
  <c r="R103" i="2"/>
  <c r="S103" i="2" s="1"/>
  <c r="T103" i="2" s="1"/>
  <c r="Y103" i="2" s="1"/>
  <c r="Z103" i="2" s="1"/>
  <c r="AB224" i="2"/>
  <c r="AC224" i="2" s="1"/>
  <c r="Q224" i="2"/>
  <c r="P224" i="2"/>
  <c r="N413" i="2"/>
  <c r="U413" i="2" s="1"/>
  <c r="N186" i="2"/>
  <c r="U186" i="2" s="1"/>
  <c r="N103" i="2"/>
  <c r="U103" i="2" s="1"/>
  <c r="N222" i="2"/>
  <c r="U222" i="2" s="1"/>
  <c r="T281" i="2"/>
  <c r="Y281" i="2" s="1"/>
  <c r="Z281" i="2" s="1"/>
  <c r="P290" i="2"/>
  <c r="AB290" i="2"/>
  <c r="AC290" i="2" s="1"/>
  <c r="AB300" i="2"/>
  <c r="AC300" i="2" s="1"/>
  <c r="N458" i="2"/>
  <c r="U458" i="2" s="1"/>
  <c r="P474" i="2"/>
  <c r="AB474" i="2"/>
  <c r="AC474" i="2" s="1"/>
  <c r="Q474" i="2"/>
  <c r="N94" i="2"/>
  <c r="U94" i="2" s="1"/>
  <c r="P93" i="2"/>
  <c r="AB93" i="2"/>
  <c r="AC93" i="2" s="1"/>
  <c r="Q93" i="2"/>
  <c r="N75" i="2"/>
  <c r="U75" i="2" s="1"/>
  <c r="P81" i="2"/>
  <c r="AB81" i="2"/>
  <c r="AC81" i="2" s="1"/>
  <c r="Q81" i="2"/>
  <c r="AB228" i="2"/>
  <c r="AC228" i="2" s="1"/>
  <c r="Q228" i="2"/>
  <c r="AB255" i="2"/>
  <c r="AC255" i="2" s="1"/>
  <c r="R290" i="2"/>
  <c r="S290" i="2" s="1"/>
  <c r="T290" i="2" s="1"/>
  <c r="Y290" i="2" s="1"/>
  <c r="Z290" i="2" s="1"/>
  <c r="N272" i="2"/>
  <c r="U272" i="2" s="1"/>
  <c r="V272" i="2"/>
  <c r="W272" i="2" s="1"/>
  <c r="P288" i="2"/>
  <c r="Q288" i="2"/>
  <c r="AB288" i="2"/>
  <c r="AC288" i="2" s="1"/>
  <c r="V309" i="2"/>
  <c r="W309" i="2" s="1"/>
  <c r="AB326" i="2"/>
  <c r="AC326" i="2" s="1"/>
  <c r="N485" i="2"/>
  <c r="U485" i="2" s="1"/>
  <c r="P482" i="2"/>
  <c r="AB482" i="2"/>
  <c r="AC482" i="2" s="1"/>
  <c r="Q482" i="2"/>
  <c r="N115" i="2"/>
  <c r="U115" i="2" s="1"/>
  <c r="P221" i="2"/>
  <c r="AB221" i="2"/>
  <c r="AC221" i="2" s="1"/>
  <c r="Q221" i="2"/>
  <c r="AB249" i="2"/>
  <c r="AC249" i="2" s="1"/>
  <c r="Q249" i="2"/>
  <c r="P249" i="2"/>
  <c r="P274" i="2"/>
  <c r="Q274" i="2"/>
  <c r="AB274" i="2"/>
  <c r="AC274" i="2" s="1"/>
  <c r="V275" i="2"/>
  <c r="W275" i="2" s="1"/>
  <c r="AB281" i="2"/>
  <c r="AC281" i="2" s="1"/>
  <c r="N309" i="2"/>
  <c r="U309" i="2" s="1"/>
  <c r="N321" i="2"/>
  <c r="U321" i="2" s="1"/>
  <c r="V321" i="2"/>
  <c r="W321" i="2" s="1"/>
  <c r="N381" i="2"/>
  <c r="U381" i="2" s="1"/>
  <c r="P432" i="2"/>
  <c r="AB432" i="2"/>
  <c r="AC432" i="2" s="1"/>
  <c r="Q432" i="2"/>
  <c r="V458" i="2"/>
  <c r="W458" i="2" s="1"/>
  <c r="N524" i="2"/>
  <c r="U524" i="2" s="1"/>
  <c r="P527" i="2"/>
  <c r="AB527" i="2"/>
  <c r="AC527" i="2" s="1"/>
  <c r="Q527" i="2"/>
  <c r="V94" i="2"/>
  <c r="W94" i="2" s="1"/>
  <c r="N352" i="2"/>
  <c r="U352" i="2" s="1"/>
  <c r="P359" i="2"/>
  <c r="AB359" i="2"/>
  <c r="AC359" i="2" s="1"/>
  <c r="Q359" i="2"/>
  <c r="V75" i="2"/>
  <c r="W75" i="2" s="1"/>
  <c r="R255" i="2"/>
  <c r="S255" i="2" s="1"/>
  <c r="T255" i="2" s="1"/>
  <c r="Y255" i="2" s="1"/>
  <c r="Z255" i="2" s="1"/>
  <c r="N275" i="2"/>
  <c r="U275" i="2" s="1"/>
  <c r="P281" i="2"/>
  <c r="V273" i="2"/>
  <c r="W273" i="2" s="1"/>
  <c r="N273" i="2"/>
  <c r="U273" i="2" s="1"/>
  <c r="R321" i="2"/>
  <c r="S321" i="2" s="1"/>
  <c r="T321" i="2" s="1"/>
  <c r="Y321" i="2" s="1"/>
  <c r="Z321" i="2" s="1"/>
  <c r="P370" i="2"/>
  <c r="AB370" i="2"/>
  <c r="AC370" i="2" s="1"/>
  <c r="Q370" i="2"/>
  <c r="N456" i="2"/>
  <c r="U456" i="2" s="1"/>
  <c r="P462" i="2"/>
  <c r="AB462" i="2"/>
  <c r="AC462" i="2" s="1"/>
  <c r="Q462" i="2"/>
  <c r="V485" i="2"/>
  <c r="W485" i="2" s="1"/>
  <c r="N582" i="2"/>
  <c r="U582" i="2" s="1"/>
  <c r="P57" i="2"/>
  <c r="AB57" i="2"/>
  <c r="AC57" i="2" s="1"/>
  <c r="Q57" i="2"/>
  <c r="V115" i="2"/>
  <c r="W115" i="2" s="1"/>
  <c r="N545" i="2"/>
  <c r="U545" i="2" s="1"/>
  <c r="P552" i="2"/>
  <c r="AB552" i="2"/>
  <c r="AC552" i="2" s="1"/>
  <c r="Q552" i="2"/>
  <c r="V142" i="2"/>
  <c r="W142" i="2" s="1"/>
  <c r="N142" i="2"/>
  <c r="U142" i="2" s="1"/>
  <c r="AB263" i="2"/>
  <c r="AC263" i="2" s="1"/>
  <c r="Q263" i="2"/>
  <c r="P263" i="2"/>
  <c r="AB353" i="2"/>
  <c r="AC353" i="2" s="1"/>
  <c r="Q353" i="2"/>
  <c r="P353" i="2"/>
  <c r="AB578" i="2"/>
  <c r="AC578" i="2" s="1"/>
  <c r="Q578" i="2"/>
  <c r="P578" i="2"/>
  <c r="V112" i="2"/>
  <c r="W112" i="2" s="1"/>
  <c r="N112" i="2"/>
  <c r="U112" i="2" s="1"/>
  <c r="AB287" i="2"/>
  <c r="AC287" i="2" s="1"/>
  <c r="Q287" i="2"/>
  <c r="P287" i="2"/>
  <c r="R657" i="2"/>
  <c r="S657" i="2" s="1"/>
  <c r="T657" i="2" s="1"/>
  <c r="Y657" i="2" s="1"/>
  <c r="Z657" i="2" s="1"/>
  <c r="AC665" i="2"/>
  <c r="V665" i="2"/>
  <c r="N665" i="2"/>
  <c r="W665" i="2"/>
  <c r="AB678" i="2"/>
  <c r="Q678" i="2"/>
  <c r="P678" i="2"/>
  <c r="W683" i="2"/>
  <c r="V683" i="2"/>
  <c r="AC683" i="2"/>
  <c r="N683" i="2"/>
  <c r="W687" i="2"/>
  <c r="V687" i="2"/>
  <c r="AC687" i="2"/>
  <c r="N687" i="2"/>
  <c r="W691" i="2"/>
  <c r="V691" i="2"/>
  <c r="AC691" i="2"/>
  <c r="N691" i="2"/>
  <c r="W695" i="2"/>
  <c r="V695" i="2"/>
  <c r="AC695" i="2"/>
  <c r="N695" i="2"/>
  <c r="W699" i="2"/>
  <c r="V699" i="2"/>
  <c r="AC699" i="2"/>
  <c r="N699" i="2"/>
  <c r="AB770" i="2"/>
  <c r="AB321" i="2"/>
  <c r="AC321" i="2" s="1"/>
  <c r="N427" i="2"/>
  <c r="U427" i="2" s="1"/>
  <c r="V427" i="2"/>
  <c r="W427" i="2" s="1"/>
  <c r="N440" i="2"/>
  <c r="U440" i="2" s="1"/>
  <c r="V440" i="2"/>
  <c r="W440" i="2" s="1"/>
  <c r="N478" i="2"/>
  <c r="U478" i="2" s="1"/>
  <c r="V478" i="2"/>
  <c r="W478" i="2" s="1"/>
  <c r="N514" i="2"/>
  <c r="U514" i="2" s="1"/>
  <c r="V514" i="2"/>
  <c r="W514" i="2" s="1"/>
  <c r="N570" i="2"/>
  <c r="U570" i="2" s="1"/>
  <c r="V570" i="2"/>
  <c r="W570" i="2" s="1"/>
  <c r="N82" i="2"/>
  <c r="U82" i="2" s="1"/>
  <c r="V82" i="2"/>
  <c r="W82" i="2" s="1"/>
  <c r="N173" i="2"/>
  <c r="U173" i="2" s="1"/>
  <c r="V173" i="2"/>
  <c r="W173" i="2" s="1"/>
  <c r="N459" i="2"/>
  <c r="U459" i="2" s="1"/>
  <c r="V459" i="2"/>
  <c r="W459" i="2" s="1"/>
  <c r="N512" i="2"/>
  <c r="U512" i="2" s="1"/>
  <c r="V512" i="2"/>
  <c r="W512" i="2" s="1"/>
  <c r="N42" i="2"/>
  <c r="U42" i="2" s="1"/>
  <c r="V42" i="2"/>
  <c r="W42" i="2" s="1"/>
  <c r="N99" i="2"/>
  <c r="U99" i="2" s="1"/>
  <c r="V99" i="2"/>
  <c r="W99" i="2" s="1"/>
  <c r="AB142" i="2"/>
  <c r="AC142" i="2" s="1"/>
  <c r="V422" i="2"/>
  <c r="W422" i="2" s="1"/>
  <c r="N422" i="2"/>
  <c r="U422" i="2" s="1"/>
  <c r="AB502" i="2"/>
  <c r="AC502" i="2" s="1"/>
  <c r="Q502" i="2"/>
  <c r="P502" i="2"/>
  <c r="AC657" i="2"/>
  <c r="V657" i="2"/>
  <c r="N657" i="2"/>
  <c r="W657" i="2"/>
  <c r="AB670" i="2"/>
  <c r="Q670" i="2"/>
  <c r="P670" i="2"/>
  <c r="R681" i="2"/>
  <c r="S681" i="2" s="1"/>
  <c r="T681" i="2" s="1"/>
  <c r="Y681" i="2" s="1"/>
  <c r="Z681" i="2" s="1"/>
  <c r="AB682" i="2"/>
  <c r="Q682" i="2"/>
  <c r="P682" i="2"/>
  <c r="AB686" i="2"/>
  <c r="Q686" i="2"/>
  <c r="P686" i="2"/>
  <c r="R689" i="2"/>
  <c r="S689" i="2" s="1"/>
  <c r="T689" i="2" s="1"/>
  <c r="Y689" i="2" s="1"/>
  <c r="Z689" i="2" s="1"/>
  <c r="AB690" i="2"/>
  <c r="Q690" i="2"/>
  <c r="P690" i="2"/>
  <c r="R693" i="2"/>
  <c r="S693" i="2" s="1"/>
  <c r="T693" i="2" s="1"/>
  <c r="Y693" i="2" s="1"/>
  <c r="Z693" i="2" s="1"/>
  <c r="AB694" i="2"/>
  <c r="Q694" i="2"/>
  <c r="P694" i="2"/>
  <c r="R697" i="2"/>
  <c r="S697" i="2" s="1"/>
  <c r="T697" i="2" s="1"/>
  <c r="Y697" i="2" s="1"/>
  <c r="Z697" i="2" s="1"/>
  <c r="AB698" i="2"/>
  <c r="Q698" i="2"/>
  <c r="P698" i="2"/>
  <c r="R701" i="2"/>
  <c r="S701" i="2" s="1"/>
  <c r="T701" i="2" s="1"/>
  <c r="Y701" i="2" s="1"/>
  <c r="Z701" i="2" s="1"/>
  <c r="N707" i="2"/>
  <c r="AC707" i="2"/>
  <c r="W707" i="2"/>
  <c r="V707" i="2"/>
  <c r="AB720" i="2"/>
  <c r="Q720" i="2"/>
  <c r="P720" i="2"/>
  <c r="AC731" i="2"/>
  <c r="V731" i="2"/>
  <c r="N731" i="2"/>
  <c r="W731" i="2"/>
  <c r="AB778" i="2"/>
  <c r="N255" i="2"/>
  <c r="U255" i="2" s="1"/>
  <c r="AB272" i="2"/>
  <c r="AC272" i="2" s="1"/>
  <c r="N300" i="2"/>
  <c r="U300" i="2" s="1"/>
  <c r="N336" i="2"/>
  <c r="U336" i="2" s="1"/>
  <c r="P321" i="2"/>
  <c r="Q381" i="2"/>
  <c r="AB381" i="2"/>
  <c r="AC381" i="2" s="1"/>
  <c r="N453" i="2"/>
  <c r="U453" i="2" s="1"/>
  <c r="V453" i="2"/>
  <c r="W453" i="2" s="1"/>
  <c r="Q456" i="2"/>
  <c r="AB456" i="2"/>
  <c r="AC456" i="2" s="1"/>
  <c r="N465" i="2"/>
  <c r="U465" i="2" s="1"/>
  <c r="V465" i="2"/>
  <c r="W465" i="2" s="1"/>
  <c r="Q458" i="2"/>
  <c r="AB458" i="2"/>
  <c r="AC458" i="2" s="1"/>
  <c r="N476" i="2"/>
  <c r="U476" i="2" s="1"/>
  <c r="V476" i="2"/>
  <c r="W476" i="2" s="1"/>
  <c r="Q485" i="2"/>
  <c r="AB485" i="2"/>
  <c r="AC485" i="2" s="1"/>
  <c r="N33" i="2"/>
  <c r="U33" i="2" s="1"/>
  <c r="V33" i="2"/>
  <c r="W33" i="2" s="1"/>
  <c r="Q524" i="2"/>
  <c r="AB524" i="2"/>
  <c r="AC524" i="2" s="1"/>
  <c r="N564" i="2"/>
  <c r="U564" i="2" s="1"/>
  <c r="V564" i="2"/>
  <c r="W564" i="2" s="1"/>
  <c r="Q582" i="2"/>
  <c r="AB582" i="2"/>
  <c r="AC582" i="2" s="1"/>
  <c r="N74" i="2"/>
  <c r="U74" i="2" s="1"/>
  <c r="V74" i="2"/>
  <c r="W74" i="2" s="1"/>
  <c r="Q94" i="2"/>
  <c r="AB94" i="2"/>
  <c r="AC94" i="2" s="1"/>
  <c r="N105" i="2"/>
  <c r="U105" i="2" s="1"/>
  <c r="V105" i="2"/>
  <c r="W105" i="2" s="1"/>
  <c r="Q115" i="2"/>
  <c r="AB115" i="2"/>
  <c r="AC115" i="2" s="1"/>
  <c r="N295" i="2"/>
  <c r="U295" i="2" s="1"/>
  <c r="V295" i="2"/>
  <c r="W295" i="2" s="1"/>
  <c r="Q352" i="2"/>
  <c r="AB352" i="2"/>
  <c r="AC352" i="2" s="1"/>
  <c r="N487" i="2"/>
  <c r="U487" i="2" s="1"/>
  <c r="V487" i="2"/>
  <c r="W487" i="2" s="1"/>
  <c r="Q545" i="2"/>
  <c r="AB545" i="2"/>
  <c r="AC545" i="2" s="1"/>
  <c r="N586" i="2"/>
  <c r="U586" i="2" s="1"/>
  <c r="V586" i="2"/>
  <c r="W586" i="2" s="1"/>
  <c r="Q75" i="2"/>
  <c r="AB75" i="2"/>
  <c r="AC75" i="2" s="1"/>
  <c r="N85" i="2"/>
  <c r="U85" i="2" s="1"/>
  <c r="V85" i="2"/>
  <c r="W85" i="2" s="1"/>
  <c r="Q142" i="2"/>
  <c r="T53" i="2"/>
  <c r="Y53" i="2" s="1"/>
  <c r="Z53" i="2" s="1"/>
  <c r="AB320" i="2"/>
  <c r="AC320" i="2" s="1"/>
  <c r="Q320" i="2"/>
  <c r="P320" i="2"/>
  <c r="V240" i="2"/>
  <c r="W240" i="2" s="1"/>
  <c r="N240" i="2"/>
  <c r="U240" i="2" s="1"/>
  <c r="T100" i="2"/>
  <c r="Y100" i="2" s="1"/>
  <c r="Z100" i="2" s="1"/>
  <c r="AB662" i="2"/>
  <c r="Q662" i="2"/>
  <c r="P662" i="2"/>
  <c r="R673" i="2"/>
  <c r="S673" i="2" s="1"/>
  <c r="T673" i="2" s="1"/>
  <c r="Y673" i="2" s="1"/>
  <c r="Z673" i="2" s="1"/>
  <c r="W681" i="2"/>
  <c r="V681" i="2"/>
  <c r="AC681" i="2"/>
  <c r="N681" i="2"/>
  <c r="W685" i="2"/>
  <c r="V685" i="2"/>
  <c r="AC685" i="2"/>
  <c r="N685" i="2"/>
  <c r="W689" i="2"/>
  <c r="V689" i="2"/>
  <c r="AC689" i="2"/>
  <c r="N689" i="2"/>
  <c r="W693" i="2"/>
  <c r="V693" i="2"/>
  <c r="AC693" i="2"/>
  <c r="N693" i="2"/>
  <c r="W697" i="2"/>
  <c r="V697" i="2"/>
  <c r="AC697" i="2"/>
  <c r="N697" i="2"/>
  <c r="AC701" i="2"/>
  <c r="V701" i="2"/>
  <c r="W701" i="2"/>
  <c r="N701" i="2"/>
  <c r="AB786" i="2"/>
  <c r="Q275" i="2"/>
  <c r="N281" i="2"/>
  <c r="U281" i="2" s="1"/>
  <c r="Q309" i="2"/>
  <c r="N326" i="2"/>
  <c r="U326" i="2" s="1"/>
  <c r="V336" i="2"/>
  <c r="W336" i="2" s="1"/>
  <c r="N370" i="2"/>
  <c r="U370" i="2" s="1"/>
  <c r="N432" i="2"/>
  <c r="U432" i="2" s="1"/>
  <c r="V432" i="2"/>
  <c r="W432" i="2" s="1"/>
  <c r="Q427" i="2"/>
  <c r="AB427" i="2"/>
  <c r="AC427" i="2" s="1"/>
  <c r="N462" i="2"/>
  <c r="U462" i="2" s="1"/>
  <c r="V462" i="2"/>
  <c r="W462" i="2" s="1"/>
  <c r="Q440" i="2"/>
  <c r="AB440" i="2"/>
  <c r="AC440" i="2" s="1"/>
  <c r="N474" i="2"/>
  <c r="U474" i="2" s="1"/>
  <c r="V474" i="2"/>
  <c r="W474" i="2" s="1"/>
  <c r="Q478" i="2"/>
  <c r="AB478" i="2"/>
  <c r="AC478" i="2" s="1"/>
  <c r="N482" i="2"/>
  <c r="U482" i="2" s="1"/>
  <c r="V482" i="2"/>
  <c r="W482" i="2" s="1"/>
  <c r="Q514" i="2"/>
  <c r="AB514" i="2"/>
  <c r="AC514" i="2" s="1"/>
  <c r="N527" i="2"/>
  <c r="U527" i="2" s="1"/>
  <c r="V527" i="2"/>
  <c r="W527" i="2" s="1"/>
  <c r="Q570" i="2"/>
  <c r="AB570" i="2"/>
  <c r="AC570" i="2" s="1"/>
  <c r="N57" i="2"/>
  <c r="U57" i="2" s="1"/>
  <c r="V57" i="2"/>
  <c r="W57" i="2" s="1"/>
  <c r="Q82" i="2"/>
  <c r="AB82" i="2"/>
  <c r="AC82" i="2" s="1"/>
  <c r="N93" i="2"/>
  <c r="U93" i="2" s="1"/>
  <c r="V93" i="2"/>
  <c r="W93" i="2" s="1"/>
  <c r="Q173" i="2"/>
  <c r="AB173" i="2"/>
  <c r="AC173" i="2" s="1"/>
  <c r="N221" i="2"/>
  <c r="U221" i="2" s="1"/>
  <c r="V221" i="2"/>
  <c r="W221" i="2" s="1"/>
  <c r="Q459" i="2"/>
  <c r="AB459" i="2"/>
  <c r="AC459" i="2" s="1"/>
  <c r="N359" i="2"/>
  <c r="U359" i="2" s="1"/>
  <c r="V359" i="2"/>
  <c r="W359" i="2" s="1"/>
  <c r="Q512" i="2"/>
  <c r="AB512" i="2"/>
  <c r="AC512" i="2" s="1"/>
  <c r="N552" i="2"/>
  <c r="U552" i="2" s="1"/>
  <c r="V552" i="2"/>
  <c r="W552" i="2" s="1"/>
  <c r="Q42" i="2"/>
  <c r="AB42" i="2"/>
  <c r="AC42" i="2" s="1"/>
  <c r="N81" i="2"/>
  <c r="U81" i="2" s="1"/>
  <c r="V81" i="2"/>
  <c r="W81" i="2" s="1"/>
  <c r="Q99" i="2"/>
  <c r="AB99" i="2"/>
  <c r="AC99" i="2" s="1"/>
  <c r="N339" i="2"/>
  <c r="U339" i="2" s="1"/>
  <c r="V339" i="2"/>
  <c r="W339" i="2" s="1"/>
  <c r="V554" i="2"/>
  <c r="W554" i="2" s="1"/>
  <c r="N554" i="2"/>
  <c r="U554" i="2" s="1"/>
  <c r="AB297" i="2"/>
  <c r="AC297" i="2" s="1"/>
  <c r="Q297" i="2"/>
  <c r="P297" i="2"/>
  <c r="V250" i="2"/>
  <c r="W250" i="2" s="1"/>
  <c r="N250" i="2"/>
  <c r="U250" i="2" s="1"/>
  <c r="T493" i="2"/>
  <c r="Y493" i="2" s="1"/>
  <c r="Z493" i="2" s="1"/>
  <c r="AB399" i="2"/>
  <c r="AC399" i="2" s="1"/>
  <c r="Q399" i="2"/>
  <c r="P399" i="2"/>
  <c r="R665" i="2"/>
  <c r="S665" i="2" s="1"/>
  <c r="T665" i="2" s="1"/>
  <c r="Y665" i="2" s="1"/>
  <c r="Z665" i="2" s="1"/>
  <c r="AC673" i="2"/>
  <c r="V673" i="2"/>
  <c r="N673" i="2"/>
  <c r="W673" i="2"/>
  <c r="AB684" i="2"/>
  <c r="Q684" i="2"/>
  <c r="P684" i="2"/>
  <c r="AB688" i="2"/>
  <c r="Q688" i="2"/>
  <c r="P688" i="2"/>
  <c r="AB692" i="2"/>
  <c r="Q692" i="2"/>
  <c r="P692" i="2"/>
  <c r="AB696" i="2"/>
  <c r="Q696" i="2"/>
  <c r="P696" i="2"/>
  <c r="AB700" i="2"/>
  <c r="Q700" i="2"/>
  <c r="P700" i="2"/>
  <c r="R739" i="2"/>
  <c r="S739" i="2" s="1"/>
  <c r="T739" i="2" s="1"/>
  <c r="Y739" i="2" s="1"/>
  <c r="Z739" i="2" s="1"/>
  <c r="AB324" i="2"/>
  <c r="AC324" i="2" s="1"/>
  <c r="Q324" i="2"/>
  <c r="AB83" i="2"/>
  <c r="AC83" i="2" s="1"/>
  <c r="Q83" i="2"/>
  <c r="V22" i="2"/>
  <c r="W22" i="2" s="1"/>
  <c r="AB197" i="2"/>
  <c r="AC197" i="2" s="1"/>
  <c r="Q197" i="2"/>
  <c r="V286" i="2"/>
  <c r="W286" i="2" s="1"/>
  <c r="AB244" i="2"/>
  <c r="AC244" i="2" s="1"/>
  <c r="Q244" i="2"/>
  <c r="V254" i="2"/>
  <c r="W254" i="2" s="1"/>
  <c r="AB229" i="2"/>
  <c r="AC229" i="2" s="1"/>
  <c r="Q229" i="2"/>
  <c r="V469" i="2"/>
  <c r="W469" i="2" s="1"/>
  <c r="AB568" i="2"/>
  <c r="AC568" i="2" s="1"/>
  <c r="Q568" i="2"/>
  <c r="V606" i="2"/>
  <c r="W606" i="2" s="1"/>
  <c r="AB660" i="2"/>
  <c r="Q660" i="2"/>
  <c r="V661" i="2"/>
  <c r="AC661" i="2"/>
  <c r="AB668" i="2"/>
  <c r="Q668" i="2"/>
  <c r="V669" i="2"/>
  <c r="AC669" i="2"/>
  <c r="AB676" i="2"/>
  <c r="Q676" i="2"/>
  <c r="V677" i="2"/>
  <c r="AC677" i="2"/>
  <c r="AB704" i="2"/>
  <c r="Q704" i="2"/>
  <c r="P704" i="2"/>
  <c r="AB728" i="2"/>
  <c r="Q728" i="2"/>
  <c r="P728" i="2"/>
  <c r="AC739" i="2"/>
  <c r="V739" i="2"/>
  <c r="N739" i="2"/>
  <c r="W739" i="2"/>
  <c r="AB758" i="2"/>
  <c r="AB776" i="2"/>
  <c r="AB784" i="2"/>
  <c r="AB816" i="2"/>
  <c r="Q816" i="2"/>
  <c r="P816" i="2"/>
  <c r="AB403" i="2"/>
  <c r="AC403" i="2" s="1"/>
  <c r="Q403" i="2"/>
  <c r="AB327" i="2"/>
  <c r="AC327" i="2" s="1"/>
  <c r="Q327" i="2"/>
  <c r="AB507" i="2"/>
  <c r="AC507" i="2" s="1"/>
  <c r="Q507" i="2"/>
  <c r="AB36" i="2"/>
  <c r="AC36" i="2" s="1"/>
  <c r="Q36" i="2"/>
  <c r="AB658" i="2"/>
  <c r="Q658" i="2"/>
  <c r="W661" i="2"/>
  <c r="AB666" i="2"/>
  <c r="Q666" i="2"/>
  <c r="W669" i="2"/>
  <c r="AB674" i="2"/>
  <c r="Q674" i="2"/>
  <c r="W677" i="2"/>
  <c r="AB701" i="2"/>
  <c r="AC715" i="2"/>
  <c r="V715" i="2"/>
  <c r="N715" i="2"/>
  <c r="W715" i="2"/>
  <c r="R723" i="2"/>
  <c r="S723" i="2" s="1"/>
  <c r="T723" i="2" s="1"/>
  <c r="Y723" i="2" s="1"/>
  <c r="Z723" i="2" s="1"/>
  <c r="AB736" i="2"/>
  <c r="Q736" i="2"/>
  <c r="P736" i="2"/>
  <c r="AB774" i="2"/>
  <c r="AB782" i="2"/>
  <c r="AB800" i="2"/>
  <c r="Q800" i="2"/>
  <c r="P800" i="2"/>
  <c r="AB384" i="2"/>
  <c r="AC384" i="2" s="1"/>
  <c r="Q384" i="2"/>
  <c r="AB270" i="2"/>
  <c r="AC270" i="2" s="1"/>
  <c r="Q270" i="2"/>
  <c r="P403" i="2"/>
  <c r="AB538" i="2"/>
  <c r="AC538" i="2" s="1"/>
  <c r="Q538" i="2"/>
  <c r="P327" i="2"/>
  <c r="AB539" i="2"/>
  <c r="AC539" i="2" s="1"/>
  <c r="Q539" i="2"/>
  <c r="P507" i="2"/>
  <c r="AB605" i="2"/>
  <c r="AC605" i="2" s="1"/>
  <c r="Q605" i="2"/>
  <c r="P36" i="2"/>
  <c r="AB656" i="2"/>
  <c r="Q656" i="2"/>
  <c r="P658" i="2"/>
  <c r="AB664" i="2"/>
  <c r="Q664" i="2"/>
  <c r="P666" i="2"/>
  <c r="AB672" i="2"/>
  <c r="Q672" i="2"/>
  <c r="P674" i="2"/>
  <c r="AB680" i="2"/>
  <c r="Q680" i="2"/>
  <c r="AB706" i="2"/>
  <c r="Q706" i="2"/>
  <c r="R707" i="2"/>
  <c r="S707" i="2" s="1"/>
  <c r="T707" i="2" s="1"/>
  <c r="Y707" i="2" s="1"/>
  <c r="Z707" i="2" s="1"/>
  <c r="AC709" i="2"/>
  <c r="V709" i="2"/>
  <c r="T709" i="2"/>
  <c r="Y709" i="2" s="1"/>
  <c r="Z709" i="2" s="1"/>
  <c r="AB712" i="2"/>
  <c r="Q712" i="2"/>
  <c r="P712" i="2"/>
  <c r="T717" i="2"/>
  <c r="Y717" i="2" s="1"/>
  <c r="Z717" i="2" s="1"/>
  <c r="AC723" i="2"/>
  <c r="V723" i="2"/>
  <c r="N723" i="2"/>
  <c r="W723" i="2"/>
  <c r="R731" i="2"/>
  <c r="S731" i="2" s="1"/>
  <c r="T731" i="2" s="1"/>
  <c r="Y731" i="2" s="1"/>
  <c r="Z731" i="2" s="1"/>
  <c r="AB750" i="2"/>
  <c r="AB766" i="2"/>
  <c r="AB772" i="2"/>
  <c r="AB780" i="2"/>
  <c r="AB702" i="2"/>
  <c r="Q702" i="2"/>
  <c r="V703" i="2"/>
  <c r="AC703" i="2"/>
  <c r="AB710" i="2"/>
  <c r="Q710" i="2"/>
  <c r="V711" i="2"/>
  <c r="AC711" i="2"/>
  <c r="AB718" i="2"/>
  <c r="Q718" i="2"/>
  <c r="V719" i="2"/>
  <c r="AC719" i="2"/>
  <c r="AB726" i="2"/>
  <c r="Q726" i="2"/>
  <c r="V727" i="2"/>
  <c r="AC727" i="2"/>
  <c r="AB734" i="2"/>
  <c r="Q734" i="2"/>
  <c r="V735" i="2"/>
  <c r="AC735" i="2"/>
  <c r="AB742" i="2"/>
  <c r="Q742" i="2"/>
  <c r="V743" i="2"/>
  <c r="AB748" i="2"/>
  <c r="AB756" i="2"/>
  <c r="AB764" i="2"/>
  <c r="AB792" i="2"/>
  <c r="Q792" i="2"/>
  <c r="P792" i="2"/>
  <c r="W843" i="2"/>
  <c r="V843" i="2"/>
  <c r="N843" i="2"/>
  <c r="AC843" i="2"/>
  <c r="AB708" i="2"/>
  <c r="Q708" i="2"/>
  <c r="AB716" i="2"/>
  <c r="Q716" i="2"/>
  <c r="V717" i="2"/>
  <c r="AC717" i="2"/>
  <c r="AB724" i="2"/>
  <c r="Q724" i="2"/>
  <c r="V725" i="2"/>
  <c r="AC725" i="2"/>
  <c r="AB732" i="2"/>
  <c r="Q732" i="2"/>
  <c r="V733" i="2"/>
  <c r="AC733" i="2"/>
  <c r="AB740" i="2"/>
  <c r="Q740" i="2"/>
  <c r="V741" i="2"/>
  <c r="AC741" i="2"/>
  <c r="AB746" i="2"/>
  <c r="AB754" i="2"/>
  <c r="AB762" i="2"/>
  <c r="AC803" i="2"/>
  <c r="V803" i="2"/>
  <c r="N803" i="2"/>
  <c r="W803" i="2"/>
  <c r="AC811" i="2"/>
  <c r="V811" i="2"/>
  <c r="N811" i="2"/>
  <c r="W811" i="2"/>
  <c r="AB840" i="2"/>
  <c r="AB714" i="2"/>
  <c r="Q714" i="2"/>
  <c r="AB722" i="2"/>
  <c r="Q722" i="2"/>
  <c r="AB730" i="2"/>
  <c r="Q730" i="2"/>
  <c r="AB738" i="2"/>
  <c r="Q738" i="2"/>
  <c r="AB744" i="2"/>
  <c r="AB752" i="2"/>
  <c r="AB760" i="2"/>
  <c r="AB768" i="2"/>
  <c r="AC795" i="2"/>
  <c r="V795" i="2"/>
  <c r="N795" i="2"/>
  <c r="W795" i="2"/>
  <c r="AB808" i="2"/>
  <c r="Q808" i="2"/>
  <c r="P808" i="2"/>
  <c r="AC819" i="2"/>
  <c r="V819" i="2"/>
  <c r="N819" i="2"/>
  <c r="W819" i="2"/>
  <c r="W851" i="2"/>
  <c r="V851" i="2"/>
  <c r="N851" i="2"/>
  <c r="AC851" i="2"/>
  <c r="Q744" i="2"/>
  <c r="Q746" i="2"/>
  <c r="Q748" i="2"/>
  <c r="Q750" i="2"/>
  <c r="Q752" i="2"/>
  <c r="Q754" i="2"/>
  <c r="Q756" i="2"/>
  <c r="Q758" i="2"/>
  <c r="Q760" i="2"/>
  <c r="Q762" i="2"/>
  <c r="Q764" i="2"/>
  <c r="Q766" i="2"/>
  <c r="Q768" i="2"/>
  <c r="Q770" i="2"/>
  <c r="Q772" i="2"/>
  <c r="Q774" i="2"/>
  <c r="Q776" i="2"/>
  <c r="Q778" i="2"/>
  <c r="Q780" i="2"/>
  <c r="Q782" i="2"/>
  <c r="Q784" i="2"/>
  <c r="Q786" i="2"/>
  <c r="AB790" i="2"/>
  <c r="Q790" i="2"/>
  <c r="V791" i="2"/>
  <c r="AC791" i="2"/>
  <c r="AB798" i="2"/>
  <c r="Q798" i="2"/>
  <c r="V799" i="2"/>
  <c r="AC799" i="2"/>
  <c r="AB806" i="2"/>
  <c r="Q806" i="2"/>
  <c r="V807" i="2"/>
  <c r="AC807" i="2"/>
  <c r="AB814" i="2"/>
  <c r="Q814" i="2"/>
  <c r="V815" i="2"/>
  <c r="AC815" i="2"/>
  <c r="V821" i="2"/>
  <c r="V823" i="2"/>
  <c r="V825" i="2"/>
  <c r="AB834" i="2"/>
  <c r="AB836" i="2"/>
  <c r="AB838" i="2"/>
  <c r="AB842" i="2"/>
  <c r="W845" i="2"/>
  <c r="V845" i="2"/>
  <c r="N845" i="2"/>
  <c r="AC845" i="2"/>
  <c r="W853" i="2"/>
  <c r="V853" i="2"/>
  <c r="N853" i="2"/>
  <c r="AC853" i="2"/>
  <c r="AB861" i="2"/>
  <c r="Q861" i="2"/>
  <c r="P861" i="2"/>
  <c r="AB875" i="2"/>
  <c r="Q875" i="2"/>
  <c r="P875" i="2"/>
  <c r="AB788" i="2"/>
  <c r="Q788" i="2"/>
  <c r="W791" i="2"/>
  <c r="AB796" i="2"/>
  <c r="Q796" i="2"/>
  <c r="W799" i="2"/>
  <c r="AB804" i="2"/>
  <c r="Q804" i="2"/>
  <c r="W807" i="2"/>
  <c r="AB812" i="2"/>
  <c r="Q812" i="2"/>
  <c r="V813" i="2"/>
  <c r="AC813" i="2"/>
  <c r="AB820" i="2"/>
  <c r="Q820" i="2"/>
  <c r="R840" i="2"/>
  <c r="S840" i="2" s="1"/>
  <c r="T840" i="2" s="1"/>
  <c r="Y840" i="2" s="1"/>
  <c r="Z840" i="2" s="1"/>
  <c r="W847" i="2"/>
  <c r="V847" i="2"/>
  <c r="N847" i="2"/>
  <c r="AC847" i="2"/>
  <c r="W855" i="2"/>
  <c r="V855" i="2"/>
  <c r="N855" i="2"/>
  <c r="AC855" i="2"/>
  <c r="AC880" i="2"/>
  <c r="W880" i="2"/>
  <c r="N880" i="2"/>
  <c r="V880" i="2"/>
  <c r="V787" i="2"/>
  <c r="P788" i="2"/>
  <c r="AB794" i="2"/>
  <c r="Q794" i="2"/>
  <c r="P796" i="2"/>
  <c r="AB802" i="2"/>
  <c r="Q802" i="2"/>
  <c r="P804" i="2"/>
  <c r="AB810" i="2"/>
  <c r="Q810" i="2"/>
  <c r="AB818" i="2"/>
  <c r="Q818" i="2"/>
  <c r="T821" i="2"/>
  <c r="Y821" i="2" s="1"/>
  <c r="Z821" i="2" s="1"/>
  <c r="AB822" i="2"/>
  <c r="Q822" i="2"/>
  <c r="AB824" i="2"/>
  <c r="Q824" i="2"/>
  <c r="AB826" i="2"/>
  <c r="Q826" i="2"/>
  <c r="AB828" i="2"/>
  <c r="Q828" i="2"/>
  <c r="AB830" i="2"/>
  <c r="Q830" i="2"/>
  <c r="AB832" i="2"/>
  <c r="Q832" i="2"/>
  <c r="T835" i="2"/>
  <c r="Y835" i="2" s="1"/>
  <c r="Z835" i="2" s="1"/>
  <c r="T839" i="2"/>
  <c r="Y839" i="2" s="1"/>
  <c r="Z839" i="2" s="1"/>
  <c r="W849" i="2"/>
  <c r="V849" i="2"/>
  <c r="N849" i="2"/>
  <c r="AC849" i="2"/>
  <c r="W857" i="2"/>
  <c r="V857" i="2"/>
  <c r="N857" i="2"/>
  <c r="AC857" i="2"/>
  <c r="R862" i="2"/>
  <c r="S862" i="2" s="1"/>
  <c r="T862" i="2" s="1"/>
  <c r="Y862" i="2" s="1"/>
  <c r="Z862" i="2" s="1"/>
  <c r="Q834" i="2"/>
  <c r="Q836" i="2"/>
  <c r="Q838" i="2"/>
  <c r="AC840" i="2"/>
  <c r="W840" i="2"/>
  <c r="N840" i="2"/>
  <c r="V841" i="2"/>
  <c r="AC841" i="2"/>
  <c r="Q842" i="2"/>
  <c r="AB863" i="2"/>
  <c r="Q863" i="2"/>
  <c r="P863" i="2"/>
  <c r="AB873" i="2"/>
  <c r="Q873" i="2"/>
  <c r="P873" i="2"/>
  <c r="AC842" i="2"/>
  <c r="W842" i="2"/>
  <c r="N842" i="2"/>
  <c r="AB844" i="2"/>
  <c r="Q844" i="2"/>
  <c r="AB846" i="2"/>
  <c r="Q846" i="2"/>
  <c r="AB848" i="2"/>
  <c r="Q848" i="2"/>
  <c r="AB850" i="2"/>
  <c r="Q850" i="2"/>
  <c r="AB852" i="2"/>
  <c r="Q852" i="2"/>
  <c r="AB854" i="2"/>
  <c r="Q854" i="2"/>
  <c r="AB856" i="2"/>
  <c r="Q856" i="2"/>
  <c r="AB859" i="2"/>
  <c r="Q859" i="2"/>
  <c r="P859" i="2"/>
  <c r="AB865" i="2"/>
  <c r="Q865" i="2"/>
  <c r="P865" i="2"/>
  <c r="AB871" i="2"/>
  <c r="Q871" i="2"/>
  <c r="P871" i="2"/>
  <c r="AB867" i="2"/>
  <c r="Q867" i="2"/>
  <c r="P867" i="2"/>
  <c r="AB869" i="2"/>
  <c r="Q869" i="2"/>
  <c r="P869" i="2"/>
  <c r="AB881" i="2"/>
  <c r="Q881" i="2"/>
  <c r="P881" i="2"/>
  <c r="AC882" i="2"/>
  <c r="W882" i="2"/>
  <c r="N882" i="2"/>
  <c r="V882" i="2"/>
  <c r="Q883" i="2"/>
  <c r="AB883" i="2"/>
  <c r="P883" i="2"/>
  <c r="AC885" i="2"/>
  <c r="W885" i="2"/>
  <c r="N885" i="2"/>
  <c r="P886" i="2"/>
  <c r="AB886" i="2"/>
  <c r="Q886" i="2"/>
  <c r="AB897" i="2"/>
  <c r="Q897" i="2"/>
  <c r="P897" i="2"/>
  <c r="V844" i="2"/>
  <c r="V846" i="2"/>
  <c r="V848" i="2"/>
  <c r="V850" i="2"/>
  <c r="V852" i="2"/>
  <c r="V854" i="2"/>
  <c r="V856" i="2"/>
  <c r="V858" i="2"/>
  <c r="AC858" i="2"/>
  <c r="AC860" i="2"/>
  <c r="W860" i="2"/>
  <c r="N860" i="2"/>
  <c r="AC862" i="2"/>
  <c r="W862" i="2"/>
  <c r="N862" i="2"/>
  <c r="AC864" i="2"/>
  <c r="W864" i="2"/>
  <c r="N864" i="2"/>
  <c r="AC866" i="2"/>
  <c r="W866" i="2"/>
  <c r="N866" i="2"/>
  <c r="AC868" i="2"/>
  <c r="W868" i="2"/>
  <c r="N868" i="2"/>
  <c r="T868" i="2"/>
  <c r="Y868" i="2" s="1"/>
  <c r="Z868" i="2" s="1"/>
  <c r="AC870" i="2"/>
  <c r="W870" i="2"/>
  <c r="N870" i="2"/>
  <c r="AC872" i="2"/>
  <c r="W872" i="2"/>
  <c r="N872" i="2"/>
  <c r="T872" i="2"/>
  <c r="Y872" i="2" s="1"/>
  <c r="Z872" i="2" s="1"/>
  <c r="AC874" i="2"/>
  <c r="W874" i="2"/>
  <c r="N874" i="2"/>
  <c r="AC876" i="2"/>
  <c r="W876" i="2"/>
  <c r="N876" i="2"/>
  <c r="V876" i="2"/>
  <c r="AB877" i="2"/>
  <c r="Q877" i="2"/>
  <c r="P877" i="2"/>
  <c r="R878" i="2"/>
  <c r="S878" i="2" s="1"/>
  <c r="T878" i="2" s="1"/>
  <c r="Y878" i="2" s="1"/>
  <c r="Z878" i="2" s="1"/>
  <c r="AB884" i="2"/>
  <c r="Q884" i="2"/>
  <c r="P884" i="2"/>
  <c r="AC892" i="2"/>
  <c r="W892" i="2"/>
  <c r="N892" i="2"/>
  <c r="V892" i="2"/>
  <c r="AB905" i="2"/>
  <c r="Q905" i="2"/>
  <c r="P905" i="2"/>
  <c r="N844" i="2"/>
  <c r="W844" i="2"/>
  <c r="N846" i="2"/>
  <c r="W846" i="2"/>
  <c r="N848" i="2"/>
  <c r="W848" i="2"/>
  <c r="N850" i="2"/>
  <c r="W850" i="2"/>
  <c r="N852" i="2"/>
  <c r="W852" i="2"/>
  <c r="N854" i="2"/>
  <c r="W854" i="2"/>
  <c r="N856" i="2"/>
  <c r="W856" i="2"/>
  <c r="N858" i="2"/>
  <c r="V860" i="2"/>
  <c r="V862" i="2"/>
  <c r="V864" i="2"/>
  <c r="V866" i="2"/>
  <c r="V868" i="2"/>
  <c r="V870" i="2"/>
  <c r="V872" i="2"/>
  <c r="V874" i="2"/>
  <c r="AC878" i="2"/>
  <c r="W878" i="2"/>
  <c r="N878" i="2"/>
  <c r="V878" i="2"/>
  <c r="AB879" i="2"/>
  <c r="Q879" i="2"/>
  <c r="P879" i="2"/>
  <c r="R880" i="2"/>
  <c r="S880" i="2" s="1"/>
  <c r="T880" i="2" s="1"/>
  <c r="Y880" i="2" s="1"/>
  <c r="Z880" i="2" s="1"/>
  <c r="V885" i="2"/>
  <c r="AC889" i="2"/>
  <c r="W889" i="2"/>
  <c r="N889" i="2"/>
  <c r="P890" i="2"/>
  <c r="AB890" i="2"/>
  <c r="Q890" i="2"/>
  <c r="AC900" i="2"/>
  <c r="W900" i="2"/>
  <c r="N900" i="2"/>
  <c r="V900" i="2"/>
  <c r="AC888" i="2"/>
  <c r="W888" i="2"/>
  <c r="N888" i="2"/>
  <c r="V888" i="2"/>
  <c r="AB891" i="2"/>
  <c r="Q891" i="2"/>
  <c r="P891" i="2"/>
  <c r="AC894" i="2"/>
  <c r="W894" i="2"/>
  <c r="N894" i="2"/>
  <c r="AB899" i="2"/>
  <c r="Q899" i="2"/>
  <c r="P899" i="2"/>
  <c r="AC902" i="2"/>
  <c r="W902" i="2"/>
  <c r="N902" i="2"/>
  <c r="AB907" i="2"/>
  <c r="Q907" i="2"/>
  <c r="P907" i="2"/>
  <c r="V883" i="2"/>
  <c r="Q885" i="2"/>
  <c r="AB885" i="2"/>
  <c r="AC887" i="2"/>
  <c r="W887" i="2"/>
  <c r="N887" i="2"/>
  <c r="V887" i="2"/>
  <c r="Q889" i="2"/>
  <c r="AB889" i="2"/>
  <c r="AB893" i="2"/>
  <c r="Q893" i="2"/>
  <c r="P893" i="2"/>
  <c r="AC896" i="2"/>
  <c r="W896" i="2"/>
  <c r="N896" i="2"/>
  <c r="AB901" i="2"/>
  <c r="Q901" i="2"/>
  <c r="P901" i="2"/>
  <c r="AC904" i="2"/>
  <c r="W904" i="2"/>
  <c r="N904" i="2"/>
  <c r="AC884" i="2"/>
  <c r="W884" i="2"/>
  <c r="N884" i="2"/>
  <c r="AC886" i="2"/>
  <c r="W886" i="2"/>
  <c r="N886" i="2"/>
  <c r="V886" i="2"/>
  <c r="AC890" i="2"/>
  <c r="W890" i="2"/>
  <c r="N890" i="2"/>
  <c r="AB895" i="2"/>
  <c r="Q895" i="2"/>
  <c r="P895" i="2"/>
  <c r="AC898" i="2"/>
  <c r="W898" i="2"/>
  <c r="N898" i="2"/>
  <c r="AB903" i="2"/>
  <c r="Q903" i="2"/>
  <c r="P903" i="2"/>
  <c r="AC906" i="2"/>
  <c r="W906" i="2"/>
  <c r="N906" i="2"/>
  <c r="V891" i="2"/>
  <c r="V893" i="2"/>
  <c r="V895" i="2"/>
  <c r="V897" i="2"/>
  <c r="V899" i="2"/>
  <c r="V901" i="2"/>
  <c r="V903" i="2"/>
  <c r="V905" i="2"/>
  <c r="V907" i="2"/>
  <c r="N891" i="2"/>
  <c r="W891" i="2"/>
  <c r="N893" i="2"/>
  <c r="W893" i="2"/>
  <c r="N895" i="2"/>
  <c r="W895" i="2"/>
  <c r="N897" i="2"/>
  <c r="W897" i="2"/>
  <c r="N899" i="2"/>
  <c r="W899" i="2"/>
  <c r="N901" i="2"/>
  <c r="W901" i="2"/>
  <c r="N903" i="2"/>
  <c r="W903" i="2"/>
  <c r="N905" i="2"/>
  <c r="W905" i="2"/>
  <c r="N907" i="2"/>
  <c r="W907" i="2"/>
  <c r="P567" i="2"/>
  <c r="Q567" i="2"/>
  <c r="R567" i="2" s="1"/>
  <c r="S567" i="2" s="1"/>
  <c r="T567" i="2" s="1"/>
  <c r="Y567" i="2" s="1"/>
  <c r="Z567" i="2" s="1"/>
  <c r="V614" i="2"/>
  <c r="W614" i="2" s="1"/>
  <c r="N614" i="2"/>
  <c r="U614" i="2" s="1"/>
  <c r="AB621" i="2"/>
  <c r="AC621" i="2" s="1"/>
  <c r="P621" i="2"/>
  <c r="R133" i="2"/>
  <c r="S133" i="2" s="1"/>
  <c r="T133" i="2" s="1"/>
  <c r="Y133" i="2" s="1"/>
  <c r="Z133" i="2" s="1"/>
  <c r="V166" i="2"/>
  <c r="W166" i="2" s="1"/>
  <c r="N166" i="2"/>
  <c r="U166" i="2" s="1"/>
  <c r="N171" i="2"/>
  <c r="U171" i="2" s="1"/>
  <c r="R188" i="2"/>
  <c r="S188" i="2" s="1"/>
  <c r="T188" i="2" s="1"/>
  <c r="Y188" i="2" s="1"/>
  <c r="Z188" i="2" s="1"/>
  <c r="V618" i="2"/>
  <c r="W618" i="2" s="1"/>
  <c r="P27" i="2"/>
  <c r="Q27" i="2"/>
  <c r="R27" i="2" s="1"/>
  <c r="S27" i="2" s="1"/>
  <c r="T27" i="2" s="1"/>
  <c r="Y27" i="2" s="1"/>
  <c r="Z27" i="2" s="1"/>
  <c r="R129" i="2"/>
  <c r="S129" i="2" s="1"/>
  <c r="T129" i="2" s="1"/>
  <c r="Y129" i="2" s="1"/>
  <c r="Z129" i="2" s="1"/>
  <c r="R147" i="2"/>
  <c r="S147" i="2" s="1"/>
  <c r="T147" i="2" s="1"/>
  <c r="Y147" i="2" s="1"/>
  <c r="Z147" i="2" s="1"/>
  <c r="R153" i="2"/>
  <c r="S153" i="2" s="1"/>
  <c r="T153" i="2" s="1"/>
  <c r="Y153" i="2" s="1"/>
  <c r="Z153" i="2" s="1"/>
  <c r="R162" i="2"/>
  <c r="S162" i="2" s="1"/>
  <c r="T162" i="2" s="1"/>
  <c r="Y162" i="2" s="1"/>
  <c r="Z162" i="2" s="1"/>
  <c r="Q180" i="2"/>
  <c r="R180" i="2" s="1"/>
  <c r="S180" i="2" s="1"/>
  <c r="T180" i="2" s="1"/>
  <c r="Y180" i="2" s="1"/>
  <c r="Z180" i="2" s="1"/>
  <c r="P180" i="2"/>
  <c r="V211" i="2"/>
  <c r="W211" i="2" s="1"/>
  <c r="N211" i="2"/>
  <c r="U211" i="2" s="1"/>
  <c r="P219" i="2"/>
  <c r="Q219" i="2"/>
  <c r="R219" i="2" s="1"/>
  <c r="S219" i="2" s="1"/>
  <c r="T219" i="2" s="1"/>
  <c r="Y219" i="2" s="1"/>
  <c r="Z219" i="2" s="1"/>
  <c r="P246" i="2"/>
  <c r="Q246" i="2"/>
  <c r="R246" i="2" s="1"/>
  <c r="S246" i="2" s="1"/>
  <c r="T246" i="2" s="1"/>
  <c r="Y246" i="2" s="1"/>
  <c r="Z246" i="2" s="1"/>
  <c r="P551" i="2"/>
  <c r="AB551" i="2"/>
  <c r="AC551" i="2" s="1"/>
  <c r="AB601" i="2"/>
  <c r="AC601" i="2" s="1"/>
  <c r="P607" i="2"/>
  <c r="Q607" i="2"/>
  <c r="R607" i="2" s="1"/>
  <c r="S607" i="2" s="1"/>
  <c r="T607" i="2" s="1"/>
  <c r="Y607" i="2" s="1"/>
  <c r="Z607" i="2" s="1"/>
  <c r="P626" i="2"/>
  <c r="Q626" i="2"/>
  <c r="R626" i="2" s="1"/>
  <c r="S626" i="2" s="1"/>
  <c r="T626" i="2" s="1"/>
  <c r="Y626" i="2" s="1"/>
  <c r="Z626" i="2" s="1"/>
  <c r="AB56" i="2"/>
  <c r="AC56" i="2" s="1"/>
  <c r="Q56" i="2"/>
  <c r="R56" i="2" s="1"/>
  <c r="S56" i="2" s="1"/>
  <c r="T56" i="2" s="1"/>
  <c r="Y56" i="2" s="1"/>
  <c r="Z56" i="2" s="1"/>
  <c r="P56" i="2"/>
  <c r="AB63" i="2"/>
  <c r="AC63" i="2" s="1"/>
  <c r="Q63" i="2"/>
  <c r="R63" i="2" s="1"/>
  <c r="S63" i="2" s="1"/>
  <c r="P63" i="2"/>
  <c r="AB66" i="2"/>
  <c r="AC66" i="2" s="1"/>
  <c r="Q66" i="2"/>
  <c r="R66" i="2" s="1"/>
  <c r="S66" i="2" s="1"/>
  <c r="T66" i="2" s="1"/>
  <c r="Y66" i="2" s="1"/>
  <c r="Z66" i="2" s="1"/>
  <c r="P66" i="2"/>
  <c r="AB72" i="2"/>
  <c r="AC72" i="2" s="1"/>
  <c r="Q72" i="2"/>
  <c r="R72" i="2" s="1"/>
  <c r="S72" i="2" s="1"/>
  <c r="T72" i="2" s="1"/>
  <c r="Y72" i="2" s="1"/>
  <c r="Z72" i="2" s="1"/>
  <c r="P72" i="2"/>
  <c r="AB80" i="2"/>
  <c r="AC80" i="2" s="1"/>
  <c r="Q80" i="2"/>
  <c r="R80" i="2" s="1"/>
  <c r="S80" i="2" s="1"/>
  <c r="T80" i="2" s="1"/>
  <c r="Y80" i="2" s="1"/>
  <c r="Z80" i="2" s="1"/>
  <c r="P80" i="2"/>
  <c r="AB89" i="2"/>
  <c r="AC89" i="2" s="1"/>
  <c r="Q89" i="2"/>
  <c r="R89" i="2" s="1"/>
  <c r="S89" i="2" s="1"/>
  <c r="T89" i="2" s="1"/>
  <c r="Y89" i="2" s="1"/>
  <c r="Z89" i="2" s="1"/>
  <c r="P89" i="2"/>
  <c r="AB96" i="2"/>
  <c r="AC96" i="2" s="1"/>
  <c r="Q96" i="2"/>
  <c r="R96" i="2" s="1"/>
  <c r="S96" i="2" s="1"/>
  <c r="T96" i="2" s="1"/>
  <c r="Y96" i="2" s="1"/>
  <c r="Z96" i="2" s="1"/>
  <c r="P96" i="2"/>
  <c r="AB110" i="2"/>
  <c r="AC110" i="2" s="1"/>
  <c r="Q110" i="2"/>
  <c r="R110" i="2" s="1"/>
  <c r="S110" i="2" s="1"/>
  <c r="T110" i="2" s="1"/>
  <c r="Y110" i="2" s="1"/>
  <c r="Z110" i="2" s="1"/>
  <c r="P110" i="2"/>
  <c r="R120" i="2"/>
  <c r="S120" i="2" s="1"/>
  <c r="T120" i="2" s="1"/>
  <c r="Y120" i="2" s="1"/>
  <c r="Z120" i="2" s="1"/>
  <c r="R144" i="2"/>
  <c r="S144" i="2" s="1"/>
  <c r="T144" i="2" s="1"/>
  <c r="Y144" i="2" s="1"/>
  <c r="Z144" i="2" s="1"/>
  <c r="V179" i="2"/>
  <c r="W179" i="2" s="1"/>
  <c r="N179" i="2"/>
  <c r="U179" i="2" s="1"/>
  <c r="V182" i="2"/>
  <c r="W182" i="2" s="1"/>
  <c r="N182" i="2"/>
  <c r="U182" i="2" s="1"/>
  <c r="R175" i="2"/>
  <c r="S175" i="2" s="1"/>
  <c r="T175" i="2" s="1"/>
  <c r="Y175" i="2" s="1"/>
  <c r="Z175" i="2" s="1"/>
  <c r="P590" i="2"/>
  <c r="AB590" i="2"/>
  <c r="AC590" i="2" s="1"/>
  <c r="P615" i="2"/>
  <c r="Q615" i="2"/>
  <c r="R615" i="2" s="1"/>
  <c r="S615" i="2" s="1"/>
  <c r="T615" i="2" s="1"/>
  <c r="Y615" i="2" s="1"/>
  <c r="Z615" i="2" s="1"/>
  <c r="V622" i="2"/>
  <c r="W622" i="2" s="1"/>
  <c r="N622" i="2"/>
  <c r="U622" i="2" s="1"/>
  <c r="P39" i="2"/>
  <c r="Q39" i="2"/>
  <c r="R39" i="2" s="1"/>
  <c r="S39" i="2" s="1"/>
  <c r="T39" i="2" s="1"/>
  <c r="Y39" i="2" s="1"/>
  <c r="Z39" i="2" s="1"/>
  <c r="V59" i="2"/>
  <c r="W59" i="2" s="1"/>
  <c r="N59" i="2"/>
  <c r="U59" i="2" s="1"/>
  <c r="V65" i="2"/>
  <c r="W65" i="2" s="1"/>
  <c r="N65" i="2"/>
  <c r="U65" i="2" s="1"/>
  <c r="V68" i="2"/>
  <c r="W68" i="2" s="1"/>
  <c r="N68" i="2"/>
  <c r="U68" i="2" s="1"/>
  <c r="V73" i="2"/>
  <c r="W73" i="2" s="1"/>
  <c r="N73" i="2"/>
  <c r="U73" i="2" s="1"/>
  <c r="V84" i="2"/>
  <c r="W84" i="2" s="1"/>
  <c r="N84" i="2"/>
  <c r="U84" i="2" s="1"/>
  <c r="V90" i="2"/>
  <c r="W90" i="2" s="1"/>
  <c r="N90" i="2"/>
  <c r="U90" i="2" s="1"/>
  <c r="V95" i="2"/>
  <c r="W95" i="2" s="1"/>
  <c r="N95" i="2"/>
  <c r="U95" i="2" s="1"/>
  <c r="R139" i="2"/>
  <c r="S139" i="2" s="1"/>
  <c r="T139" i="2" s="1"/>
  <c r="Y139" i="2" s="1"/>
  <c r="Z139" i="2" s="1"/>
  <c r="Q168" i="2"/>
  <c r="R168" i="2" s="1"/>
  <c r="S168" i="2" s="1"/>
  <c r="T168" i="2" s="1"/>
  <c r="Y168" i="2" s="1"/>
  <c r="Z168" i="2" s="1"/>
  <c r="P168" i="2"/>
  <c r="N172" i="2"/>
  <c r="U172" i="2" s="1"/>
  <c r="V172" i="2"/>
  <c r="W172" i="2" s="1"/>
  <c r="R187" i="2"/>
  <c r="S187" i="2" s="1"/>
  <c r="T187" i="2" s="1"/>
  <c r="Y187" i="2" s="1"/>
  <c r="Z187" i="2" s="1"/>
  <c r="N277" i="2"/>
  <c r="U277" i="2" s="1"/>
  <c r="AB88" i="2"/>
  <c r="AC88" i="2" s="1"/>
  <c r="AB175" i="2"/>
  <c r="AC175" i="2" s="1"/>
  <c r="N124" i="2"/>
  <c r="U124" i="2" s="1"/>
  <c r="AB116" i="2"/>
  <c r="AC116" i="2" s="1"/>
  <c r="AB187" i="2"/>
  <c r="AC187" i="2" s="1"/>
  <c r="N184" i="2"/>
  <c r="U184" i="2" s="1"/>
  <c r="AB167" i="2"/>
  <c r="AC167" i="2" s="1"/>
  <c r="AB188" i="2"/>
  <c r="AC188" i="2" s="1"/>
  <c r="N202" i="2"/>
  <c r="U202" i="2" s="1"/>
  <c r="V202" i="2"/>
  <c r="W202" i="2" s="1"/>
  <c r="V345" i="2"/>
  <c r="W345" i="2" s="1"/>
  <c r="AB375" i="2"/>
  <c r="AC375" i="2" s="1"/>
  <c r="AB379" i="2"/>
  <c r="AC379" i="2" s="1"/>
  <c r="Q379" i="2"/>
  <c r="P379" i="2"/>
  <c r="AB461" i="2"/>
  <c r="AC461" i="2" s="1"/>
  <c r="AB448" i="2"/>
  <c r="AC448" i="2" s="1"/>
  <c r="Q448" i="2"/>
  <c r="R457" i="2"/>
  <c r="S457" i="2" s="1"/>
  <c r="T457" i="2" s="1"/>
  <c r="Y457" i="2" s="1"/>
  <c r="Z457" i="2" s="1"/>
  <c r="V278" i="2"/>
  <c r="W278" i="2" s="1"/>
  <c r="AB311" i="2"/>
  <c r="AC311" i="2" s="1"/>
  <c r="Q311" i="2"/>
  <c r="P311" i="2"/>
  <c r="AB40" i="2"/>
  <c r="AC40" i="2" s="1"/>
  <c r="AB207" i="2"/>
  <c r="AC207" i="2" s="1"/>
  <c r="Q207" i="2"/>
  <c r="R223" i="2"/>
  <c r="S223" i="2" s="1"/>
  <c r="T223" i="2" s="1"/>
  <c r="Y223" i="2" s="1"/>
  <c r="Z223" i="2" s="1"/>
  <c r="V204" i="2"/>
  <c r="W204" i="2" s="1"/>
  <c r="AB519" i="2"/>
  <c r="AC519" i="2" s="1"/>
  <c r="AB14" i="2"/>
  <c r="AC14" i="2" s="1"/>
  <c r="Q14" i="2"/>
  <c r="P14" i="2"/>
  <c r="AB192" i="2"/>
  <c r="AC192" i="2" s="1"/>
  <c r="AB200" i="2"/>
  <c r="AC200" i="2" s="1"/>
  <c r="Q200" i="2"/>
  <c r="R231" i="2"/>
  <c r="S231" i="2" s="1"/>
  <c r="T231" i="2" s="1"/>
  <c r="Y231" i="2" s="1"/>
  <c r="Z231" i="2" s="1"/>
  <c r="V260" i="2"/>
  <c r="W260" i="2" s="1"/>
  <c r="AB79" i="2"/>
  <c r="AC79" i="2" s="1"/>
  <c r="Q79" i="2"/>
  <c r="P79" i="2"/>
  <c r="V575" i="2"/>
  <c r="W575" i="2" s="1"/>
  <c r="N575" i="2"/>
  <c r="U575" i="2" s="1"/>
  <c r="R338" i="2"/>
  <c r="S338" i="2" s="1"/>
  <c r="T338" i="2" s="1"/>
  <c r="Y338" i="2" s="1"/>
  <c r="Z338" i="2" s="1"/>
  <c r="AB340" i="2"/>
  <c r="AC340" i="2" s="1"/>
  <c r="Q340" i="2"/>
  <c r="P340" i="2"/>
  <c r="N498" i="2"/>
  <c r="U498" i="2" s="1"/>
  <c r="V498" i="2"/>
  <c r="W498" i="2" s="1"/>
  <c r="AB510" i="2"/>
  <c r="AC510" i="2" s="1"/>
  <c r="Q510" i="2"/>
  <c r="P510" i="2"/>
  <c r="AB529" i="2"/>
  <c r="AC529" i="2" s="1"/>
  <c r="AB513" i="2"/>
  <c r="AC513" i="2" s="1"/>
  <c r="AB495" i="2"/>
  <c r="AC495" i="2" s="1"/>
  <c r="AB490" i="2"/>
  <c r="AC490" i="2" s="1"/>
  <c r="AB521" i="2"/>
  <c r="AC521" i="2" s="1"/>
  <c r="AB509" i="2"/>
  <c r="AC509" i="2" s="1"/>
  <c r="AB523" i="2"/>
  <c r="AC523" i="2" s="1"/>
  <c r="AB525" i="2"/>
  <c r="AC525" i="2" s="1"/>
  <c r="AB504" i="2"/>
  <c r="AC504" i="2" s="1"/>
  <c r="AB498" i="2"/>
  <c r="AC498" i="2" s="1"/>
  <c r="AB466" i="2"/>
  <c r="AC466" i="2" s="1"/>
  <c r="AB433" i="2"/>
  <c r="AC433" i="2" s="1"/>
  <c r="AB468" i="2"/>
  <c r="AC468" i="2" s="1"/>
  <c r="AB438" i="2"/>
  <c r="AC438" i="2" s="1"/>
  <c r="AB470" i="2"/>
  <c r="AC470" i="2" s="1"/>
  <c r="AB451" i="2"/>
  <c r="AC451" i="2" s="1"/>
  <c r="AB414" i="2"/>
  <c r="AC414" i="2" s="1"/>
  <c r="AB401" i="2"/>
  <c r="AC401" i="2" s="1"/>
  <c r="AB380" i="2"/>
  <c r="AC380" i="2" s="1"/>
  <c r="AB364" i="2"/>
  <c r="AC364" i="2" s="1"/>
  <c r="AB491" i="2"/>
  <c r="AC491" i="2" s="1"/>
  <c r="AB444" i="2"/>
  <c r="AC444" i="2" s="1"/>
  <c r="AB416" i="2"/>
  <c r="AC416" i="2" s="1"/>
  <c r="AB405" i="2"/>
  <c r="AC405" i="2" s="1"/>
  <c r="AB392" i="2"/>
  <c r="AC392" i="2" s="1"/>
  <c r="AB362" i="2"/>
  <c r="AC362" i="2" s="1"/>
  <c r="AB382" i="2"/>
  <c r="AC382" i="2" s="1"/>
  <c r="AB484" i="2"/>
  <c r="AC484" i="2" s="1"/>
  <c r="AB481" i="2"/>
  <c r="AC481" i="2" s="1"/>
  <c r="AB479" i="2"/>
  <c r="AC479" i="2" s="1"/>
  <c r="AB473" i="2"/>
  <c r="AC473" i="2" s="1"/>
  <c r="AB431" i="2"/>
  <c r="AC431" i="2" s="1"/>
  <c r="AB420" i="2"/>
  <c r="AC420" i="2" s="1"/>
  <c r="AB407" i="2"/>
  <c r="AC407" i="2" s="1"/>
  <c r="AB350" i="2"/>
  <c r="AC350" i="2" s="1"/>
  <c r="AB360" i="2"/>
  <c r="AC360" i="2" s="1"/>
  <c r="AB348" i="2"/>
  <c r="AC348" i="2" s="1"/>
  <c r="AB333" i="2"/>
  <c r="AC333" i="2" s="1"/>
  <c r="AB418" i="2"/>
  <c r="AC418" i="2" s="1"/>
  <c r="AB376" i="2"/>
  <c r="AC376" i="2" s="1"/>
  <c r="AB428" i="2"/>
  <c r="AC428" i="2" s="1"/>
  <c r="AB372" i="2"/>
  <c r="AC372" i="2" s="1"/>
  <c r="AB354" i="2"/>
  <c r="AC354" i="2" s="1"/>
  <c r="AB347" i="2"/>
  <c r="AC347" i="2" s="1"/>
  <c r="AB343" i="2"/>
  <c r="AC343" i="2" s="1"/>
  <c r="AB329" i="2"/>
  <c r="AC329" i="2" s="1"/>
  <c r="AB371" i="2"/>
  <c r="AC371" i="2" s="1"/>
  <c r="AB572" i="2"/>
  <c r="AC572" i="2" s="1"/>
  <c r="AB631" i="2"/>
  <c r="AC631" i="2" s="1"/>
  <c r="AB412" i="2"/>
  <c r="AC412" i="2" s="1"/>
  <c r="AB397" i="2"/>
  <c r="AC397" i="2" s="1"/>
  <c r="AB396" i="2"/>
  <c r="AC396" i="2" s="1"/>
  <c r="AB368" i="2"/>
  <c r="AC368" i="2" s="1"/>
  <c r="AB389" i="2"/>
  <c r="AC389" i="2" s="1"/>
  <c r="AB575" i="2"/>
  <c r="AC575" i="2" s="1"/>
  <c r="AB587" i="2"/>
  <c r="AC587" i="2" s="1"/>
  <c r="AB650" i="2"/>
  <c r="AC650" i="2" s="1"/>
  <c r="AB441" i="2"/>
  <c r="AC441" i="2" s="1"/>
  <c r="AB231" i="2"/>
  <c r="AC231" i="2" s="1"/>
  <c r="AB223" i="2"/>
  <c r="AC223" i="2" s="1"/>
  <c r="AB496" i="2"/>
  <c r="AC496" i="2" s="1"/>
  <c r="AB457" i="2"/>
  <c r="AC457" i="2" s="1"/>
  <c r="AB497" i="2"/>
  <c r="AC497" i="2" s="1"/>
  <c r="AB365" i="2"/>
  <c r="AC365" i="2" s="1"/>
  <c r="AB357" i="2"/>
  <c r="AC357" i="2" s="1"/>
  <c r="AB341" i="2"/>
  <c r="AC341" i="2" s="1"/>
  <c r="AB338" i="2"/>
  <c r="AC338" i="2" s="1"/>
  <c r="AB331" i="2"/>
  <c r="AC331" i="2" s="1"/>
  <c r="AB114" i="2"/>
  <c r="AC114" i="2" s="1"/>
  <c r="AB623" i="2"/>
  <c r="AC623" i="2" s="1"/>
  <c r="AB649" i="2"/>
  <c r="AC649" i="2" s="1"/>
  <c r="AB544" i="2"/>
  <c r="AC544" i="2" s="1"/>
  <c r="AB260" i="2"/>
  <c r="AC260" i="2" s="1"/>
  <c r="AB589" i="2"/>
  <c r="AC589" i="2" s="1"/>
  <c r="AB204" i="2"/>
  <c r="AC204" i="2" s="1"/>
  <c r="AB638" i="2"/>
  <c r="AC638" i="2" s="1"/>
  <c r="AB278" i="2"/>
  <c r="AC278" i="2" s="1"/>
  <c r="AB574" i="2"/>
  <c r="AC574" i="2" s="1"/>
  <c r="AB613" i="2"/>
  <c r="AC613" i="2" s="1"/>
  <c r="AB624" i="2"/>
  <c r="AC624" i="2" s="1"/>
  <c r="V633" i="2"/>
  <c r="W633" i="2" s="1"/>
  <c r="AB636" i="2"/>
  <c r="AC636" i="2" s="1"/>
  <c r="AB652" i="2"/>
  <c r="AC652" i="2" s="1"/>
  <c r="V111" i="2"/>
  <c r="W111" i="2" s="1"/>
  <c r="V194" i="2"/>
  <c r="W194" i="2" s="1"/>
  <c r="AB212" i="2"/>
  <c r="AC212" i="2" s="1"/>
  <c r="P238" i="2"/>
  <c r="Q238" i="2"/>
  <c r="R238" i="2" s="1"/>
  <c r="S238" i="2" s="1"/>
  <c r="T238" i="2" s="1"/>
  <c r="Y238" i="2" s="1"/>
  <c r="Z238" i="2" s="1"/>
  <c r="T277" i="2"/>
  <c r="Y277" i="2" s="1"/>
  <c r="Z277" i="2" s="1"/>
  <c r="Q58" i="2"/>
  <c r="N108" i="2"/>
  <c r="U108" i="2" s="1"/>
  <c r="V88" i="2"/>
  <c r="W88" i="2" s="1"/>
  <c r="Q154" i="2"/>
  <c r="N160" i="2"/>
  <c r="U160" i="2" s="1"/>
  <c r="AB160" i="2"/>
  <c r="AC160" i="2" s="1"/>
  <c r="P175" i="2"/>
  <c r="T124" i="2"/>
  <c r="Y124" i="2" s="1"/>
  <c r="Z124" i="2" s="1"/>
  <c r="Q203" i="2"/>
  <c r="N119" i="2"/>
  <c r="U119" i="2" s="1"/>
  <c r="V116" i="2"/>
  <c r="W116" i="2" s="1"/>
  <c r="Q152" i="2"/>
  <c r="N276" i="2"/>
  <c r="U276" i="2" s="1"/>
  <c r="AB276" i="2"/>
  <c r="AC276" i="2" s="1"/>
  <c r="P187" i="2"/>
  <c r="T184" i="2"/>
  <c r="Y184" i="2" s="1"/>
  <c r="Z184" i="2" s="1"/>
  <c r="Q128" i="2"/>
  <c r="N165" i="2"/>
  <c r="U165" i="2" s="1"/>
  <c r="V167" i="2"/>
  <c r="W167" i="2" s="1"/>
  <c r="Q199" i="2"/>
  <c r="N161" i="2"/>
  <c r="U161" i="2" s="1"/>
  <c r="AB161" i="2"/>
  <c r="AC161" i="2" s="1"/>
  <c r="P188" i="2"/>
  <c r="AB202" i="2"/>
  <c r="AC202" i="2" s="1"/>
  <c r="T202" i="2"/>
  <c r="Y202" i="2" s="1"/>
  <c r="Z202" i="2" s="1"/>
  <c r="N234" i="2"/>
  <c r="U234" i="2" s="1"/>
  <c r="V234" i="2"/>
  <c r="W234" i="2" s="1"/>
  <c r="N247" i="2"/>
  <c r="U247" i="2" s="1"/>
  <c r="V247" i="2"/>
  <c r="W247" i="2" s="1"/>
  <c r="N345" i="2"/>
  <c r="U345" i="2" s="1"/>
  <c r="P448" i="2"/>
  <c r="V457" i="2"/>
  <c r="W457" i="2" s="1"/>
  <c r="N278" i="2"/>
  <c r="U278" i="2" s="1"/>
  <c r="R278" i="2"/>
  <c r="S278" i="2" s="1"/>
  <c r="T278" i="2" s="1"/>
  <c r="Y278" i="2" s="1"/>
  <c r="Z278" i="2" s="1"/>
  <c r="P207" i="2"/>
  <c r="V223" i="2"/>
  <c r="W223" i="2" s="1"/>
  <c r="N204" i="2"/>
  <c r="U204" i="2" s="1"/>
  <c r="R204" i="2"/>
  <c r="S204" i="2" s="1"/>
  <c r="T204" i="2" s="1"/>
  <c r="Y204" i="2" s="1"/>
  <c r="Z204" i="2" s="1"/>
  <c r="P200" i="2"/>
  <c r="V231" i="2"/>
  <c r="W231" i="2" s="1"/>
  <c r="N260" i="2"/>
  <c r="U260" i="2" s="1"/>
  <c r="R260" i="2"/>
  <c r="S260" i="2" s="1"/>
  <c r="T260" i="2" s="1"/>
  <c r="Y260" i="2" s="1"/>
  <c r="Z260" i="2" s="1"/>
  <c r="AB503" i="2"/>
  <c r="AC503" i="2" s="1"/>
  <c r="V587" i="2"/>
  <c r="W587" i="2" s="1"/>
  <c r="N587" i="2"/>
  <c r="U587" i="2" s="1"/>
  <c r="T114" i="2"/>
  <c r="Y114" i="2" s="1"/>
  <c r="Z114" i="2" s="1"/>
  <c r="V338" i="2"/>
  <c r="W338" i="2" s="1"/>
  <c r="N338" i="2"/>
  <c r="U338" i="2" s="1"/>
  <c r="AB366" i="2"/>
  <c r="AC366" i="2" s="1"/>
  <c r="Q366" i="2"/>
  <c r="P366" i="2"/>
  <c r="AB548" i="2"/>
  <c r="AC548" i="2" s="1"/>
  <c r="AB447" i="2"/>
  <c r="AC447" i="2" s="1"/>
  <c r="V277" i="2"/>
  <c r="W277" i="2" s="1"/>
  <c r="AB108" i="2"/>
  <c r="AC108" i="2" s="1"/>
  <c r="N154" i="2"/>
  <c r="U154" i="2" s="1"/>
  <c r="V160" i="2"/>
  <c r="W160" i="2" s="1"/>
  <c r="AB138" i="2"/>
  <c r="AC138" i="2" s="1"/>
  <c r="V124" i="2"/>
  <c r="W124" i="2" s="1"/>
  <c r="AB119" i="2"/>
  <c r="AC119" i="2" s="1"/>
  <c r="N152" i="2"/>
  <c r="U152" i="2" s="1"/>
  <c r="V276" i="2"/>
  <c r="W276" i="2" s="1"/>
  <c r="AB185" i="2"/>
  <c r="AC185" i="2" s="1"/>
  <c r="V184" i="2"/>
  <c r="W184" i="2" s="1"/>
  <c r="AB165" i="2"/>
  <c r="AC165" i="2" s="1"/>
  <c r="N199" i="2"/>
  <c r="U199" i="2" s="1"/>
  <c r="V161" i="2"/>
  <c r="W161" i="2" s="1"/>
  <c r="AB195" i="2"/>
  <c r="AC195" i="2" s="1"/>
  <c r="AB190" i="2"/>
  <c r="AC190" i="2" s="1"/>
  <c r="Q190" i="2"/>
  <c r="AB279" i="2"/>
  <c r="AC279" i="2" s="1"/>
  <c r="Q279" i="2"/>
  <c r="AB454" i="2"/>
  <c r="AC454" i="2" s="1"/>
  <c r="AB517" i="2"/>
  <c r="AC517" i="2" s="1"/>
  <c r="Q517" i="2"/>
  <c r="P517" i="2"/>
  <c r="AB411" i="2"/>
  <c r="AC411" i="2" s="1"/>
  <c r="AB500" i="2"/>
  <c r="AC500" i="2" s="1"/>
  <c r="Q500" i="2"/>
  <c r="R496" i="2"/>
  <c r="S496" i="2" s="1"/>
  <c r="T496" i="2" s="1"/>
  <c r="Y496" i="2" s="1"/>
  <c r="Z496" i="2" s="1"/>
  <c r="V638" i="2"/>
  <c r="W638" i="2" s="1"/>
  <c r="AB16" i="2"/>
  <c r="AC16" i="2" s="1"/>
  <c r="AB19" i="2"/>
  <c r="AC19" i="2" s="1"/>
  <c r="Q19" i="2"/>
  <c r="P19" i="2"/>
  <c r="AB627" i="2"/>
  <c r="AC627" i="2" s="1"/>
  <c r="AB125" i="2"/>
  <c r="AC125" i="2" s="1"/>
  <c r="Q125" i="2"/>
  <c r="V589" i="2"/>
  <c r="W589" i="2" s="1"/>
  <c r="AB237" i="2"/>
  <c r="AC237" i="2" s="1"/>
  <c r="AB378" i="2"/>
  <c r="AC378" i="2" s="1"/>
  <c r="Q378" i="2"/>
  <c r="P378" i="2"/>
  <c r="AB383" i="2"/>
  <c r="AC383" i="2" s="1"/>
  <c r="AB455" i="2"/>
  <c r="AC455" i="2" s="1"/>
  <c r="Q455" i="2"/>
  <c r="R441" i="2"/>
  <c r="S441" i="2" s="1"/>
  <c r="T441" i="2" s="1"/>
  <c r="Y441" i="2" s="1"/>
  <c r="Z441" i="2" s="1"/>
  <c r="AB54" i="2"/>
  <c r="AC54" i="2" s="1"/>
  <c r="AB641" i="2"/>
  <c r="AC641" i="2" s="1"/>
  <c r="Q641" i="2"/>
  <c r="P641" i="2"/>
  <c r="V650" i="2"/>
  <c r="W650" i="2" s="1"/>
  <c r="N650" i="2"/>
  <c r="U650" i="2" s="1"/>
  <c r="V333" i="2"/>
  <c r="W333" i="2" s="1"/>
  <c r="N333" i="2"/>
  <c r="U333" i="2" s="1"/>
  <c r="N343" i="2"/>
  <c r="U343" i="2" s="1"/>
  <c r="V343" i="2"/>
  <c r="W343" i="2" s="1"/>
  <c r="R360" i="2"/>
  <c r="S360" i="2" s="1"/>
  <c r="T360" i="2" s="1"/>
  <c r="Y360" i="2" s="1"/>
  <c r="Z360" i="2" s="1"/>
  <c r="V365" i="2"/>
  <c r="W365" i="2" s="1"/>
  <c r="N365" i="2"/>
  <c r="U365" i="2" s="1"/>
  <c r="N364" i="2"/>
  <c r="U364" i="2" s="1"/>
  <c r="V364" i="2"/>
  <c r="W364" i="2" s="1"/>
  <c r="V416" i="2"/>
  <c r="W416" i="2" s="1"/>
  <c r="N416" i="2"/>
  <c r="U416" i="2" s="1"/>
  <c r="AB635" i="2"/>
  <c r="AC635" i="2" s="1"/>
  <c r="AB17" i="2"/>
  <c r="AC17" i="2" s="1"/>
  <c r="N174" i="2"/>
  <c r="U174" i="2" s="1"/>
  <c r="N180" i="2"/>
  <c r="U180" i="2" s="1"/>
  <c r="N208" i="2"/>
  <c r="U208" i="2" s="1"/>
  <c r="Q239" i="2"/>
  <c r="R239" i="2" s="1"/>
  <c r="S239" i="2" s="1"/>
  <c r="T239" i="2" s="1"/>
  <c r="Y239" i="2" s="1"/>
  <c r="Z239" i="2" s="1"/>
  <c r="P256" i="2"/>
  <c r="Q256" i="2"/>
  <c r="R256" i="2" s="1"/>
  <c r="S256" i="2" s="1"/>
  <c r="T256" i="2" s="1"/>
  <c r="Y256" i="2" s="1"/>
  <c r="Z256" i="2" s="1"/>
  <c r="AB58" i="2"/>
  <c r="AC58" i="2" s="1"/>
  <c r="Q160" i="2"/>
  <c r="N175" i="2"/>
  <c r="U175" i="2" s="1"/>
  <c r="AB203" i="2"/>
  <c r="AC203" i="2" s="1"/>
  <c r="Q276" i="2"/>
  <c r="N187" i="2"/>
  <c r="U187" i="2" s="1"/>
  <c r="AB128" i="2"/>
  <c r="AC128" i="2" s="1"/>
  <c r="Q161" i="2"/>
  <c r="N188" i="2"/>
  <c r="U188" i="2" s="1"/>
  <c r="AB234" i="2"/>
  <c r="AC234" i="2" s="1"/>
  <c r="P190" i="2"/>
  <c r="AB247" i="2"/>
  <c r="AC247" i="2" s="1"/>
  <c r="P279" i="2"/>
  <c r="P500" i="2"/>
  <c r="V496" i="2"/>
  <c r="W496" i="2" s="1"/>
  <c r="N638" i="2"/>
  <c r="U638" i="2" s="1"/>
  <c r="P125" i="2"/>
  <c r="N589" i="2"/>
  <c r="U589" i="2" s="1"/>
  <c r="P455" i="2"/>
  <c r="V441" i="2"/>
  <c r="W441" i="2" s="1"/>
  <c r="N441" i="2"/>
  <c r="U441" i="2" s="1"/>
  <c r="T649" i="2"/>
  <c r="Y649" i="2" s="1"/>
  <c r="Z649" i="2" s="1"/>
  <c r="AB612" i="2"/>
  <c r="AC612" i="2" s="1"/>
  <c r="AB328" i="2"/>
  <c r="AC328" i="2" s="1"/>
  <c r="Q328" i="2"/>
  <c r="P328" i="2"/>
  <c r="V331" i="2"/>
  <c r="W331" i="2" s="1"/>
  <c r="N331" i="2"/>
  <c r="U331" i="2" s="1"/>
  <c r="V360" i="2"/>
  <c r="W360" i="2" s="1"/>
  <c r="N360" i="2"/>
  <c r="U360" i="2" s="1"/>
  <c r="R372" i="2"/>
  <c r="S372" i="2" s="1"/>
  <c r="T372" i="2" s="1"/>
  <c r="Y372" i="2" s="1"/>
  <c r="Z372" i="2" s="1"/>
  <c r="R414" i="2"/>
  <c r="S414" i="2" s="1"/>
  <c r="T414" i="2" s="1"/>
  <c r="Y414" i="2" s="1"/>
  <c r="Z414" i="2" s="1"/>
  <c r="N466" i="2"/>
  <c r="U466" i="2" s="1"/>
  <c r="V466" i="2"/>
  <c r="W466" i="2" s="1"/>
  <c r="V190" i="2"/>
  <c r="W190" i="2" s="1"/>
  <c r="V279" i="2"/>
  <c r="W279" i="2" s="1"/>
  <c r="AB345" i="2"/>
  <c r="AC345" i="2" s="1"/>
  <c r="Q345" i="2"/>
  <c r="AB477" i="2"/>
  <c r="AC477" i="2" s="1"/>
  <c r="Q477" i="2"/>
  <c r="AB483" i="2"/>
  <c r="AC483" i="2" s="1"/>
  <c r="Q483" i="2"/>
  <c r="AB12" i="2"/>
  <c r="AC12" i="2" s="1"/>
  <c r="Q12" i="2"/>
  <c r="AB591" i="2"/>
  <c r="AC591" i="2" s="1"/>
  <c r="Q591" i="2"/>
  <c r="AB374" i="2"/>
  <c r="AC374" i="2" s="1"/>
  <c r="Q374" i="2"/>
  <c r="AB543" i="2"/>
  <c r="AC543" i="2" s="1"/>
  <c r="Q543" i="2"/>
  <c r="AB136" i="2"/>
  <c r="AC136" i="2" s="1"/>
  <c r="Q136" i="2"/>
  <c r="AB629" i="2"/>
  <c r="AC629" i="2" s="1"/>
  <c r="Q629" i="2"/>
  <c r="AB584" i="2"/>
  <c r="AC584" i="2" s="1"/>
  <c r="Q584" i="2"/>
  <c r="AB335" i="2"/>
  <c r="AC335" i="2" s="1"/>
  <c r="Q335" i="2"/>
  <c r="AB342" i="2"/>
  <c r="AC342" i="2" s="1"/>
  <c r="Q342" i="2"/>
  <c r="AB358" i="2"/>
  <c r="AC358" i="2" s="1"/>
  <c r="Q358" i="2"/>
  <c r="N372" i="2"/>
  <c r="U372" i="2" s="1"/>
  <c r="AB369" i="2"/>
  <c r="AC369" i="2" s="1"/>
  <c r="Q369" i="2"/>
  <c r="P369" i="2"/>
  <c r="V426" i="2"/>
  <c r="W426" i="2" s="1"/>
  <c r="N426" i="2"/>
  <c r="U426" i="2" s="1"/>
  <c r="P492" i="2"/>
  <c r="AB492" i="2"/>
  <c r="AC492" i="2" s="1"/>
  <c r="Q492" i="2"/>
  <c r="R499" i="2"/>
  <c r="S499" i="2" s="1"/>
  <c r="T499" i="2" s="1"/>
  <c r="Y499" i="2" s="1"/>
  <c r="Z499" i="2" s="1"/>
  <c r="N190" i="2"/>
  <c r="U190" i="2" s="1"/>
  <c r="N279" i="2"/>
  <c r="U279" i="2" s="1"/>
  <c r="P345" i="2"/>
  <c r="AB443" i="2"/>
  <c r="AC443" i="2" s="1"/>
  <c r="Q443" i="2"/>
  <c r="P477" i="2"/>
  <c r="AB511" i="2"/>
  <c r="AC511" i="2" s="1"/>
  <c r="Q511" i="2"/>
  <c r="P483" i="2"/>
  <c r="AB218" i="2"/>
  <c r="AC218" i="2" s="1"/>
  <c r="Q218" i="2"/>
  <c r="P12" i="2"/>
  <c r="AB34" i="2"/>
  <c r="AC34" i="2" s="1"/>
  <c r="Q34" i="2"/>
  <c r="P591" i="2"/>
  <c r="AB257" i="2"/>
  <c r="AC257" i="2" s="1"/>
  <c r="Q257" i="2"/>
  <c r="P374" i="2"/>
  <c r="AB104" i="2"/>
  <c r="AC104" i="2" s="1"/>
  <c r="Q104" i="2"/>
  <c r="V544" i="2"/>
  <c r="W544" i="2" s="1"/>
  <c r="P543" i="2"/>
  <c r="AB654" i="2"/>
  <c r="AC654" i="2" s="1"/>
  <c r="Q654" i="2"/>
  <c r="V649" i="2"/>
  <c r="W649" i="2" s="1"/>
  <c r="P136" i="2"/>
  <c r="AB619" i="2"/>
  <c r="AC619" i="2" s="1"/>
  <c r="Q619" i="2"/>
  <c r="V623" i="2"/>
  <c r="W623" i="2" s="1"/>
  <c r="P629" i="2"/>
  <c r="AB625" i="2"/>
  <c r="AC625" i="2" s="1"/>
  <c r="Q625" i="2"/>
  <c r="V114" i="2"/>
  <c r="W114" i="2" s="1"/>
  <c r="P584" i="2"/>
  <c r="P335" i="2"/>
  <c r="P342" i="2"/>
  <c r="T348" i="2"/>
  <c r="Y348" i="2" s="1"/>
  <c r="Z348" i="2" s="1"/>
  <c r="V347" i="2"/>
  <c r="W347" i="2" s="1"/>
  <c r="AB349" i="2"/>
  <c r="AC349" i="2" s="1"/>
  <c r="Q349" i="2"/>
  <c r="P349" i="2"/>
  <c r="P358" i="2"/>
  <c r="V372" i="2"/>
  <c r="W372" i="2" s="1"/>
  <c r="AB400" i="2"/>
  <c r="AC400" i="2" s="1"/>
  <c r="Q400" i="2"/>
  <c r="P400" i="2"/>
  <c r="V405" i="2"/>
  <c r="W405" i="2" s="1"/>
  <c r="N405" i="2"/>
  <c r="U405" i="2" s="1"/>
  <c r="AB415" i="2"/>
  <c r="AC415" i="2" s="1"/>
  <c r="Q415" i="2"/>
  <c r="P415" i="2"/>
  <c r="AB421" i="2"/>
  <c r="AC421" i="2" s="1"/>
  <c r="Q421" i="2"/>
  <c r="P421" i="2"/>
  <c r="AB450" i="2"/>
  <c r="AC450" i="2" s="1"/>
  <c r="Q450" i="2"/>
  <c r="P450" i="2"/>
  <c r="AB642" i="2"/>
  <c r="AC642" i="2" s="1"/>
  <c r="Q642" i="2"/>
  <c r="AB573" i="2"/>
  <c r="AC573" i="2" s="1"/>
  <c r="Q573" i="2"/>
  <c r="AB15" i="2"/>
  <c r="AC15" i="2" s="1"/>
  <c r="Q15" i="2"/>
  <c r="AB330" i="2"/>
  <c r="AC330" i="2" s="1"/>
  <c r="Q330" i="2"/>
  <c r="AB344" i="2"/>
  <c r="AC344" i="2" s="1"/>
  <c r="Q344" i="2"/>
  <c r="AB356" i="2"/>
  <c r="AC356" i="2" s="1"/>
  <c r="Q356" i="2"/>
  <c r="AB386" i="2"/>
  <c r="AC386" i="2" s="1"/>
  <c r="Q386" i="2"/>
  <c r="V428" i="2"/>
  <c r="W428" i="2" s="1"/>
  <c r="N428" i="2"/>
  <c r="U428" i="2" s="1"/>
  <c r="V414" i="2"/>
  <c r="W414" i="2" s="1"/>
  <c r="AB419" i="2"/>
  <c r="AC419" i="2" s="1"/>
  <c r="Q419" i="2"/>
  <c r="P419" i="2"/>
  <c r="N495" i="2"/>
  <c r="U495" i="2" s="1"/>
  <c r="V495" i="2"/>
  <c r="W495" i="2" s="1"/>
  <c r="AB377" i="2"/>
  <c r="AC377" i="2" s="1"/>
  <c r="Q377" i="2"/>
  <c r="R380" i="2"/>
  <c r="S380" i="2" s="1"/>
  <c r="T380" i="2" s="1"/>
  <c r="Y380" i="2" s="1"/>
  <c r="Z380" i="2" s="1"/>
  <c r="V392" i="2"/>
  <c r="W392" i="2" s="1"/>
  <c r="T392" i="2"/>
  <c r="Y392" i="2" s="1"/>
  <c r="Z392" i="2" s="1"/>
  <c r="V401" i="2"/>
  <c r="W401" i="2" s="1"/>
  <c r="AB408" i="2"/>
  <c r="AC408" i="2" s="1"/>
  <c r="Q408" i="2"/>
  <c r="P408" i="2"/>
  <c r="AB475" i="2"/>
  <c r="AC475" i="2" s="1"/>
  <c r="Q475" i="2"/>
  <c r="P475" i="2"/>
  <c r="V479" i="2"/>
  <c r="W479" i="2" s="1"/>
  <c r="N479" i="2"/>
  <c r="U479" i="2" s="1"/>
  <c r="AB480" i="2"/>
  <c r="AC480" i="2" s="1"/>
  <c r="Q480" i="2"/>
  <c r="P480" i="2"/>
  <c r="V481" i="2"/>
  <c r="W481" i="2" s="1"/>
  <c r="N481" i="2"/>
  <c r="U481" i="2" s="1"/>
  <c r="AB494" i="2"/>
  <c r="AC494" i="2" s="1"/>
  <c r="Q494" i="2"/>
  <c r="P494" i="2"/>
  <c r="V484" i="2"/>
  <c r="W484" i="2" s="1"/>
  <c r="N484" i="2"/>
  <c r="U484" i="2" s="1"/>
  <c r="Q488" i="2"/>
  <c r="AB488" i="2"/>
  <c r="AC488" i="2" s="1"/>
  <c r="P488" i="2"/>
  <c r="P489" i="2"/>
  <c r="Q489" i="2"/>
  <c r="AB337" i="2"/>
  <c r="AC337" i="2" s="1"/>
  <c r="Q337" i="2"/>
  <c r="AB346" i="2"/>
  <c r="AC346" i="2" s="1"/>
  <c r="Q346" i="2"/>
  <c r="AB363" i="2"/>
  <c r="AC363" i="2" s="1"/>
  <c r="Q363" i="2"/>
  <c r="T382" i="2"/>
  <c r="Y382" i="2" s="1"/>
  <c r="Z382" i="2" s="1"/>
  <c r="V389" i="2"/>
  <c r="W389" i="2" s="1"/>
  <c r="AB390" i="2"/>
  <c r="AC390" i="2" s="1"/>
  <c r="Q390" i="2"/>
  <c r="P390" i="2"/>
  <c r="AB351" i="2"/>
  <c r="AC351" i="2" s="1"/>
  <c r="Q351" i="2"/>
  <c r="R364" i="2"/>
  <c r="S364" i="2" s="1"/>
  <c r="T364" i="2" s="1"/>
  <c r="Y364" i="2" s="1"/>
  <c r="Z364" i="2" s="1"/>
  <c r="V362" i="2"/>
  <c r="W362" i="2" s="1"/>
  <c r="T362" i="2"/>
  <c r="Y362" i="2" s="1"/>
  <c r="Z362" i="2" s="1"/>
  <c r="P377" i="2"/>
  <c r="V380" i="2"/>
  <c r="W380" i="2" s="1"/>
  <c r="N392" i="2"/>
  <c r="U392" i="2" s="1"/>
  <c r="AB398" i="2"/>
  <c r="AC398" i="2" s="1"/>
  <c r="Q398" i="2"/>
  <c r="P398" i="2"/>
  <c r="AB423" i="2"/>
  <c r="AC423" i="2" s="1"/>
  <c r="Q423" i="2"/>
  <c r="R428" i="2"/>
  <c r="S428" i="2" s="1"/>
  <c r="T428" i="2" s="1"/>
  <c r="Y428" i="2" s="1"/>
  <c r="Z428" i="2" s="1"/>
  <c r="R426" i="2"/>
  <c r="S426" i="2" s="1"/>
  <c r="T426" i="2" s="1"/>
  <c r="Y426" i="2" s="1"/>
  <c r="Z426" i="2" s="1"/>
  <c r="AB434" i="2"/>
  <c r="AC434" i="2" s="1"/>
  <c r="Q434" i="2"/>
  <c r="N433" i="2"/>
  <c r="U433" i="2" s="1"/>
  <c r="V433" i="2"/>
  <c r="W433" i="2" s="1"/>
  <c r="V438" i="2"/>
  <c r="W438" i="2" s="1"/>
  <c r="T438" i="2"/>
  <c r="Y438" i="2" s="1"/>
  <c r="Z438" i="2" s="1"/>
  <c r="AB489" i="2"/>
  <c r="AC489" i="2" s="1"/>
  <c r="AB387" i="2"/>
  <c r="AC387" i="2" s="1"/>
  <c r="Q387" i="2"/>
  <c r="AB367" i="2"/>
  <c r="AC367" i="2" s="1"/>
  <c r="Q367" i="2"/>
  <c r="V368" i="2"/>
  <c r="W368" i="2" s="1"/>
  <c r="AB395" i="2"/>
  <c r="AC395" i="2" s="1"/>
  <c r="Q395" i="2"/>
  <c r="V396" i="2"/>
  <c r="W396" i="2" s="1"/>
  <c r="AB406" i="2"/>
  <c r="AC406" i="2" s="1"/>
  <c r="Q406" i="2"/>
  <c r="V407" i="2"/>
  <c r="W407" i="2" s="1"/>
  <c r="AB424" i="2"/>
  <c r="AC424" i="2" s="1"/>
  <c r="Q424" i="2"/>
  <c r="V418" i="2"/>
  <c r="W418" i="2" s="1"/>
  <c r="AB425" i="2"/>
  <c r="AC425" i="2" s="1"/>
  <c r="Q425" i="2"/>
  <c r="P425" i="2"/>
  <c r="N525" i="2"/>
  <c r="U525" i="2" s="1"/>
  <c r="V525" i="2"/>
  <c r="W525" i="2" s="1"/>
  <c r="AB526" i="2"/>
  <c r="AC526" i="2" s="1"/>
  <c r="Q526" i="2"/>
  <c r="P526" i="2"/>
  <c r="AB361" i="2"/>
  <c r="AC361" i="2" s="1"/>
  <c r="Q361" i="2"/>
  <c r="AB388" i="2"/>
  <c r="AC388" i="2" s="1"/>
  <c r="Q388" i="2"/>
  <c r="AB402" i="2"/>
  <c r="AC402" i="2" s="1"/>
  <c r="Q402" i="2"/>
  <c r="AB417" i="2"/>
  <c r="AC417" i="2" s="1"/>
  <c r="Q417" i="2"/>
  <c r="AB426" i="2"/>
  <c r="AC426" i="2" s="1"/>
  <c r="AB460" i="2"/>
  <c r="AC460" i="2" s="1"/>
  <c r="Q460" i="2"/>
  <c r="V468" i="2"/>
  <c r="W468" i="2" s="1"/>
  <c r="R484" i="2"/>
  <c r="S484" i="2" s="1"/>
  <c r="T484" i="2" s="1"/>
  <c r="Y484" i="2" s="1"/>
  <c r="Z484" i="2" s="1"/>
  <c r="P499" i="2"/>
  <c r="AB499" i="2"/>
  <c r="AC499" i="2" s="1"/>
  <c r="AB429" i="2"/>
  <c r="AC429" i="2" s="1"/>
  <c r="Q429" i="2"/>
  <c r="V451" i="2"/>
  <c r="W451" i="2" s="1"/>
  <c r="AB446" i="2"/>
  <c r="AC446" i="2" s="1"/>
  <c r="Q446" i="2"/>
  <c r="V444" i="2"/>
  <c r="W444" i="2" s="1"/>
  <c r="AB464" i="2"/>
  <c r="AC464" i="2" s="1"/>
  <c r="Q464" i="2"/>
  <c r="V473" i="2"/>
  <c r="W473" i="2" s="1"/>
  <c r="N490" i="2"/>
  <c r="U490" i="2" s="1"/>
  <c r="V490" i="2"/>
  <c r="W490" i="2" s="1"/>
  <c r="AB435" i="2"/>
  <c r="AC435" i="2" s="1"/>
  <c r="Q435" i="2"/>
  <c r="AB463" i="2"/>
  <c r="AC463" i="2" s="1"/>
  <c r="Q463" i="2"/>
  <c r="N492" i="2"/>
  <c r="U492" i="2" s="1"/>
  <c r="AB501" i="2"/>
  <c r="AC501" i="2" s="1"/>
  <c r="Q501" i="2"/>
  <c r="P501" i="2"/>
  <c r="N504" i="2"/>
  <c r="U504" i="2" s="1"/>
  <c r="AB515" i="2"/>
  <c r="AC515" i="2" s="1"/>
  <c r="Q515" i="2"/>
  <c r="P515" i="2"/>
  <c r="N523" i="2"/>
  <c r="U523" i="2" s="1"/>
  <c r="AB528" i="2"/>
  <c r="AC528" i="2" s="1"/>
  <c r="Q528" i="2"/>
  <c r="P528" i="2"/>
  <c r="V488" i="2"/>
  <c r="W488" i="2" s="1"/>
  <c r="N491" i="2"/>
  <c r="U491" i="2" s="1"/>
  <c r="V491" i="2"/>
  <c r="W491" i="2" s="1"/>
  <c r="N497" i="2"/>
  <c r="U497" i="2" s="1"/>
  <c r="V497" i="2"/>
  <c r="W497" i="2" s="1"/>
  <c r="AB505" i="2"/>
  <c r="AC505" i="2" s="1"/>
  <c r="Q505" i="2"/>
  <c r="P505" i="2"/>
  <c r="N509" i="2"/>
  <c r="U509" i="2" s="1"/>
  <c r="AB520" i="2"/>
  <c r="AC520" i="2" s="1"/>
  <c r="Q520" i="2"/>
  <c r="P520" i="2"/>
  <c r="N521" i="2"/>
  <c r="U521" i="2" s="1"/>
  <c r="N489" i="2"/>
  <c r="U489" i="2" s="1"/>
  <c r="V489" i="2"/>
  <c r="W489" i="2" s="1"/>
  <c r="N499" i="2"/>
  <c r="U499" i="2" s="1"/>
  <c r="V499" i="2"/>
  <c r="W499" i="2" s="1"/>
  <c r="AB508" i="2"/>
  <c r="AC508" i="2" s="1"/>
  <c r="Q508" i="2"/>
  <c r="P508" i="2"/>
  <c r="N513" i="2"/>
  <c r="U513" i="2" s="1"/>
  <c r="AB516" i="2"/>
  <c r="AC516" i="2" s="1"/>
  <c r="Q516" i="2"/>
  <c r="P516" i="2"/>
  <c r="N529" i="2"/>
  <c r="U529" i="2" s="1"/>
  <c r="V501" i="2"/>
  <c r="W501" i="2" s="1"/>
  <c r="V505" i="2"/>
  <c r="W505" i="2" s="1"/>
  <c r="V508" i="2"/>
  <c r="W508" i="2" s="1"/>
  <c r="V510" i="2"/>
  <c r="W510" i="2" s="1"/>
  <c r="V515" i="2"/>
  <c r="W515" i="2" s="1"/>
  <c r="V520" i="2"/>
  <c r="W520" i="2" s="1"/>
  <c r="V516" i="2"/>
  <c r="W516" i="2" s="1"/>
  <c r="V526" i="2"/>
  <c r="W526" i="2" s="1"/>
  <c r="V528" i="2"/>
  <c r="W528" i="2" s="1"/>
  <c r="N501" i="2"/>
  <c r="U501" i="2" s="1"/>
  <c r="N505" i="2"/>
  <c r="U505" i="2" s="1"/>
  <c r="N508" i="2"/>
  <c r="U508" i="2" s="1"/>
  <c r="N510" i="2"/>
  <c r="U510" i="2" s="1"/>
  <c r="N515" i="2"/>
  <c r="U515" i="2" s="1"/>
  <c r="N520" i="2"/>
  <c r="U520" i="2" s="1"/>
  <c r="N516" i="2"/>
  <c r="U516" i="2" s="1"/>
  <c r="N526" i="2"/>
  <c r="U526" i="2" s="1"/>
  <c r="N528" i="2"/>
  <c r="U528" i="2" s="1"/>
  <c r="Q617" i="2"/>
  <c r="R617" i="2" s="1"/>
  <c r="S617" i="2" s="1"/>
  <c r="T617" i="2" s="1"/>
  <c r="Y617" i="2" s="1"/>
  <c r="Z617" i="2" s="1"/>
  <c r="P617" i="2"/>
  <c r="V620" i="2"/>
  <c r="W620" i="2" s="1"/>
  <c r="N620" i="2"/>
  <c r="U620" i="2" s="1"/>
  <c r="P51" i="2"/>
  <c r="Q51" i="2"/>
  <c r="R51" i="2" s="1"/>
  <c r="S51" i="2" s="1"/>
  <c r="T51" i="2" s="1"/>
  <c r="Y51" i="2" s="1"/>
  <c r="Z51" i="2" s="1"/>
  <c r="N69" i="2"/>
  <c r="U69" i="2" s="1"/>
  <c r="V69" i="2"/>
  <c r="W69" i="2" s="1"/>
  <c r="AB70" i="2"/>
  <c r="AC70" i="2" s="1"/>
  <c r="Q70" i="2"/>
  <c r="P70" i="2"/>
  <c r="AB107" i="2"/>
  <c r="AC107" i="2" s="1"/>
  <c r="Q107" i="2"/>
  <c r="P107" i="2"/>
  <c r="R113" i="2"/>
  <c r="S113" i="2" s="1"/>
  <c r="T113" i="2" s="1"/>
  <c r="Y113" i="2" s="1"/>
  <c r="Z113" i="2" s="1"/>
  <c r="V611" i="2"/>
  <c r="W611" i="2" s="1"/>
  <c r="N611" i="2"/>
  <c r="U611" i="2" s="1"/>
  <c r="AB617" i="2"/>
  <c r="AC617" i="2" s="1"/>
  <c r="V635" i="2"/>
  <c r="W635" i="2" s="1"/>
  <c r="N635" i="2"/>
  <c r="U635" i="2" s="1"/>
  <c r="P637" i="2"/>
  <c r="AB637" i="2"/>
  <c r="AC637" i="2" s="1"/>
  <c r="Q637" i="2"/>
  <c r="R637" i="2" s="1"/>
  <c r="S637" i="2" s="1"/>
  <c r="P20" i="2"/>
  <c r="AB20" i="2"/>
  <c r="AC20" i="2" s="1"/>
  <c r="Q20" i="2"/>
  <c r="R20" i="2" s="1"/>
  <c r="S20" i="2" s="1"/>
  <c r="T20" i="2" s="1"/>
  <c r="Y20" i="2" s="1"/>
  <c r="Z20" i="2" s="1"/>
  <c r="N63" i="2"/>
  <c r="U63" i="2" s="1"/>
  <c r="V63" i="2"/>
  <c r="W63" i="2" s="1"/>
  <c r="AB65" i="2"/>
  <c r="AC65" i="2" s="1"/>
  <c r="Q65" i="2"/>
  <c r="P65" i="2"/>
  <c r="R62" i="2"/>
  <c r="S62" i="2" s="1"/>
  <c r="T62" i="2" s="1"/>
  <c r="Y62" i="2" s="1"/>
  <c r="Z62" i="2" s="1"/>
  <c r="N72" i="2"/>
  <c r="U72" i="2" s="1"/>
  <c r="V72" i="2"/>
  <c r="W72" i="2" s="1"/>
  <c r="AB73" i="2"/>
  <c r="AC73" i="2" s="1"/>
  <c r="Q73" i="2"/>
  <c r="P73" i="2"/>
  <c r="R78" i="2"/>
  <c r="S78" i="2" s="1"/>
  <c r="T78" i="2" s="1"/>
  <c r="Y78" i="2" s="1"/>
  <c r="Z78" i="2" s="1"/>
  <c r="N89" i="2"/>
  <c r="U89" i="2" s="1"/>
  <c r="V89" i="2"/>
  <c r="W89" i="2" s="1"/>
  <c r="AB90" i="2"/>
  <c r="AC90" i="2" s="1"/>
  <c r="Q90" i="2"/>
  <c r="P90" i="2"/>
  <c r="R91" i="2"/>
  <c r="S91" i="2" s="1"/>
  <c r="T91" i="2" s="1"/>
  <c r="Y91" i="2" s="1"/>
  <c r="Z91" i="2" s="1"/>
  <c r="N110" i="2"/>
  <c r="U110" i="2" s="1"/>
  <c r="V110" i="2"/>
  <c r="W110" i="2" s="1"/>
  <c r="P37" i="2"/>
  <c r="Q37" i="2"/>
  <c r="R37" i="2" s="1"/>
  <c r="S37" i="2" s="1"/>
  <c r="T37" i="2" s="1"/>
  <c r="Y37" i="2" s="1"/>
  <c r="Z37" i="2" s="1"/>
  <c r="N60" i="2"/>
  <c r="U60" i="2" s="1"/>
  <c r="V60" i="2"/>
  <c r="W60" i="2" s="1"/>
  <c r="AB61" i="2"/>
  <c r="AC61" i="2" s="1"/>
  <c r="Q61" i="2"/>
  <c r="P61" i="2"/>
  <c r="N87" i="2"/>
  <c r="U87" i="2" s="1"/>
  <c r="V87" i="2"/>
  <c r="W87" i="2" s="1"/>
  <c r="AB86" i="2"/>
  <c r="AC86" i="2" s="1"/>
  <c r="Q86" i="2"/>
  <c r="P86" i="2"/>
  <c r="N98" i="2"/>
  <c r="U98" i="2" s="1"/>
  <c r="V98" i="2"/>
  <c r="W98" i="2" s="1"/>
  <c r="P47" i="2"/>
  <c r="Q47" i="2"/>
  <c r="R47" i="2" s="1"/>
  <c r="S47" i="2" s="1"/>
  <c r="T47" i="2" s="1"/>
  <c r="Y47" i="2" s="1"/>
  <c r="Z47" i="2" s="1"/>
  <c r="N62" i="2"/>
  <c r="U62" i="2" s="1"/>
  <c r="V62" i="2"/>
  <c r="W62" i="2" s="1"/>
  <c r="AB64" i="2"/>
  <c r="AC64" i="2" s="1"/>
  <c r="Q64" i="2"/>
  <c r="P64" i="2"/>
  <c r="N78" i="2"/>
  <c r="U78" i="2" s="1"/>
  <c r="V78" i="2"/>
  <c r="W78" i="2" s="1"/>
  <c r="AB77" i="2"/>
  <c r="AC77" i="2" s="1"/>
  <c r="Q77" i="2"/>
  <c r="P77" i="2"/>
  <c r="N91" i="2"/>
  <c r="U91" i="2" s="1"/>
  <c r="V91" i="2"/>
  <c r="W91" i="2" s="1"/>
  <c r="AB92" i="2"/>
  <c r="AC92" i="2" s="1"/>
  <c r="Q92" i="2"/>
  <c r="P92" i="2"/>
  <c r="P646" i="2"/>
  <c r="AB646" i="2"/>
  <c r="AC646" i="2" s="1"/>
  <c r="Q646" i="2"/>
  <c r="R646" i="2" s="1"/>
  <c r="S646" i="2" s="1"/>
  <c r="P648" i="2"/>
  <c r="AB648" i="2"/>
  <c r="AC648" i="2" s="1"/>
  <c r="Q648" i="2"/>
  <c r="R648" i="2" s="1"/>
  <c r="S648" i="2" s="1"/>
  <c r="T648" i="2" s="1"/>
  <c r="Y648" i="2" s="1"/>
  <c r="Z648" i="2" s="1"/>
  <c r="N56" i="2"/>
  <c r="U56" i="2" s="1"/>
  <c r="V56" i="2"/>
  <c r="W56" i="2" s="1"/>
  <c r="AB59" i="2"/>
  <c r="AC59" i="2" s="1"/>
  <c r="Q59" i="2"/>
  <c r="P59" i="2"/>
  <c r="N66" i="2"/>
  <c r="U66" i="2" s="1"/>
  <c r="V66" i="2"/>
  <c r="W66" i="2" s="1"/>
  <c r="AB68" i="2"/>
  <c r="AC68" i="2" s="1"/>
  <c r="Q68" i="2"/>
  <c r="P68" i="2"/>
  <c r="R69" i="2"/>
  <c r="S69" i="2" s="1"/>
  <c r="T69" i="2" s="1"/>
  <c r="Y69" i="2" s="1"/>
  <c r="Z69" i="2" s="1"/>
  <c r="N80" i="2"/>
  <c r="U80" i="2" s="1"/>
  <c r="V80" i="2"/>
  <c r="W80" i="2" s="1"/>
  <c r="AB84" i="2"/>
  <c r="AC84" i="2" s="1"/>
  <c r="Q84" i="2"/>
  <c r="P84" i="2"/>
  <c r="R87" i="2"/>
  <c r="S87" i="2" s="1"/>
  <c r="T87" i="2" s="1"/>
  <c r="Y87" i="2" s="1"/>
  <c r="Z87" i="2" s="1"/>
  <c r="N96" i="2"/>
  <c r="U96" i="2" s="1"/>
  <c r="V96" i="2"/>
  <c r="W96" i="2" s="1"/>
  <c r="AB95" i="2"/>
  <c r="AC95" i="2" s="1"/>
  <c r="Q95" i="2"/>
  <c r="P95" i="2"/>
  <c r="R98" i="2"/>
  <c r="S98" i="2" s="1"/>
  <c r="T98" i="2" s="1"/>
  <c r="Y98" i="2" s="1"/>
  <c r="Z98" i="2" s="1"/>
  <c r="N113" i="2"/>
  <c r="U113" i="2" s="1"/>
  <c r="V113" i="2"/>
  <c r="W113" i="2" s="1"/>
  <c r="R111" i="2"/>
  <c r="S111" i="2" s="1"/>
  <c r="T111" i="2" s="1"/>
  <c r="Y111" i="2" s="1"/>
  <c r="Z111" i="2" s="1"/>
  <c r="N120" i="2"/>
  <c r="U120" i="2" s="1"/>
  <c r="N129" i="2"/>
  <c r="U129" i="2" s="1"/>
  <c r="N133" i="2"/>
  <c r="U133" i="2" s="1"/>
  <c r="N135" i="2"/>
  <c r="U135" i="2" s="1"/>
  <c r="N139" i="2"/>
  <c r="U139" i="2" s="1"/>
  <c r="N140" i="2"/>
  <c r="U140" i="2" s="1"/>
  <c r="N144" i="2"/>
  <c r="U144" i="2" s="1"/>
  <c r="N151" i="2"/>
  <c r="U151" i="2" s="1"/>
  <c r="N153" i="2"/>
  <c r="U153" i="2" s="1"/>
  <c r="V164" i="2"/>
  <c r="W164" i="2" s="1"/>
  <c r="N164" i="2"/>
  <c r="U164" i="2" s="1"/>
  <c r="R214" i="2"/>
  <c r="S214" i="2" s="1"/>
  <c r="T214" i="2" s="1"/>
  <c r="Y214" i="2" s="1"/>
  <c r="Z214" i="2" s="1"/>
  <c r="AB245" i="2"/>
  <c r="AC245" i="2" s="1"/>
  <c r="Q245" i="2"/>
  <c r="P245" i="2"/>
  <c r="N131" i="2"/>
  <c r="U131" i="2" s="1"/>
  <c r="N147" i="2"/>
  <c r="U147" i="2" s="1"/>
  <c r="N158" i="2"/>
  <c r="U158" i="2" s="1"/>
  <c r="N162" i="2"/>
  <c r="U162" i="2" s="1"/>
  <c r="P209" i="2"/>
  <c r="AB209" i="2"/>
  <c r="AC209" i="2" s="1"/>
  <c r="Q209" i="2"/>
  <c r="AB560" i="2"/>
  <c r="AC560" i="2" s="1"/>
  <c r="AB567" i="2"/>
  <c r="AC567" i="2" s="1"/>
  <c r="AB577" i="2"/>
  <c r="AC577" i="2" s="1"/>
  <c r="AB615" i="2"/>
  <c r="AC615" i="2" s="1"/>
  <c r="Q621" i="2"/>
  <c r="R621" i="2" s="1"/>
  <c r="S621" i="2" s="1"/>
  <c r="T621" i="2" s="1"/>
  <c r="Y621" i="2" s="1"/>
  <c r="Z621" i="2" s="1"/>
  <c r="AB626" i="2"/>
  <c r="AC626" i="2" s="1"/>
  <c r="AB113" i="2"/>
  <c r="AC113" i="2" s="1"/>
  <c r="V120" i="2"/>
  <c r="W120" i="2" s="1"/>
  <c r="V129" i="2"/>
  <c r="W129" i="2" s="1"/>
  <c r="V131" i="2"/>
  <c r="W131" i="2" s="1"/>
  <c r="V133" i="2"/>
  <c r="W133" i="2" s="1"/>
  <c r="V135" i="2"/>
  <c r="W135" i="2" s="1"/>
  <c r="V139" i="2"/>
  <c r="W139" i="2" s="1"/>
  <c r="V140" i="2"/>
  <c r="W140" i="2" s="1"/>
  <c r="V144" i="2"/>
  <c r="W144" i="2" s="1"/>
  <c r="V147" i="2"/>
  <c r="W147" i="2" s="1"/>
  <c r="V151" i="2"/>
  <c r="W151" i="2" s="1"/>
  <c r="V153" i="2"/>
  <c r="W153" i="2" s="1"/>
  <c r="V158" i="2"/>
  <c r="W158" i="2" s="1"/>
  <c r="V162" i="2"/>
  <c r="W162" i="2" s="1"/>
  <c r="N213" i="2"/>
  <c r="U213" i="2" s="1"/>
  <c r="V213" i="2"/>
  <c r="W213" i="2" s="1"/>
  <c r="N220" i="2"/>
  <c r="U220" i="2" s="1"/>
  <c r="N225" i="2"/>
  <c r="U225" i="2" s="1"/>
  <c r="V225" i="2"/>
  <c r="W225" i="2" s="1"/>
  <c r="AB24" i="2"/>
  <c r="AC24" i="2" s="1"/>
  <c r="AB256" i="2"/>
  <c r="AC256" i="2" s="1"/>
  <c r="AB239" i="2"/>
  <c r="AC239" i="2" s="1"/>
  <c r="AB220" i="2"/>
  <c r="AC220" i="2" s="1"/>
  <c r="AB213" i="2"/>
  <c r="AC213" i="2" s="1"/>
  <c r="AB211" i="2"/>
  <c r="AC211" i="2" s="1"/>
  <c r="AB251" i="2"/>
  <c r="AC251" i="2" s="1"/>
  <c r="AB238" i="2"/>
  <c r="AC238" i="2" s="1"/>
  <c r="AB246" i="2"/>
  <c r="AC246" i="2" s="1"/>
  <c r="AB242" i="2"/>
  <c r="AC242" i="2" s="1"/>
  <c r="AB219" i="2"/>
  <c r="AC219" i="2" s="1"/>
  <c r="AB205" i="2"/>
  <c r="AC205" i="2" s="1"/>
  <c r="AB194" i="2"/>
  <c r="AC194" i="2" s="1"/>
  <c r="AB191" i="2"/>
  <c r="AC191" i="2" s="1"/>
  <c r="AB181" i="2"/>
  <c r="AC181" i="2" s="1"/>
  <c r="AB171" i="2"/>
  <c r="AC171" i="2" s="1"/>
  <c r="AB226" i="2"/>
  <c r="AC226" i="2" s="1"/>
  <c r="AB215" i="2"/>
  <c r="AC215" i="2" s="1"/>
  <c r="AB178" i="2"/>
  <c r="AC178" i="2" s="1"/>
  <c r="AB168" i="2"/>
  <c r="AC168" i="2" s="1"/>
  <c r="Q551" i="2"/>
  <c r="R551" i="2" s="1"/>
  <c r="S551" i="2" s="1"/>
  <c r="T551" i="2" s="1"/>
  <c r="Y551" i="2" s="1"/>
  <c r="Z551" i="2" s="1"/>
  <c r="Q590" i="2"/>
  <c r="R590" i="2" s="1"/>
  <c r="S590" i="2" s="1"/>
  <c r="T590" i="2" s="1"/>
  <c r="Y590" i="2" s="1"/>
  <c r="Z590" i="2" s="1"/>
  <c r="Q601" i="2"/>
  <c r="R601" i="2" s="1"/>
  <c r="S601" i="2" s="1"/>
  <c r="T601" i="2" s="1"/>
  <c r="Y601" i="2" s="1"/>
  <c r="Z601" i="2" s="1"/>
  <c r="N618" i="2"/>
  <c r="U618" i="2" s="1"/>
  <c r="P634" i="2"/>
  <c r="Q640" i="2"/>
  <c r="R640" i="2" s="1"/>
  <c r="S640" i="2" s="1"/>
  <c r="T640" i="2" s="1"/>
  <c r="Y640" i="2" s="1"/>
  <c r="Z640" i="2" s="1"/>
  <c r="AB18" i="2"/>
  <c r="AC18" i="2" s="1"/>
  <c r="Q25" i="2"/>
  <c r="R25" i="2" s="1"/>
  <c r="S25" i="2" s="1"/>
  <c r="T25" i="2" s="1"/>
  <c r="Y25" i="2" s="1"/>
  <c r="Z25" i="2" s="1"/>
  <c r="Q30" i="2"/>
  <c r="R30" i="2" s="1"/>
  <c r="S30" i="2" s="1"/>
  <c r="T30" i="2" s="1"/>
  <c r="Y30" i="2" s="1"/>
  <c r="Z30" i="2" s="1"/>
  <c r="N109" i="2"/>
  <c r="U109" i="2" s="1"/>
  <c r="AB109" i="2"/>
  <c r="AC109" i="2" s="1"/>
  <c r="P113" i="2"/>
  <c r="AB118" i="2"/>
  <c r="AC118" i="2" s="1"/>
  <c r="Q118" i="2"/>
  <c r="P118" i="2"/>
  <c r="AB123" i="2"/>
  <c r="AC123" i="2" s="1"/>
  <c r="Q123" i="2"/>
  <c r="P123" i="2"/>
  <c r="AB122" i="2"/>
  <c r="AC122" i="2" s="1"/>
  <c r="Q122" i="2"/>
  <c r="P122" i="2"/>
  <c r="AB130" i="2"/>
  <c r="AC130" i="2" s="1"/>
  <c r="Q130" i="2"/>
  <c r="P130" i="2"/>
  <c r="AB132" i="2"/>
  <c r="AC132" i="2" s="1"/>
  <c r="Q132" i="2"/>
  <c r="P132" i="2"/>
  <c r="AB134" i="2"/>
  <c r="AC134" i="2" s="1"/>
  <c r="Q134" i="2"/>
  <c r="P134" i="2"/>
  <c r="AB137" i="2"/>
  <c r="AC137" i="2" s="1"/>
  <c r="Q137" i="2"/>
  <c r="P137" i="2"/>
  <c r="AB141" i="2"/>
  <c r="AC141" i="2" s="1"/>
  <c r="Q141" i="2"/>
  <c r="P141" i="2"/>
  <c r="AB145" i="2"/>
  <c r="AC145" i="2" s="1"/>
  <c r="Q145" i="2"/>
  <c r="P145" i="2"/>
  <c r="AB143" i="2"/>
  <c r="AC143" i="2" s="1"/>
  <c r="Q143" i="2"/>
  <c r="P143" i="2"/>
  <c r="AB150" i="2"/>
  <c r="AC150" i="2" s="1"/>
  <c r="Q150" i="2"/>
  <c r="P150" i="2"/>
  <c r="AB148" i="2"/>
  <c r="AC148" i="2" s="1"/>
  <c r="Q148" i="2"/>
  <c r="P148" i="2"/>
  <c r="AB155" i="2"/>
  <c r="AC155" i="2" s="1"/>
  <c r="Q155" i="2"/>
  <c r="P155" i="2"/>
  <c r="AB156" i="2"/>
  <c r="AC156" i="2" s="1"/>
  <c r="Q156" i="2"/>
  <c r="P156" i="2"/>
  <c r="AB157" i="2"/>
  <c r="AC157" i="2" s="1"/>
  <c r="Q157" i="2"/>
  <c r="P157" i="2"/>
  <c r="AB159" i="2"/>
  <c r="AC159" i="2" s="1"/>
  <c r="Q159" i="2"/>
  <c r="P159" i="2"/>
  <c r="V168" i="2"/>
  <c r="W168" i="2" s="1"/>
  <c r="AB170" i="2"/>
  <c r="AC170" i="2" s="1"/>
  <c r="Q170" i="2"/>
  <c r="P170" i="2"/>
  <c r="AB172" i="2"/>
  <c r="AC172" i="2" s="1"/>
  <c r="AB163" i="2"/>
  <c r="AC163" i="2" s="1"/>
  <c r="Q163" i="2"/>
  <c r="R171" i="2"/>
  <c r="S171" i="2" s="1"/>
  <c r="T171" i="2" s="1"/>
  <c r="Y171" i="2" s="1"/>
  <c r="Z171" i="2" s="1"/>
  <c r="V178" i="2"/>
  <c r="W178" i="2" s="1"/>
  <c r="AB179" i="2"/>
  <c r="AC179" i="2" s="1"/>
  <c r="Q179" i="2"/>
  <c r="P179" i="2"/>
  <c r="AB183" i="2"/>
  <c r="AC183" i="2" s="1"/>
  <c r="AB182" i="2"/>
  <c r="AC182" i="2" s="1"/>
  <c r="Q182" i="2"/>
  <c r="N242" i="2"/>
  <c r="U242" i="2" s="1"/>
  <c r="V242" i="2"/>
  <c r="W242" i="2" s="1"/>
  <c r="AB252" i="2"/>
  <c r="AC252" i="2" s="1"/>
  <c r="Q252" i="2"/>
  <c r="P252" i="2"/>
  <c r="AB111" i="2"/>
  <c r="AC111" i="2" s="1"/>
  <c r="P111" i="2"/>
  <c r="N117" i="2"/>
  <c r="U117" i="2" s="1"/>
  <c r="N121" i="2"/>
  <c r="U121" i="2" s="1"/>
  <c r="N149" i="2"/>
  <c r="U149" i="2" s="1"/>
  <c r="Q634" i="2"/>
  <c r="R634" i="2" s="1"/>
  <c r="S634" i="2" s="1"/>
  <c r="T634" i="2" s="1"/>
  <c r="Y634" i="2" s="1"/>
  <c r="Z634" i="2" s="1"/>
  <c r="AB640" i="2"/>
  <c r="AC640" i="2" s="1"/>
  <c r="V109" i="2"/>
  <c r="W109" i="2" s="1"/>
  <c r="AB117" i="2"/>
  <c r="AC117" i="2" s="1"/>
  <c r="AB120" i="2"/>
  <c r="AC120" i="2" s="1"/>
  <c r="AB121" i="2"/>
  <c r="AC121" i="2" s="1"/>
  <c r="AB129" i="2"/>
  <c r="AC129" i="2" s="1"/>
  <c r="AB131" i="2"/>
  <c r="AC131" i="2" s="1"/>
  <c r="AB133" i="2"/>
  <c r="AC133" i="2" s="1"/>
  <c r="AB135" i="2"/>
  <c r="AC135" i="2" s="1"/>
  <c r="AB139" i="2"/>
  <c r="AC139" i="2" s="1"/>
  <c r="AB140" i="2"/>
  <c r="AC140" i="2" s="1"/>
  <c r="AB144" i="2"/>
  <c r="AC144" i="2" s="1"/>
  <c r="AB149" i="2"/>
  <c r="AC149" i="2" s="1"/>
  <c r="AB147" i="2"/>
  <c r="AC147" i="2" s="1"/>
  <c r="AB151" i="2"/>
  <c r="AC151" i="2" s="1"/>
  <c r="AB153" i="2"/>
  <c r="AC153" i="2" s="1"/>
  <c r="AB158" i="2"/>
  <c r="AC158" i="2" s="1"/>
  <c r="AB162" i="2"/>
  <c r="AC162" i="2" s="1"/>
  <c r="N168" i="2"/>
  <c r="U168" i="2" s="1"/>
  <c r="AB169" i="2"/>
  <c r="AC169" i="2" s="1"/>
  <c r="P163" i="2"/>
  <c r="V171" i="2"/>
  <c r="W171" i="2" s="1"/>
  <c r="N178" i="2"/>
  <c r="U178" i="2" s="1"/>
  <c r="R178" i="2"/>
  <c r="S178" i="2" s="1"/>
  <c r="T178" i="2" s="1"/>
  <c r="Y178" i="2" s="1"/>
  <c r="Z178" i="2" s="1"/>
  <c r="AB180" i="2"/>
  <c r="AC180" i="2" s="1"/>
  <c r="P182" i="2"/>
  <c r="V181" i="2"/>
  <c r="W181" i="2" s="1"/>
  <c r="P214" i="2"/>
  <c r="AB214" i="2"/>
  <c r="AC214" i="2" s="1"/>
  <c r="AB230" i="2"/>
  <c r="AC230" i="2" s="1"/>
  <c r="AB166" i="2"/>
  <c r="AC166" i="2" s="1"/>
  <c r="Q166" i="2"/>
  <c r="V169" i="2"/>
  <c r="W169" i="2" s="1"/>
  <c r="AB176" i="2"/>
  <c r="AC176" i="2" s="1"/>
  <c r="Q176" i="2"/>
  <c r="V180" i="2"/>
  <c r="W180" i="2" s="1"/>
  <c r="N217" i="2"/>
  <c r="U217" i="2" s="1"/>
  <c r="P225" i="2"/>
  <c r="AB225" i="2"/>
  <c r="AC225" i="2" s="1"/>
  <c r="Q225" i="2"/>
  <c r="AB164" i="2"/>
  <c r="AC164" i="2" s="1"/>
  <c r="Q164" i="2"/>
  <c r="P166" i="2"/>
  <c r="AB174" i="2"/>
  <c r="AC174" i="2" s="1"/>
  <c r="Q174" i="2"/>
  <c r="P176" i="2"/>
  <c r="AB189" i="2"/>
  <c r="AC189" i="2" s="1"/>
  <c r="Q189" i="2"/>
  <c r="T191" i="2"/>
  <c r="Y191" i="2" s="1"/>
  <c r="Z191" i="2" s="1"/>
  <c r="AB193" i="2"/>
  <c r="AC193" i="2" s="1"/>
  <c r="Q193" i="2"/>
  <c r="T194" i="2"/>
  <c r="Y194" i="2" s="1"/>
  <c r="Z194" i="2" s="1"/>
  <c r="AB198" i="2"/>
  <c r="AC198" i="2" s="1"/>
  <c r="Q198" i="2"/>
  <c r="T205" i="2"/>
  <c r="Y205" i="2" s="1"/>
  <c r="Z205" i="2" s="1"/>
  <c r="AB208" i="2"/>
  <c r="AC208" i="2" s="1"/>
  <c r="Q208" i="2"/>
  <c r="N209" i="2"/>
  <c r="U209" i="2" s="1"/>
  <c r="P217" i="2"/>
  <c r="AB217" i="2"/>
  <c r="AC217" i="2" s="1"/>
  <c r="Q217" i="2"/>
  <c r="Q230" i="2"/>
  <c r="N227" i="2"/>
  <c r="U227" i="2" s="1"/>
  <c r="V227" i="2"/>
  <c r="W227" i="2" s="1"/>
  <c r="AB241" i="2"/>
  <c r="AC241" i="2" s="1"/>
  <c r="Q241" i="2"/>
  <c r="P241" i="2"/>
  <c r="N246" i="2"/>
  <c r="U246" i="2" s="1"/>
  <c r="AB264" i="2"/>
  <c r="AC264" i="2" s="1"/>
  <c r="Q264" i="2"/>
  <c r="P264" i="2"/>
  <c r="N212" i="2"/>
  <c r="U212" i="2" s="1"/>
  <c r="V212" i="2"/>
  <c r="W212" i="2" s="1"/>
  <c r="N219" i="2"/>
  <c r="U219" i="2" s="1"/>
  <c r="V219" i="2"/>
  <c r="W219" i="2" s="1"/>
  <c r="N226" i="2"/>
  <c r="U226" i="2" s="1"/>
  <c r="V226" i="2"/>
  <c r="W226" i="2" s="1"/>
  <c r="AB227" i="2"/>
  <c r="AC227" i="2" s="1"/>
  <c r="P227" i="2"/>
  <c r="N238" i="2"/>
  <c r="U238" i="2" s="1"/>
  <c r="AB243" i="2"/>
  <c r="AC243" i="2" s="1"/>
  <c r="Q243" i="2"/>
  <c r="P243" i="2"/>
  <c r="N251" i="2"/>
  <c r="U251" i="2" s="1"/>
  <c r="N214" i="2"/>
  <c r="U214" i="2" s="1"/>
  <c r="V214" i="2"/>
  <c r="W214" i="2" s="1"/>
  <c r="N215" i="2"/>
  <c r="U215" i="2" s="1"/>
  <c r="V215" i="2"/>
  <c r="W215" i="2" s="1"/>
  <c r="N230" i="2"/>
  <c r="U230" i="2" s="1"/>
  <c r="V230" i="2"/>
  <c r="W230" i="2" s="1"/>
  <c r="R227" i="2"/>
  <c r="S227" i="2" s="1"/>
  <c r="T227" i="2" s="1"/>
  <c r="Y227" i="2" s="1"/>
  <c r="Z227" i="2" s="1"/>
  <c r="N239" i="2"/>
  <c r="U239" i="2" s="1"/>
  <c r="AB248" i="2"/>
  <c r="AC248" i="2" s="1"/>
  <c r="Q248" i="2"/>
  <c r="P248" i="2"/>
  <c r="N256" i="2"/>
  <c r="U256" i="2" s="1"/>
  <c r="V245" i="2"/>
  <c r="W245" i="2" s="1"/>
  <c r="V241" i="2"/>
  <c r="W241" i="2" s="1"/>
  <c r="V243" i="2"/>
  <c r="W243" i="2" s="1"/>
  <c r="V248" i="2"/>
  <c r="W248" i="2" s="1"/>
  <c r="V252" i="2"/>
  <c r="W252" i="2" s="1"/>
  <c r="V264" i="2"/>
  <c r="W264" i="2" s="1"/>
  <c r="N245" i="2"/>
  <c r="U245" i="2" s="1"/>
  <c r="N241" i="2"/>
  <c r="U241" i="2" s="1"/>
  <c r="N243" i="2"/>
  <c r="U243" i="2" s="1"/>
  <c r="N248" i="2"/>
  <c r="U248" i="2" s="1"/>
  <c r="N252" i="2"/>
  <c r="U252" i="2" s="1"/>
  <c r="N264" i="2"/>
  <c r="U264" i="2" s="1"/>
  <c r="P594" i="2"/>
  <c r="AB594" i="2"/>
  <c r="AC594" i="2" s="1"/>
  <c r="P609" i="2"/>
  <c r="Q609" i="2"/>
  <c r="R609" i="2" s="1"/>
  <c r="S609" i="2" s="1"/>
  <c r="T609" i="2" s="1"/>
  <c r="Y609" i="2" s="1"/>
  <c r="Z609" i="2" s="1"/>
  <c r="N13" i="2"/>
  <c r="U13" i="2" s="1"/>
  <c r="V13" i="2"/>
  <c r="W13" i="2" s="1"/>
  <c r="P633" i="2"/>
  <c r="AB633" i="2"/>
  <c r="AC633" i="2" s="1"/>
  <c r="V648" i="2"/>
  <c r="W648" i="2" s="1"/>
  <c r="N648" i="2"/>
  <c r="U648" i="2" s="1"/>
  <c r="N30" i="2"/>
  <c r="U30" i="2" s="1"/>
  <c r="V30" i="2"/>
  <c r="W30" i="2" s="1"/>
  <c r="Q594" i="2"/>
  <c r="R594" i="2" s="1"/>
  <c r="S594" i="2" s="1"/>
  <c r="T594" i="2" s="1"/>
  <c r="Y594" i="2" s="1"/>
  <c r="Z594" i="2" s="1"/>
  <c r="P602" i="2"/>
  <c r="AB602" i="2"/>
  <c r="AC602" i="2" s="1"/>
  <c r="AB611" i="2"/>
  <c r="AC611" i="2" s="1"/>
  <c r="Q611" i="2"/>
  <c r="AB614" i="2"/>
  <c r="AC614" i="2" s="1"/>
  <c r="Q614" i="2"/>
  <c r="AB616" i="2"/>
  <c r="AC616" i="2" s="1"/>
  <c r="Q616" i="2"/>
  <c r="AB618" i="2"/>
  <c r="AC618" i="2" s="1"/>
  <c r="Q618" i="2"/>
  <c r="AB620" i="2"/>
  <c r="AC620" i="2" s="1"/>
  <c r="Q620" i="2"/>
  <c r="AB622" i="2"/>
  <c r="AC622" i="2" s="1"/>
  <c r="Q622" i="2"/>
  <c r="AB630" i="2"/>
  <c r="AC630" i="2" s="1"/>
  <c r="Q13" i="2"/>
  <c r="P13" i="2"/>
  <c r="AB13" i="2"/>
  <c r="AC13" i="2" s="1"/>
  <c r="Q633" i="2"/>
  <c r="N634" i="2"/>
  <c r="U634" i="2" s="1"/>
  <c r="V634" i="2"/>
  <c r="W634" i="2" s="1"/>
  <c r="V637" i="2"/>
  <c r="W637" i="2" s="1"/>
  <c r="V646" i="2"/>
  <c r="W646" i="2" s="1"/>
  <c r="N646" i="2"/>
  <c r="U646" i="2" s="1"/>
  <c r="AB26" i="2"/>
  <c r="AC26" i="2" s="1"/>
  <c r="Q26" i="2"/>
  <c r="P26" i="2"/>
  <c r="P557" i="2"/>
  <c r="AB557" i="2"/>
  <c r="AC557" i="2" s="1"/>
  <c r="Q574" i="2"/>
  <c r="R574" i="2" s="1"/>
  <c r="S574" i="2" s="1"/>
  <c r="T574" i="2" s="1"/>
  <c r="Y574" i="2" s="1"/>
  <c r="Z574" i="2" s="1"/>
  <c r="P585" i="2"/>
  <c r="Q585" i="2"/>
  <c r="R585" i="2" s="1"/>
  <c r="S585" i="2" s="1"/>
  <c r="T585" i="2" s="1"/>
  <c r="Y585" i="2" s="1"/>
  <c r="Z585" i="2" s="1"/>
  <c r="Q602" i="2"/>
  <c r="R602" i="2" s="1"/>
  <c r="S602" i="2" s="1"/>
  <c r="T602" i="2" s="1"/>
  <c r="Y602" i="2" s="1"/>
  <c r="Z602" i="2" s="1"/>
  <c r="P611" i="2"/>
  <c r="N613" i="2"/>
  <c r="U613" i="2" s="1"/>
  <c r="R613" i="2"/>
  <c r="S613" i="2" s="1"/>
  <c r="T613" i="2" s="1"/>
  <c r="Y613" i="2" s="1"/>
  <c r="Z613" i="2" s="1"/>
  <c r="P614" i="2"/>
  <c r="N615" i="2"/>
  <c r="U615" i="2" s="1"/>
  <c r="P616" i="2"/>
  <c r="N617" i="2"/>
  <c r="U617" i="2" s="1"/>
  <c r="P618" i="2"/>
  <c r="N621" i="2"/>
  <c r="U621" i="2" s="1"/>
  <c r="P620" i="2"/>
  <c r="N624" i="2"/>
  <c r="U624" i="2" s="1"/>
  <c r="R624" i="2"/>
  <c r="S624" i="2" s="1"/>
  <c r="T624" i="2" s="1"/>
  <c r="Y624" i="2" s="1"/>
  <c r="Z624" i="2" s="1"/>
  <c r="P622" i="2"/>
  <c r="N626" i="2"/>
  <c r="U626" i="2" s="1"/>
  <c r="P628" i="2"/>
  <c r="P630" i="2"/>
  <c r="V645" i="2"/>
  <c r="W645" i="2" s="1"/>
  <c r="N645" i="2"/>
  <c r="U645" i="2" s="1"/>
  <c r="P635" i="2"/>
  <c r="Q635" i="2"/>
  <c r="N637" i="2"/>
  <c r="U637" i="2" s="1"/>
  <c r="V640" i="2"/>
  <c r="W640" i="2" s="1"/>
  <c r="N640" i="2"/>
  <c r="U640" i="2" s="1"/>
  <c r="V17" i="2"/>
  <c r="W17" i="2" s="1"/>
  <c r="N17" i="2"/>
  <c r="U17" i="2" s="1"/>
  <c r="N44" i="2"/>
  <c r="U44" i="2" s="1"/>
  <c r="V44" i="2"/>
  <c r="W44" i="2" s="1"/>
  <c r="Q557" i="2"/>
  <c r="R557" i="2" s="1"/>
  <c r="S557" i="2" s="1"/>
  <c r="T557" i="2" s="1"/>
  <c r="Y557" i="2" s="1"/>
  <c r="Z557" i="2" s="1"/>
  <c r="P599" i="2"/>
  <c r="Q599" i="2"/>
  <c r="R599" i="2" s="1"/>
  <c r="S599" i="2" s="1"/>
  <c r="T599" i="2" s="1"/>
  <c r="Y599" i="2" s="1"/>
  <c r="Z599" i="2" s="1"/>
  <c r="AB628" i="2"/>
  <c r="AC628" i="2" s="1"/>
  <c r="T630" i="2"/>
  <c r="Y630" i="2" s="1"/>
  <c r="Z630" i="2" s="1"/>
  <c r="V652" i="2"/>
  <c r="W652" i="2" s="1"/>
  <c r="N652" i="2"/>
  <c r="U652" i="2" s="1"/>
  <c r="AB38" i="2"/>
  <c r="AC38" i="2" s="1"/>
  <c r="Q38" i="2"/>
  <c r="P38" i="2"/>
  <c r="AB52" i="2"/>
  <c r="AC52" i="2" s="1"/>
  <c r="Q52" i="2"/>
  <c r="P52" i="2"/>
  <c r="AB555" i="2"/>
  <c r="AC555" i="2" s="1"/>
  <c r="AB562" i="2"/>
  <c r="AC562" i="2" s="1"/>
  <c r="AB571" i="2"/>
  <c r="AC571" i="2" s="1"/>
  <c r="V628" i="2"/>
  <c r="W628" i="2" s="1"/>
  <c r="AB645" i="2"/>
  <c r="AC645" i="2" s="1"/>
  <c r="N636" i="2"/>
  <c r="U636" i="2" s="1"/>
  <c r="T18" i="2"/>
  <c r="Y18" i="2" s="1"/>
  <c r="Z18" i="2" s="1"/>
  <c r="N21" i="2"/>
  <c r="U21" i="2" s="1"/>
  <c r="N23" i="2"/>
  <c r="U23" i="2" s="1"/>
  <c r="AB532" i="2"/>
  <c r="AC532" i="2" s="1"/>
  <c r="AB51" i="2"/>
  <c r="AC51" i="2" s="1"/>
  <c r="AB39" i="2"/>
  <c r="AC39" i="2" s="1"/>
  <c r="AB27" i="2"/>
  <c r="AC27" i="2" s="1"/>
  <c r="AB49" i="2"/>
  <c r="AC49" i="2" s="1"/>
  <c r="AB37" i="2"/>
  <c r="AC37" i="2" s="1"/>
  <c r="AB25" i="2"/>
  <c r="AC25" i="2" s="1"/>
  <c r="N630" i="2"/>
  <c r="U630" i="2" s="1"/>
  <c r="AB639" i="2"/>
  <c r="AC639" i="2" s="1"/>
  <c r="Q639" i="2"/>
  <c r="AB643" i="2"/>
  <c r="AC643" i="2" s="1"/>
  <c r="Q643" i="2"/>
  <c r="AB647" i="2"/>
  <c r="AC647" i="2" s="1"/>
  <c r="Q647" i="2"/>
  <c r="AB651" i="2"/>
  <c r="AC651" i="2" s="1"/>
  <c r="Q651" i="2"/>
  <c r="AB653" i="2"/>
  <c r="AC653" i="2" s="1"/>
  <c r="Q653" i="2"/>
  <c r="P23" i="2"/>
  <c r="AB23" i="2"/>
  <c r="AC23" i="2" s="1"/>
  <c r="Q23" i="2"/>
  <c r="AB28" i="2"/>
  <c r="AC28" i="2" s="1"/>
  <c r="Q28" i="2"/>
  <c r="P28" i="2"/>
  <c r="AB30" i="2"/>
  <c r="AC30" i="2" s="1"/>
  <c r="N31" i="2"/>
  <c r="U31" i="2" s="1"/>
  <c r="AB31" i="2"/>
  <c r="AC31" i="2" s="1"/>
  <c r="AB41" i="2"/>
  <c r="AC41" i="2" s="1"/>
  <c r="Q41" i="2"/>
  <c r="P41" i="2"/>
  <c r="AB44" i="2"/>
  <c r="AC44" i="2" s="1"/>
  <c r="N47" i="2"/>
  <c r="U47" i="2" s="1"/>
  <c r="AB47" i="2"/>
  <c r="AC47" i="2" s="1"/>
  <c r="AB55" i="2"/>
  <c r="AC55" i="2" s="1"/>
  <c r="Q55" i="2"/>
  <c r="P55" i="2"/>
  <c r="V639" i="2"/>
  <c r="W639" i="2" s="1"/>
  <c r="V643" i="2"/>
  <c r="W643" i="2" s="1"/>
  <c r="V647" i="2"/>
  <c r="W647" i="2" s="1"/>
  <c r="V651" i="2"/>
  <c r="W651" i="2" s="1"/>
  <c r="V653" i="2"/>
  <c r="W653" i="2" s="1"/>
  <c r="V18" i="2"/>
  <c r="W18" i="2" s="1"/>
  <c r="N20" i="2"/>
  <c r="U20" i="2" s="1"/>
  <c r="V20" i="2"/>
  <c r="W20" i="2" s="1"/>
  <c r="N25" i="2"/>
  <c r="U25" i="2" s="1"/>
  <c r="AB32" i="2"/>
  <c r="AC32" i="2" s="1"/>
  <c r="Q32" i="2"/>
  <c r="P32" i="2"/>
  <c r="N37" i="2"/>
  <c r="U37" i="2" s="1"/>
  <c r="AB45" i="2"/>
  <c r="AC45" i="2" s="1"/>
  <c r="Q45" i="2"/>
  <c r="P45" i="2"/>
  <c r="N49" i="2"/>
  <c r="U49" i="2" s="1"/>
  <c r="N639" i="2"/>
  <c r="U639" i="2" s="1"/>
  <c r="N643" i="2"/>
  <c r="U643" i="2" s="1"/>
  <c r="N647" i="2"/>
  <c r="U647" i="2" s="1"/>
  <c r="N651" i="2"/>
  <c r="U651" i="2" s="1"/>
  <c r="N653" i="2"/>
  <c r="U653" i="2" s="1"/>
  <c r="N18" i="2"/>
  <c r="U18" i="2" s="1"/>
  <c r="Q21" i="2"/>
  <c r="AB21" i="2"/>
  <c r="AC21" i="2" s="1"/>
  <c r="N24" i="2"/>
  <c r="U24" i="2" s="1"/>
  <c r="V24" i="2"/>
  <c r="W24" i="2" s="1"/>
  <c r="N27" i="2"/>
  <c r="U27" i="2" s="1"/>
  <c r="AB35" i="2"/>
  <c r="AC35" i="2" s="1"/>
  <c r="Q35" i="2"/>
  <c r="P35" i="2"/>
  <c r="N39" i="2"/>
  <c r="U39" i="2" s="1"/>
  <c r="AB48" i="2"/>
  <c r="AC48" i="2" s="1"/>
  <c r="Q48" i="2"/>
  <c r="P48" i="2"/>
  <c r="N51" i="2"/>
  <c r="U51" i="2" s="1"/>
  <c r="V26" i="2"/>
  <c r="W26" i="2" s="1"/>
  <c r="V28" i="2"/>
  <c r="W28" i="2" s="1"/>
  <c r="V32" i="2"/>
  <c r="W32" i="2" s="1"/>
  <c r="V35" i="2"/>
  <c r="W35" i="2" s="1"/>
  <c r="V38" i="2"/>
  <c r="W38" i="2" s="1"/>
  <c r="V41" i="2"/>
  <c r="W41" i="2" s="1"/>
  <c r="V45" i="2"/>
  <c r="W45" i="2" s="1"/>
  <c r="V48" i="2"/>
  <c r="W48" i="2" s="1"/>
  <c r="V52" i="2"/>
  <c r="W52" i="2" s="1"/>
  <c r="V55" i="2"/>
  <c r="W55" i="2" s="1"/>
  <c r="N26" i="2"/>
  <c r="U26" i="2" s="1"/>
  <c r="N28" i="2"/>
  <c r="U28" i="2" s="1"/>
  <c r="N32" i="2"/>
  <c r="U32" i="2" s="1"/>
  <c r="N35" i="2"/>
  <c r="U35" i="2" s="1"/>
  <c r="N38" i="2"/>
  <c r="U38" i="2" s="1"/>
  <c r="N41" i="2"/>
  <c r="U41" i="2" s="1"/>
  <c r="N45" i="2"/>
  <c r="U45" i="2" s="1"/>
  <c r="N48" i="2"/>
  <c r="U48" i="2" s="1"/>
  <c r="N52" i="2"/>
  <c r="U52" i="2" s="1"/>
  <c r="N55" i="2"/>
  <c r="U55" i="2" s="1"/>
  <c r="V567" i="2"/>
  <c r="W567" i="2" s="1"/>
  <c r="N576" i="2"/>
  <c r="U576" i="2" s="1"/>
  <c r="V576" i="2"/>
  <c r="W576" i="2" s="1"/>
  <c r="N590" i="2"/>
  <c r="U590" i="2" s="1"/>
  <c r="AB596" i="2"/>
  <c r="AC596" i="2" s="1"/>
  <c r="Q596" i="2"/>
  <c r="P596" i="2"/>
  <c r="N601" i="2"/>
  <c r="U601" i="2" s="1"/>
  <c r="AB608" i="2"/>
  <c r="AC608" i="2" s="1"/>
  <c r="Q608" i="2"/>
  <c r="P608" i="2"/>
  <c r="N567" i="2"/>
  <c r="U567" i="2" s="1"/>
  <c r="P571" i="2"/>
  <c r="N574" i="2"/>
  <c r="U574" i="2" s="1"/>
  <c r="AB610" i="2"/>
  <c r="AC610" i="2" s="1"/>
  <c r="Q610" i="2"/>
  <c r="P610" i="2"/>
  <c r="Q550" i="2"/>
  <c r="R550" i="2" s="1"/>
  <c r="S550" i="2" s="1"/>
  <c r="T550" i="2" s="1"/>
  <c r="Y550" i="2" s="1"/>
  <c r="Z550" i="2" s="1"/>
  <c r="Q553" i="2"/>
  <c r="R553" i="2" s="1"/>
  <c r="S553" i="2" s="1"/>
  <c r="T553" i="2" s="1"/>
  <c r="Y553" i="2" s="1"/>
  <c r="Z553" i="2" s="1"/>
  <c r="Q556" i="2"/>
  <c r="R556" i="2" s="1"/>
  <c r="S556" i="2" s="1"/>
  <c r="T556" i="2" s="1"/>
  <c r="Y556" i="2" s="1"/>
  <c r="Z556" i="2" s="1"/>
  <c r="Q569" i="2"/>
  <c r="V569" i="2"/>
  <c r="W569" i="2" s="1"/>
  <c r="AB569" i="2"/>
  <c r="AC569" i="2" s="1"/>
  <c r="Q571" i="2"/>
  <c r="V571" i="2"/>
  <c r="W571" i="2" s="1"/>
  <c r="Q576" i="2"/>
  <c r="AB576" i="2"/>
  <c r="AC576" i="2" s="1"/>
  <c r="N577" i="2"/>
  <c r="U577" i="2" s="1"/>
  <c r="V577" i="2"/>
  <c r="W577" i="2" s="1"/>
  <c r="Q581" i="2"/>
  <c r="AB581" i="2"/>
  <c r="AC581" i="2" s="1"/>
  <c r="AB592" i="2"/>
  <c r="AC592" i="2" s="1"/>
  <c r="Q592" i="2"/>
  <c r="P592" i="2"/>
  <c r="N595" i="2"/>
  <c r="U595" i="2" s="1"/>
  <c r="AB595" i="2"/>
  <c r="AC595" i="2" s="1"/>
  <c r="AB600" i="2"/>
  <c r="AC600" i="2" s="1"/>
  <c r="Q600" i="2"/>
  <c r="P600" i="2"/>
  <c r="N607" i="2"/>
  <c r="U607" i="2" s="1"/>
  <c r="AB607" i="2"/>
  <c r="AC607" i="2" s="1"/>
  <c r="V574" i="2"/>
  <c r="W574" i="2" s="1"/>
  <c r="N581" i="2"/>
  <c r="U581" i="2" s="1"/>
  <c r="V581" i="2"/>
  <c r="W581" i="2" s="1"/>
  <c r="AB583" i="2"/>
  <c r="AC583" i="2" s="1"/>
  <c r="Q583" i="2"/>
  <c r="P583" i="2"/>
  <c r="Q536" i="2"/>
  <c r="R536" i="2" s="1"/>
  <c r="S536" i="2" s="1"/>
  <c r="T536" i="2" s="1"/>
  <c r="Y536" i="2" s="1"/>
  <c r="Z536" i="2" s="1"/>
  <c r="Q579" i="2"/>
  <c r="AB579" i="2"/>
  <c r="AC579" i="2" s="1"/>
  <c r="N580" i="2"/>
  <c r="U580" i="2" s="1"/>
  <c r="V580" i="2"/>
  <c r="W580" i="2" s="1"/>
  <c r="AB588" i="2"/>
  <c r="AC588" i="2" s="1"/>
  <c r="Q588" i="2"/>
  <c r="P588" i="2"/>
  <c r="N594" i="2"/>
  <c r="U594" i="2" s="1"/>
  <c r="AB598" i="2"/>
  <c r="AC598" i="2" s="1"/>
  <c r="Q598" i="2"/>
  <c r="P598" i="2"/>
  <c r="N602" i="2"/>
  <c r="U602" i="2" s="1"/>
  <c r="AB549" i="2"/>
  <c r="AC549" i="2" s="1"/>
  <c r="AB550" i="2"/>
  <c r="AC550" i="2" s="1"/>
  <c r="AB558" i="2"/>
  <c r="AC558" i="2" s="1"/>
  <c r="AB553" i="2"/>
  <c r="AC553" i="2" s="1"/>
  <c r="AB559" i="2"/>
  <c r="AC559" i="2" s="1"/>
  <c r="AB556" i="2"/>
  <c r="AC556" i="2" s="1"/>
  <c r="N569" i="2"/>
  <c r="U569" i="2" s="1"/>
  <c r="N571" i="2"/>
  <c r="U571" i="2" s="1"/>
  <c r="P574" i="2"/>
  <c r="N579" i="2"/>
  <c r="U579" i="2" s="1"/>
  <c r="V579" i="2"/>
  <c r="W579" i="2" s="1"/>
  <c r="Q580" i="2"/>
  <c r="AB580" i="2"/>
  <c r="AC580" i="2" s="1"/>
  <c r="N585" i="2"/>
  <c r="U585" i="2" s="1"/>
  <c r="AB585" i="2"/>
  <c r="AC585" i="2" s="1"/>
  <c r="V590" i="2"/>
  <c r="W590" i="2" s="1"/>
  <c r="AB593" i="2"/>
  <c r="AC593" i="2" s="1"/>
  <c r="Q593" i="2"/>
  <c r="P593" i="2"/>
  <c r="N599" i="2"/>
  <c r="U599" i="2" s="1"/>
  <c r="AB599" i="2"/>
  <c r="AC599" i="2" s="1"/>
  <c r="V601" i="2"/>
  <c r="W601" i="2" s="1"/>
  <c r="AB603" i="2"/>
  <c r="AC603" i="2" s="1"/>
  <c r="Q603" i="2"/>
  <c r="P603" i="2"/>
  <c r="N609" i="2"/>
  <c r="U609" i="2" s="1"/>
  <c r="AB609" i="2"/>
  <c r="AC609" i="2" s="1"/>
  <c r="V583" i="2"/>
  <c r="W583" i="2" s="1"/>
  <c r="V588" i="2"/>
  <c r="W588" i="2" s="1"/>
  <c r="V592" i="2"/>
  <c r="W592" i="2" s="1"/>
  <c r="V593" i="2"/>
  <c r="W593" i="2" s="1"/>
  <c r="V596" i="2"/>
  <c r="W596" i="2" s="1"/>
  <c r="V598" i="2"/>
  <c r="W598" i="2" s="1"/>
  <c r="V600" i="2"/>
  <c r="W600" i="2" s="1"/>
  <c r="V603" i="2"/>
  <c r="W603" i="2" s="1"/>
  <c r="V608" i="2"/>
  <c r="W608" i="2" s="1"/>
  <c r="V610" i="2"/>
  <c r="W610" i="2" s="1"/>
  <c r="N583" i="2"/>
  <c r="U583" i="2" s="1"/>
  <c r="N588" i="2"/>
  <c r="U588" i="2" s="1"/>
  <c r="N592" i="2"/>
  <c r="U592" i="2" s="1"/>
  <c r="N593" i="2"/>
  <c r="U593" i="2" s="1"/>
  <c r="N596" i="2"/>
  <c r="U596" i="2" s="1"/>
  <c r="N598" i="2"/>
  <c r="U598" i="2" s="1"/>
  <c r="N600" i="2"/>
  <c r="U600" i="2" s="1"/>
  <c r="N603" i="2"/>
  <c r="U603" i="2" s="1"/>
  <c r="N608" i="2"/>
  <c r="U608" i="2" s="1"/>
  <c r="N610" i="2"/>
  <c r="U610" i="2" s="1"/>
  <c r="V551" i="2"/>
  <c r="W551" i="2" s="1"/>
  <c r="V553" i="2"/>
  <c r="W553" i="2" s="1"/>
  <c r="V560" i="2"/>
  <c r="W560" i="2" s="1"/>
  <c r="V556" i="2"/>
  <c r="W556" i="2" s="1"/>
  <c r="AB537" i="2"/>
  <c r="AC537" i="2" s="1"/>
  <c r="P548" i="2"/>
  <c r="N551" i="2"/>
  <c r="U551" i="2" s="1"/>
  <c r="P549" i="2"/>
  <c r="N550" i="2"/>
  <c r="U550" i="2" s="1"/>
  <c r="P555" i="2"/>
  <c r="N557" i="2"/>
  <c r="U557" i="2" s="1"/>
  <c r="P558" i="2"/>
  <c r="N553" i="2"/>
  <c r="U553" i="2" s="1"/>
  <c r="P561" i="2"/>
  <c r="N560" i="2"/>
  <c r="U560" i="2" s="1"/>
  <c r="P559" i="2"/>
  <c r="N556" i="2"/>
  <c r="U556" i="2" s="1"/>
  <c r="P562" i="2"/>
  <c r="Q548" i="2"/>
  <c r="V548" i="2"/>
  <c r="W548" i="2" s="1"/>
  <c r="Q549" i="2"/>
  <c r="V549" i="2"/>
  <c r="W549" i="2" s="1"/>
  <c r="Q555" i="2"/>
  <c r="V555" i="2"/>
  <c r="W555" i="2" s="1"/>
  <c r="Q558" i="2"/>
  <c r="V558" i="2"/>
  <c r="W558" i="2" s="1"/>
  <c r="Q561" i="2"/>
  <c r="V561" i="2"/>
  <c r="W561" i="2" s="1"/>
  <c r="Q559" i="2"/>
  <c r="V559" i="2"/>
  <c r="W559" i="2" s="1"/>
  <c r="Q562" i="2"/>
  <c r="V562" i="2"/>
  <c r="W562" i="2" s="1"/>
  <c r="Q531" i="2"/>
  <c r="R531" i="2" s="1"/>
  <c r="S531" i="2" s="1"/>
  <c r="T531" i="2" s="1"/>
  <c r="Y531" i="2" s="1"/>
  <c r="Z531" i="2" s="1"/>
  <c r="AB535" i="2"/>
  <c r="AC535" i="2" s="1"/>
  <c r="AB536" i="2"/>
  <c r="AC536" i="2" s="1"/>
  <c r="N548" i="2"/>
  <c r="U548" i="2" s="1"/>
  <c r="N549" i="2"/>
  <c r="U549" i="2" s="1"/>
  <c r="N555" i="2"/>
  <c r="U555" i="2" s="1"/>
  <c r="N558" i="2"/>
  <c r="U558" i="2" s="1"/>
  <c r="N561" i="2"/>
  <c r="U561" i="2" s="1"/>
  <c r="N559" i="2"/>
  <c r="U559" i="2" s="1"/>
  <c r="N562" i="2"/>
  <c r="U562" i="2" s="1"/>
  <c r="V532" i="2"/>
  <c r="W532" i="2" s="1"/>
  <c r="V536" i="2"/>
  <c r="W536" i="2" s="1"/>
  <c r="AB531" i="2"/>
  <c r="AC531" i="2" s="1"/>
  <c r="N532" i="2"/>
  <c r="U532" i="2" s="1"/>
  <c r="P535" i="2"/>
  <c r="N536" i="2"/>
  <c r="U536" i="2" s="1"/>
  <c r="P537" i="2"/>
  <c r="Q535" i="2"/>
  <c r="V535" i="2"/>
  <c r="W535" i="2" s="1"/>
  <c r="Q537" i="2"/>
  <c r="V537" i="2"/>
  <c r="W537" i="2" s="1"/>
  <c r="AB534" i="2"/>
  <c r="AC534" i="2" s="1"/>
  <c r="N535" i="2"/>
  <c r="U535" i="2" s="1"/>
  <c r="N537" i="2"/>
  <c r="U537" i="2" s="1"/>
  <c r="V531" i="2"/>
  <c r="W531" i="2" s="1"/>
  <c r="N531" i="2"/>
  <c r="U531" i="2" s="1"/>
  <c r="P534" i="2"/>
  <c r="Q534" i="2"/>
  <c r="V534" i="2"/>
  <c r="W534" i="2" s="1"/>
  <c r="AB530" i="2"/>
  <c r="AC530" i="2" s="1"/>
  <c r="N534" i="2"/>
  <c r="U534" i="2" s="1"/>
  <c r="P530" i="2"/>
  <c r="Q530" i="2"/>
  <c r="V530" i="2"/>
  <c r="W530" i="2" s="1"/>
  <c r="N530" i="2"/>
  <c r="U530" i="2" s="1"/>
  <c r="Q533" i="2"/>
  <c r="R533" i="2" s="1"/>
  <c r="S533" i="2" s="1"/>
  <c r="Q547" i="2"/>
  <c r="R547" i="2" s="1"/>
  <c r="S547" i="2" s="1"/>
  <c r="Q542" i="2"/>
  <c r="R542" i="2" s="1"/>
  <c r="S542" i="2" s="1"/>
  <c r="W908" i="2"/>
  <c r="AB632" i="2"/>
  <c r="AC632" i="2" s="1"/>
  <c r="AB232" i="2"/>
  <c r="AC232" i="2" s="1"/>
  <c r="AB566" i="2"/>
  <c r="AC566" i="2" s="1"/>
  <c r="AB546" i="2"/>
  <c r="AC546" i="2" s="1"/>
  <c r="AB540" i="2"/>
  <c r="AC540" i="2" s="1"/>
  <c r="AB541" i="2"/>
  <c r="AC541" i="2" s="1"/>
  <c r="AB908" i="2"/>
  <c r="AB563" i="2"/>
  <c r="AC563" i="2" s="1"/>
  <c r="AB547" i="2"/>
  <c r="AC547" i="2" s="1"/>
  <c r="AB542" i="2"/>
  <c r="AC542" i="2" s="1"/>
  <c r="AB533" i="2"/>
  <c r="AC533" i="2" s="1"/>
  <c r="AB233" i="2"/>
  <c r="AC233" i="2" s="1"/>
  <c r="R563" i="2"/>
  <c r="S563" i="2" s="1"/>
  <c r="T563" i="2" s="1"/>
  <c r="Y563" i="2" s="1"/>
  <c r="Z563" i="2" s="1"/>
  <c r="R908" i="2"/>
  <c r="S908" i="2" s="1"/>
  <c r="T908" i="2" s="1"/>
  <c r="Y908" i="2" s="1"/>
  <c r="Z908" i="2" s="1"/>
  <c r="Q541" i="2"/>
  <c r="V541" i="2"/>
  <c r="W541" i="2" s="1"/>
  <c r="Q540" i="2"/>
  <c r="V540" i="2"/>
  <c r="W540" i="2" s="1"/>
  <c r="Q546" i="2"/>
  <c r="V546" i="2"/>
  <c r="W546" i="2" s="1"/>
  <c r="Q566" i="2"/>
  <c r="V566" i="2"/>
  <c r="W566" i="2" s="1"/>
  <c r="N541" i="2"/>
  <c r="U541" i="2" s="1"/>
  <c r="N540" i="2"/>
  <c r="U540" i="2" s="1"/>
  <c r="N546" i="2"/>
  <c r="U546" i="2" s="1"/>
  <c r="P563" i="2"/>
  <c r="N566" i="2"/>
  <c r="U566" i="2" s="1"/>
  <c r="P908" i="2"/>
  <c r="V533" i="2"/>
  <c r="W533" i="2" s="1"/>
  <c r="V542" i="2"/>
  <c r="W542" i="2" s="1"/>
  <c r="V547" i="2"/>
  <c r="W547" i="2" s="1"/>
  <c r="V563" i="2"/>
  <c r="W563" i="2" s="1"/>
  <c r="V908" i="2"/>
  <c r="N533" i="2"/>
  <c r="U533" i="2" s="1"/>
  <c r="N542" i="2"/>
  <c r="U542" i="2" s="1"/>
  <c r="N547" i="2"/>
  <c r="U547" i="2" s="1"/>
  <c r="N563" i="2"/>
  <c r="U563" i="2" s="1"/>
  <c r="N908" i="2"/>
  <c r="N233" i="2"/>
  <c r="U233" i="2" s="1"/>
  <c r="N632" i="2"/>
  <c r="U632" i="2" s="1"/>
  <c r="N232" i="2"/>
  <c r="U232" i="2" s="1"/>
  <c r="Z632" i="2"/>
  <c r="P632" i="2"/>
  <c r="Q232" i="2"/>
  <c r="R232" i="2" s="1"/>
  <c r="S232" i="2" s="1"/>
  <c r="T232" i="2" s="1"/>
  <c r="Q233" i="2"/>
  <c r="R233" i="2" s="1"/>
  <c r="S233" i="2" s="1"/>
  <c r="T233" i="2" s="1"/>
  <c r="Y233" i="2" s="1"/>
  <c r="T312" i="2" l="1"/>
  <c r="Y312" i="2" s="1"/>
  <c r="Z312" i="2" s="1"/>
  <c r="T870" i="2"/>
  <c r="Y870" i="2" s="1"/>
  <c r="Z870" i="2" s="1"/>
  <c r="T831" i="2"/>
  <c r="Y831" i="2" s="1"/>
  <c r="Z831" i="2" s="1"/>
  <c r="T339" i="2"/>
  <c r="Y339" i="2" s="1"/>
  <c r="Z339" i="2" s="1"/>
  <c r="T829" i="2"/>
  <c r="Y829" i="2" s="1"/>
  <c r="Z829" i="2" s="1"/>
  <c r="T677" i="2"/>
  <c r="Y677" i="2" s="1"/>
  <c r="Z677" i="2" s="1"/>
  <c r="T855" i="2"/>
  <c r="Y855" i="2" s="1"/>
  <c r="Z855" i="2" s="1"/>
  <c r="T127" i="2"/>
  <c r="Y127" i="2" s="1"/>
  <c r="Z127" i="2" s="1"/>
  <c r="T518" i="2"/>
  <c r="Y518" i="2" s="1"/>
  <c r="Z518" i="2" s="1"/>
  <c r="T266" i="2"/>
  <c r="Y266" i="2" s="1"/>
  <c r="Z266" i="2" s="1"/>
  <c r="T797" i="2"/>
  <c r="Y797" i="2" s="1"/>
  <c r="Z797" i="2" s="1"/>
  <c r="T165" i="2"/>
  <c r="Y165" i="2" s="1"/>
  <c r="Z165" i="2" s="1"/>
  <c r="T833" i="2"/>
  <c r="Y833" i="2" s="1"/>
  <c r="Z833" i="2" s="1"/>
  <c r="T741" i="2"/>
  <c r="Y741" i="2" s="1"/>
  <c r="Z741" i="2" s="1"/>
  <c r="T667" i="2"/>
  <c r="Y667" i="2" s="1"/>
  <c r="Z667" i="2" s="1"/>
  <c r="T471" i="2"/>
  <c r="Y471" i="2" s="1"/>
  <c r="Z471" i="2" s="1"/>
  <c r="T853" i="2"/>
  <c r="Y853" i="2" s="1"/>
  <c r="Z853" i="2" s="1"/>
  <c r="T823" i="2"/>
  <c r="Y823" i="2" s="1"/>
  <c r="Z823" i="2" s="1"/>
  <c r="T675" i="2"/>
  <c r="Y675" i="2" s="1"/>
  <c r="Z675" i="2" s="1"/>
  <c r="T291" i="2"/>
  <c r="Y291" i="2" s="1"/>
  <c r="Z291" i="2" s="1"/>
  <c r="T119" i="2"/>
  <c r="Y119" i="2" s="1"/>
  <c r="Z119" i="2" s="1"/>
  <c r="T825" i="2"/>
  <c r="Y825" i="2" s="1"/>
  <c r="Z825" i="2" s="1"/>
  <c r="T733" i="2"/>
  <c r="Y733" i="2" s="1"/>
  <c r="Z733" i="2" s="1"/>
  <c r="T874" i="2"/>
  <c r="Y874" i="2" s="1"/>
  <c r="Z874" i="2" s="1"/>
  <c r="T805" i="2"/>
  <c r="Y805" i="2" s="1"/>
  <c r="Z805" i="2" s="1"/>
  <c r="T851" i="2"/>
  <c r="Y851" i="2" s="1"/>
  <c r="Z851" i="2" s="1"/>
  <c r="T857" i="2"/>
  <c r="Y857" i="2" s="1"/>
  <c r="Z857" i="2" s="1"/>
  <c r="T847" i="2"/>
  <c r="Y847" i="2" s="1"/>
  <c r="Z847" i="2" s="1"/>
  <c r="T725" i="2"/>
  <c r="Y725" i="2" s="1"/>
  <c r="Z725" i="2" s="1"/>
  <c r="T813" i="2"/>
  <c r="Y813" i="2" s="1"/>
  <c r="Z813" i="2" s="1"/>
  <c r="T837" i="2"/>
  <c r="Y837" i="2" s="1"/>
  <c r="Z837" i="2" s="1"/>
  <c r="T845" i="2"/>
  <c r="Y845" i="2" s="1"/>
  <c r="Z845" i="2" s="1"/>
  <c r="T841" i="2"/>
  <c r="Y841" i="2" s="1"/>
  <c r="Z841" i="2" s="1"/>
  <c r="T705" i="2"/>
  <c r="Y705" i="2" s="1"/>
  <c r="Z705" i="2" s="1"/>
  <c r="T827" i="2"/>
  <c r="Y827" i="2" s="1"/>
  <c r="Z827" i="2" s="1"/>
  <c r="T347" i="2"/>
  <c r="Y347" i="2" s="1"/>
  <c r="Z347" i="2" s="1"/>
  <c r="T192" i="2"/>
  <c r="Y192" i="2" s="1"/>
  <c r="Z192" i="2" s="1"/>
  <c r="T76" i="2"/>
  <c r="Y76" i="2" s="1"/>
  <c r="Z76" i="2" s="1"/>
  <c r="T318" i="2"/>
  <c r="Y318" i="2" s="1"/>
  <c r="Z318" i="2" s="1"/>
  <c r="T389" i="2"/>
  <c r="Y389" i="2" s="1"/>
  <c r="Z389" i="2" s="1"/>
  <c r="T393" i="2"/>
  <c r="Y393" i="2" s="1"/>
  <c r="Z393" i="2" s="1"/>
  <c r="T303" i="2"/>
  <c r="Y303" i="2" s="1"/>
  <c r="Z303" i="2" s="1"/>
  <c r="T849" i="2"/>
  <c r="Y849" i="2" s="1"/>
  <c r="Z849" i="2" s="1"/>
  <c r="R843" i="2"/>
  <c r="S843" i="2" s="1"/>
  <c r="T843" i="2" s="1"/>
  <c r="Y843" i="2" s="1"/>
  <c r="Z843" i="2" s="1"/>
  <c r="T234" i="2"/>
  <c r="Y234" i="2" s="1"/>
  <c r="Z234" i="2" s="1"/>
  <c r="T261" i="2"/>
  <c r="Y261" i="2" s="1"/>
  <c r="Z261" i="2" s="1"/>
  <c r="T106" i="2"/>
  <c r="Y106" i="2" s="1"/>
  <c r="Z106" i="2" s="1"/>
  <c r="T247" i="2"/>
  <c r="Y247" i="2" s="1"/>
  <c r="Z247" i="2" s="1"/>
  <c r="T473" i="2"/>
  <c r="Y473" i="2" s="1"/>
  <c r="Z473" i="2" s="1"/>
  <c r="T343" i="2"/>
  <c r="Y343" i="2" s="1"/>
  <c r="Z343" i="2" s="1"/>
  <c r="T135" i="2"/>
  <c r="Y135" i="2" s="1"/>
  <c r="Z135" i="2" s="1"/>
  <c r="T211" i="2"/>
  <c r="Y211" i="2" s="1"/>
  <c r="Z211" i="2" s="1"/>
  <c r="T108" i="2"/>
  <c r="Y108" i="2" s="1"/>
  <c r="Z108" i="2" s="1"/>
  <c r="T357" i="2"/>
  <c r="Y357" i="2" s="1"/>
  <c r="Z357" i="2" s="1"/>
  <c r="R903" i="2"/>
  <c r="S903" i="2" s="1"/>
  <c r="T903" i="2" s="1"/>
  <c r="Y903" i="2" s="1"/>
  <c r="Z903" i="2" s="1"/>
  <c r="R895" i="2"/>
  <c r="S895" i="2" s="1"/>
  <c r="T895" i="2" s="1"/>
  <c r="Y895" i="2" s="1"/>
  <c r="Z895" i="2" s="1"/>
  <c r="R901" i="2"/>
  <c r="S901" i="2" s="1"/>
  <c r="T901" i="2" s="1"/>
  <c r="Y901" i="2" s="1"/>
  <c r="Z901" i="2" s="1"/>
  <c r="R893" i="2"/>
  <c r="S893" i="2" s="1"/>
  <c r="T893" i="2" s="1"/>
  <c r="Y893" i="2" s="1"/>
  <c r="Z893" i="2" s="1"/>
  <c r="R879" i="2"/>
  <c r="S879" i="2" s="1"/>
  <c r="T879" i="2" s="1"/>
  <c r="Y879" i="2" s="1"/>
  <c r="Z879" i="2" s="1"/>
  <c r="R877" i="2"/>
  <c r="S877" i="2" s="1"/>
  <c r="T877" i="2" s="1"/>
  <c r="Y877" i="2" s="1"/>
  <c r="Z877" i="2" s="1"/>
  <c r="R897" i="2"/>
  <c r="S897" i="2" s="1"/>
  <c r="T897" i="2" s="1"/>
  <c r="Y897" i="2" s="1"/>
  <c r="Z897" i="2" s="1"/>
  <c r="R886" i="2"/>
  <c r="S886" i="2" s="1"/>
  <c r="T886" i="2" s="1"/>
  <c r="Y886" i="2" s="1"/>
  <c r="Z886" i="2" s="1"/>
  <c r="R883" i="2"/>
  <c r="S883" i="2" s="1"/>
  <c r="T883" i="2" s="1"/>
  <c r="Y883" i="2" s="1"/>
  <c r="Z883" i="2" s="1"/>
  <c r="R881" i="2"/>
  <c r="S881" i="2" s="1"/>
  <c r="T881" i="2" s="1"/>
  <c r="Y881" i="2" s="1"/>
  <c r="Z881" i="2" s="1"/>
  <c r="R865" i="2"/>
  <c r="S865" i="2" s="1"/>
  <c r="T865" i="2" s="1"/>
  <c r="Y865" i="2" s="1"/>
  <c r="Z865" i="2" s="1"/>
  <c r="R836" i="2"/>
  <c r="S836" i="2" s="1"/>
  <c r="T836" i="2" s="1"/>
  <c r="Y836" i="2" s="1"/>
  <c r="Z836" i="2" s="1"/>
  <c r="R832" i="2"/>
  <c r="S832" i="2" s="1"/>
  <c r="T832" i="2" s="1"/>
  <c r="Y832" i="2" s="1"/>
  <c r="Z832" i="2" s="1"/>
  <c r="R824" i="2"/>
  <c r="S824" i="2" s="1"/>
  <c r="T824" i="2" s="1"/>
  <c r="Y824" i="2" s="1"/>
  <c r="Z824" i="2" s="1"/>
  <c r="R810" i="2"/>
  <c r="S810" i="2" s="1"/>
  <c r="T810" i="2" s="1"/>
  <c r="Y810" i="2" s="1"/>
  <c r="Z810" i="2" s="1"/>
  <c r="R820" i="2"/>
  <c r="S820" i="2" s="1"/>
  <c r="T820" i="2" s="1"/>
  <c r="Y820" i="2" s="1"/>
  <c r="Z820" i="2" s="1"/>
  <c r="R812" i="2"/>
  <c r="S812" i="2" s="1"/>
  <c r="T812" i="2" s="1"/>
  <c r="Y812" i="2" s="1"/>
  <c r="Z812" i="2" s="1"/>
  <c r="R875" i="2"/>
  <c r="S875" i="2" s="1"/>
  <c r="T875" i="2" s="1"/>
  <c r="Y875" i="2" s="1"/>
  <c r="Z875" i="2" s="1"/>
  <c r="R786" i="2"/>
  <c r="S786" i="2" s="1"/>
  <c r="T786" i="2" s="1"/>
  <c r="Y786" i="2" s="1"/>
  <c r="Z786" i="2" s="1"/>
  <c r="R778" i="2"/>
  <c r="S778" i="2" s="1"/>
  <c r="T778" i="2" s="1"/>
  <c r="Y778" i="2" s="1"/>
  <c r="Z778" i="2" s="1"/>
  <c r="R770" i="2"/>
  <c r="S770" i="2" s="1"/>
  <c r="T770" i="2" s="1"/>
  <c r="Y770" i="2" s="1"/>
  <c r="Z770" i="2" s="1"/>
  <c r="R762" i="2"/>
  <c r="S762" i="2" s="1"/>
  <c r="T762" i="2" s="1"/>
  <c r="Y762" i="2" s="1"/>
  <c r="Z762" i="2" s="1"/>
  <c r="R754" i="2"/>
  <c r="S754" i="2" s="1"/>
  <c r="T754" i="2" s="1"/>
  <c r="Y754" i="2" s="1"/>
  <c r="Z754" i="2" s="1"/>
  <c r="R746" i="2"/>
  <c r="S746" i="2" s="1"/>
  <c r="T746" i="2" s="1"/>
  <c r="Y746" i="2" s="1"/>
  <c r="Z746" i="2" s="1"/>
  <c r="R808" i="2"/>
  <c r="S808" i="2" s="1"/>
  <c r="T808" i="2" s="1"/>
  <c r="Y808" i="2" s="1"/>
  <c r="Z808" i="2" s="1"/>
  <c r="R708" i="2"/>
  <c r="S708" i="2" s="1"/>
  <c r="T708" i="2" s="1"/>
  <c r="Y708" i="2" s="1"/>
  <c r="Z708" i="2" s="1"/>
  <c r="R680" i="2"/>
  <c r="S680" i="2" s="1"/>
  <c r="T680" i="2" s="1"/>
  <c r="Y680" i="2" s="1"/>
  <c r="Z680" i="2" s="1"/>
  <c r="R605" i="2"/>
  <c r="S605" i="2" s="1"/>
  <c r="T605" i="2" s="1"/>
  <c r="Y605" i="2" s="1"/>
  <c r="Z605" i="2" s="1"/>
  <c r="R666" i="2"/>
  <c r="S666" i="2" s="1"/>
  <c r="T666" i="2" s="1"/>
  <c r="Y666" i="2" s="1"/>
  <c r="Z666" i="2" s="1"/>
  <c r="R327" i="2"/>
  <c r="S327" i="2" s="1"/>
  <c r="T327" i="2" s="1"/>
  <c r="Y327" i="2" s="1"/>
  <c r="Z327" i="2" s="1"/>
  <c r="R692" i="2"/>
  <c r="S692" i="2" s="1"/>
  <c r="T692" i="2" s="1"/>
  <c r="Y692" i="2" s="1"/>
  <c r="Z692" i="2" s="1"/>
  <c r="R297" i="2"/>
  <c r="S297" i="2" s="1"/>
  <c r="T297" i="2" s="1"/>
  <c r="Y297" i="2" s="1"/>
  <c r="Z297" i="2" s="1"/>
  <c r="R42" i="2"/>
  <c r="S42" i="2" s="1"/>
  <c r="T42" i="2" s="1"/>
  <c r="Y42" i="2" s="1"/>
  <c r="Z42" i="2" s="1"/>
  <c r="R459" i="2"/>
  <c r="S459" i="2" s="1"/>
  <c r="T459" i="2" s="1"/>
  <c r="Y459" i="2" s="1"/>
  <c r="Z459" i="2" s="1"/>
  <c r="R82" i="2"/>
  <c r="S82" i="2" s="1"/>
  <c r="T82" i="2" s="1"/>
  <c r="Y82" i="2" s="1"/>
  <c r="Z82" i="2" s="1"/>
  <c r="R514" i="2"/>
  <c r="S514" i="2" s="1"/>
  <c r="T514" i="2" s="1"/>
  <c r="Y514" i="2" s="1"/>
  <c r="Z514" i="2" s="1"/>
  <c r="R440" i="2"/>
  <c r="S440" i="2" s="1"/>
  <c r="T440" i="2" s="1"/>
  <c r="Y440" i="2" s="1"/>
  <c r="Z440" i="2" s="1"/>
  <c r="R309" i="2"/>
  <c r="S309" i="2" s="1"/>
  <c r="T309" i="2" s="1"/>
  <c r="Y309" i="2" s="1"/>
  <c r="Z309" i="2" s="1"/>
  <c r="R275" i="2"/>
  <c r="S275" i="2" s="1"/>
  <c r="T275" i="2" s="1"/>
  <c r="Y275" i="2" s="1"/>
  <c r="Z275" i="2" s="1"/>
  <c r="R75" i="2"/>
  <c r="S75" i="2" s="1"/>
  <c r="T75" i="2" s="1"/>
  <c r="Y75" i="2" s="1"/>
  <c r="Z75" i="2" s="1"/>
  <c r="R352" i="2"/>
  <c r="S352" i="2" s="1"/>
  <c r="T352" i="2" s="1"/>
  <c r="Y352" i="2" s="1"/>
  <c r="Z352" i="2" s="1"/>
  <c r="R94" i="2"/>
  <c r="S94" i="2" s="1"/>
  <c r="T94" i="2" s="1"/>
  <c r="Y94" i="2" s="1"/>
  <c r="Z94" i="2" s="1"/>
  <c r="R524" i="2"/>
  <c r="S524" i="2" s="1"/>
  <c r="T524" i="2" s="1"/>
  <c r="Y524" i="2" s="1"/>
  <c r="Z524" i="2" s="1"/>
  <c r="R458" i="2"/>
  <c r="S458" i="2" s="1"/>
  <c r="T458" i="2" s="1"/>
  <c r="Y458" i="2" s="1"/>
  <c r="Z458" i="2" s="1"/>
  <c r="R381" i="2"/>
  <c r="S381" i="2" s="1"/>
  <c r="T381" i="2" s="1"/>
  <c r="Y381" i="2" s="1"/>
  <c r="Z381" i="2" s="1"/>
  <c r="R720" i="2"/>
  <c r="S720" i="2" s="1"/>
  <c r="T720" i="2" s="1"/>
  <c r="Y720" i="2" s="1"/>
  <c r="Z720" i="2" s="1"/>
  <c r="R686" i="2"/>
  <c r="S686" i="2" s="1"/>
  <c r="T686" i="2" s="1"/>
  <c r="Y686" i="2" s="1"/>
  <c r="Z686" i="2" s="1"/>
  <c r="R57" i="2"/>
  <c r="S57" i="2" s="1"/>
  <c r="T57" i="2" s="1"/>
  <c r="Y57" i="2" s="1"/>
  <c r="Z57" i="2" s="1"/>
  <c r="R249" i="2"/>
  <c r="S249" i="2" s="1"/>
  <c r="T249" i="2" s="1"/>
  <c r="Y249" i="2" s="1"/>
  <c r="Z249" i="2" s="1"/>
  <c r="R221" i="2"/>
  <c r="S221" i="2" s="1"/>
  <c r="T221" i="2" s="1"/>
  <c r="Y221" i="2" s="1"/>
  <c r="Z221" i="2" s="1"/>
  <c r="R482" i="2"/>
  <c r="S482" i="2" s="1"/>
  <c r="T482" i="2" s="1"/>
  <c r="Y482" i="2" s="1"/>
  <c r="Z482" i="2" s="1"/>
  <c r="R224" i="2"/>
  <c r="S224" i="2" s="1"/>
  <c r="T224" i="2" s="1"/>
  <c r="Y224" i="2" s="1"/>
  <c r="Z224" i="2" s="1"/>
  <c r="R506" i="2"/>
  <c r="S506" i="2" s="1"/>
  <c r="T506" i="2" s="1"/>
  <c r="Y506" i="2" s="1"/>
  <c r="Z506" i="2" s="1"/>
  <c r="R355" i="2"/>
  <c r="S355" i="2" s="1"/>
  <c r="T355" i="2" s="1"/>
  <c r="Y355" i="2" s="1"/>
  <c r="Z355" i="2" s="1"/>
  <c r="R452" i="2"/>
  <c r="S452" i="2" s="1"/>
  <c r="T452" i="2" s="1"/>
  <c r="Y452" i="2" s="1"/>
  <c r="Z452" i="2" s="1"/>
  <c r="R373" i="2"/>
  <c r="S373" i="2" s="1"/>
  <c r="T373" i="2" s="1"/>
  <c r="Y373" i="2" s="1"/>
  <c r="Z373" i="2" s="1"/>
  <c r="R314" i="2"/>
  <c r="S314" i="2" s="1"/>
  <c r="T314" i="2" s="1"/>
  <c r="Y314" i="2" s="1"/>
  <c r="Z314" i="2" s="1"/>
  <c r="R302" i="2"/>
  <c r="S302" i="2" s="1"/>
  <c r="T302" i="2" s="1"/>
  <c r="Y302" i="2" s="1"/>
  <c r="Z302" i="2" s="1"/>
  <c r="R282" i="2"/>
  <c r="S282" i="2" s="1"/>
  <c r="T282" i="2" s="1"/>
  <c r="Y282" i="2" s="1"/>
  <c r="Z282" i="2" s="1"/>
  <c r="R262" i="2"/>
  <c r="S262" i="2" s="1"/>
  <c r="T262" i="2" s="1"/>
  <c r="Y262" i="2" s="1"/>
  <c r="Z262" i="2" s="1"/>
  <c r="R889" i="2"/>
  <c r="S889" i="2" s="1"/>
  <c r="T889" i="2" s="1"/>
  <c r="Y889" i="2" s="1"/>
  <c r="Z889" i="2" s="1"/>
  <c r="R856" i="2"/>
  <c r="S856" i="2" s="1"/>
  <c r="T856" i="2" s="1"/>
  <c r="Y856" i="2" s="1"/>
  <c r="Z856" i="2" s="1"/>
  <c r="R852" i="2"/>
  <c r="S852" i="2" s="1"/>
  <c r="T852" i="2" s="1"/>
  <c r="Y852" i="2" s="1"/>
  <c r="Z852" i="2" s="1"/>
  <c r="R848" i="2"/>
  <c r="S848" i="2" s="1"/>
  <c r="T848" i="2" s="1"/>
  <c r="Y848" i="2" s="1"/>
  <c r="Z848" i="2" s="1"/>
  <c r="R844" i="2"/>
  <c r="S844" i="2" s="1"/>
  <c r="T844" i="2" s="1"/>
  <c r="Y844" i="2" s="1"/>
  <c r="Z844" i="2" s="1"/>
  <c r="R842" i="2"/>
  <c r="S842" i="2" s="1"/>
  <c r="T842" i="2" s="1"/>
  <c r="Y842" i="2" s="1"/>
  <c r="Z842" i="2" s="1"/>
  <c r="R834" i="2"/>
  <c r="S834" i="2" s="1"/>
  <c r="T834" i="2" s="1"/>
  <c r="Y834" i="2" s="1"/>
  <c r="Z834" i="2" s="1"/>
  <c r="R826" i="2"/>
  <c r="S826" i="2" s="1"/>
  <c r="T826" i="2" s="1"/>
  <c r="Y826" i="2" s="1"/>
  <c r="Z826" i="2" s="1"/>
  <c r="R788" i="2"/>
  <c r="S788" i="2" s="1"/>
  <c r="T788" i="2" s="1"/>
  <c r="Y788" i="2" s="1"/>
  <c r="Z788" i="2" s="1"/>
  <c r="R784" i="2"/>
  <c r="S784" i="2" s="1"/>
  <c r="T784" i="2" s="1"/>
  <c r="Y784" i="2" s="1"/>
  <c r="Z784" i="2" s="1"/>
  <c r="R776" i="2"/>
  <c r="S776" i="2" s="1"/>
  <c r="T776" i="2" s="1"/>
  <c r="Y776" i="2" s="1"/>
  <c r="Z776" i="2" s="1"/>
  <c r="R768" i="2"/>
  <c r="S768" i="2" s="1"/>
  <c r="T768" i="2" s="1"/>
  <c r="Y768" i="2" s="1"/>
  <c r="Z768" i="2" s="1"/>
  <c r="R760" i="2"/>
  <c r="S760" i="2" s="1"/>
  <c r="T760" i="2" s="1"/>
  <c r="Y760" i="2" s="1"/>
  <c r="Z760" i="2" s="1"/>
  <c r="R752" i="2"/>
  <c r="S752" i="2" s="1"/>
  <c r="T752" i="2" s="1"/>
  <c r="Y752" i="2" s="1"/>
  <c r="Z752" i="2" s="1"/>
  <c r="R744" i="2"/>
  <c r="S744" i="2" s="1"/>
  <c r="T744" i="2" s="1"/>
  <c r="Y744" i="2" s="1"/>
  <c r="Z744" i="2" s="1"/>
  <c r="R730" i="2"/>
  <c r="S730" i="2" s="1"/>
  <c r="T730" i="2" s="1"/>
  <c r="Y730" i="2" s="1"/>
  <c r="Z730" i="2" s="1"/>
  <c r="R714" i="2"/>
  <c r="S714" i="2" s="1"/>
  <c r="T714" i="2" s="1"/>
  <c r="Y714" i="2" s="1"/>
  <c r="Z714" i="2" s="1"/>
  <c r="R742" i="2"/>
  <c r="S742" i="2" s="1"/>
  <c r="T742" i="2" s="1"/>
  <c r="Y742" i="2" s="1"/>
  <c r="Z742" i="2" s="1"/>
  <c r="R734" i="2"/>
  <c r="S734" i="2" s="1"/>
  <c r="T734" i="2" s="1"/>
  <c r="Y734" i="2" s="1"/>
  <c r="Z734" i="2" s="1"/>
  <c r="R726" i="2"/>
  <c r="S726" i="2" s="1"/>
  <c r="T726" i="2" s="1"/>
  <c r="Y726" i="2" s="1"/>
  <c r="Z726" i="2" s="1"/>
  <c r="R718" i="2"/>
  <c r="S718" i="2" s="1"/>
  <c r="T718" i="2" s="1"/>
  <c r="Y718" i="2" s="1"/>
  <c r="Z718" i="2" s="1"/>
  <c r="R710" i="2"/>
  <c r="S710" i="2" s="1"/>
  <c r="T710" i="2" s="1"/>
  <c r="Y710" i="2" s="1"/>
  <c r="Z710" i="2" s="1"/>
  <c r="R702" i="2"/>
  <c r="S702" i="2" s="1"/>
  <c r="T702" i="2" s="1"/>
  <c r="Y702" i="2" s="1"/>
  <c r="Z702" i="2" s="1"/>
  <c r="R656" i="2"/>
  <c r="S656" i="2" s="1"/>
  <c r="T656" i="2" s="1"/>
  <c r="Y656" i="2" s="1"/>
  <c r="Z656" i="2" s="1"/>
  <c r="R270" i="2"/>
  <c r="S270" i="2" s="1"/>
  <c r="T270" i="2" s="1"/>
  <c r="Y270" i="2" s="1"/>
  <c r="Z270" i="2" s="1"/>
  <c r="R674" i="2"/>
  <c r="S674" i="2" s="1"/>
  <c r="T674" i="2" s="1"/>
  <c r="Y674" i="2" s="1"/>
  <c r="Z674" i="2" s="1"/>
  <c r="R507" i="2"/>
  <c r="S507" i="2" s="1"/>
  <c r="T507" i="2" s="1"/>
  <c r="Y507" i="2" s="1"/>
  <c r="Z507" i="2" s="1"/>
  <c r="R324" i="2"/>
  <c r="S324" i="2" s="1"/>
  <c r="T324" i="2" s="1"/>
  <c r="Y324" i="2" s="1"/>
  <c r="Z324" i="2" s="1"/>
  <c r="R688" i="2"/>
  <c r="S688" i="2" s="1"/>
  <c r="T688" i="2" s="1"/>
  <c r="Y688" i="2" s="1"/>
  <c r="Z688" i="2" s="1"/>
  <c r="R662" i="2"/>
  <c r="S662" i="2" s="1"/>
  <c r="T662" i="2" s="1"/>
  <c r="Y662" i="2" s="1"/>
  <c r="Z662" i="2" s="1"/>
  <c r="R698" i="2"/>
  <c r="S698" i="2" s="1"/>
  <c r="T698" i="2" s="1"/>
  <c r="Y698" i="2" s="1"/>
  <c r="Z698" i="2" s="1"/>
  <c r="R682" i="2"/>
  <c r="S682" i="2" s="1"/>
  <c r="T682" i="2" s="1"/>
  <c r="Y682" i="2" s="1"/>
  <c r="Z682" i="2" s="1"/>
  <c r="R678" i="2"/>
  <c r="S678" i="2" s="1"/>
  <c r="T678" i="2" s="1"/>
  <c r="Y678" i="2" s="1"/>
  <c r="Z678" i="2" s="1"/>
  <c r="R263" i="2"/>
  <c r="S263" i="2" s="1"/>
  <c r="T263" i="2" s="1"/>
  <c r="Y263" i="2" s="1"/>
  <c r="Z263" i="2" s="1"/>
  <c r="R462" i="2"/>
  <c r="S462" i="2" s="1"/>
  <c r="T462" i="2" s="1"/>
  <c r="Y462" i="2" s="1"/>
  <c r="Z462" i="2" s="1"/>
  <c r="R359" i="2"/>
  <c r="S359" i="2" s="1"/>
  <c r="T359" i="2" s="1"/>
  <c r="Y359" i="2" s="1"/>
  <c r="Z359" i="2" s="1"/>
  <c r="R274" i="2"/>
  <c r="S274" i="2" s="1"/>
  <c r="T274" i="2" s="1"/>
  <c r="Y274" i="2" s="1"/>
  <c r="Z274" i="2" s="1"/>
  <c r="R228" i="2"/>
  <c r="S228" i="2" s="1"/>
  <c r="T228" i="2" s="1"/>
  <c r="Y228" i="2" s="1"/>
  <c r="Z228" i="2" s="1"/>
  <c r="R210" i="2"/>
  <c r="S210" i="2" s="1"/>
  <c r="T210" i="2" s="1"/>
  <c r="Y210" i="2" s="1"/>
  <c r="Z210" i="2" s="1"/>
  <c r="R201" i="2"/>
  <c r="S201" i="2" s="1"/>
  <c r="T201" i="2" s="1"/>
  <c r="Y201" i="2" s="1"/>
  <c r="Z201" i="2" s="1"/>
  <c r="R644" i="2"/>
  <c r="S644" i="2" s="1"/>
  <c r="T644" i="2" s="1"/>
  <c r="Y644" i="2" s="1"/>
  <c r="Z644" i="2" s="1"/>
  <c r="R472" i="2"/>
  <c r="S472" i="2" s="1"/>
  <c r="T472" i="2" s="1"/>
  <c r="Y472" i="2" s="1"/>
  <c r="Z472" i="2" s="1"/>
  <c r="R283" i="2"/>
  <c r="S283" i="2" s="1"/>
  <c r="T283" i="2" s="1"/>
  <c r="Y283" i="2" s="1"/>
  <c r="Z283" i="2" s="1"/>
  <c r="R442" i="2"/>
  <c r="S442" i="2" s="1"/>
  <c r="T442" i="2" s="1"/>
  <c r="Y442" i="2" s="1"/>
  <c r="Z442" i="2" s="1"/>
  <c r="R332" i="2"/>
  <c r="S332" i="2" s="1"/>
  <c r="T332" i="2" s="1"/>
  <c r="Y332" i="2" s="1"/>
  <c r="Z332" i="2" s="1"/>
  <c r="R308" i="2"/>
  <c r="S308" i="2" s="1"/>
  <c r="T308" i="2" s="1"/>
  <c r="Y308" i="2" s="1"/>
  <c r="Z308" i="2" s="1"/>
  <c r="R299" i="2"/>
  <c r="S299" i="2" s="1"/>
  <c r="T299" i="2" s="1"/>
  <c r="Y299" i="2" s="1"/>
  <c r="Z299" i="2" s="1"/>
  <c r="R271" i="2"/>
  <c r="S271" i="2" s="1"/>
  <c r="T271" i="2" s="1"/>
  <c r="Y271" i="2" s="1"/>
  <c r="Z271" i="2" s="1"/>
  <c r="R126" i="2"/>
  <c r="S126" i="2" s="1"/>
  <c r="T126" i="2" s="1"/>
  <c r="Y126" i="2" s="1"/>
  <c r="Z126" i="2" s="1"/>
  <c r="R418" i="2"/>
  <c r="S418" i="2" s="1"/>
  <c r="T418" i="2" s="1"/>
  <c r="Y418" i="2" s="1"/>
  <c r="Z418" i="2" s="1"/>
  <c r="R420" i="2"/>
  <c r="S420" i="2" s="1"/>
  <c r="T420" i="2" s="1"/>
  <c r="Y420" i="2" s="1"/>
  <c r="Z420" i="2" s="1"/>
  <c r="R544" i="2"/>
  <c r="S544" i="2" s="1"/>
  <c r="T544" i="2" s="1"/>
  <c r="Y544" i="2" s="1"/>
  <c r="Z544" i="2" s="1"/>
  <c r="T646" i="2"/>
  <c r="Y646" i="2" s="1"/>
  <c r="Z646" i="2" s="1"/>
  <c r="R907" i="2"/>
  <c r="S907" i="2" s="1"/>
  <c r="T907" i="2" s="1"/>
  <c r="Y907" i="2" s="1"/>
  <c r="Z907" i="2" s="1"/>
  <c r="R899" i="2"/>
  <c r="S899" i="2" s="1"/>
  <c r="T899" i="2" s="1"/>
  <c r="Y899" i="2" s="1"/>
  <c r="Z899" i="2" s="1"/>
  <c r="R891" i="2"/>
  <c r="S891" i="2" s="1"/>
  <c r="T891" i="2" s="1"/>
  <c r="Y891" i="2" s="1"/>
  <c r="Z891" i="2" s="1"/>
  <c r="R890" i="2"/>
  <c r="S890" i="2" s="1"/>
  <c r="T890" i="2" s="1"/>
  <c r="Y890" i="2" s="1"/>
  <c r="Z890" i="2" s="1"/>
  <c r="R905" i="2"/>
  <c r="S905" i="2" s="1"/>
  <c r="T905" i="2" s="1"/>
  <c r="Y905" i="2" s="1"/>
  <c r="Z905" i="2" s="1"/>
  <c r="R867" i="2"/>
  <c r="S867" i="2" s="1"/>
  <c r="T867" i="2" s="1"/>
  <c r="Y867" i="2" s="1"/>
  <c r="Z867" i="2" s="1"/>
  <c r="R873" i="2"/>
  <c r="S873" i="2" s="1"/>
  <c r="T873" i="2" s="1"/>
  <c r="Y873" i="2" s="1"/>
  <c r="Z873" i="2" s="1"/>
  <c r="R828" i="2"/>
  <c r="S828" i="2" s="1"/>
  <c r="T828" i="2" s="1"/>
  <c r="Y828" i="2" s="1"/>
  <c r="Z828" i="2" s="1"/>
  <c r="R818" i="2"/>
  <c r="S818" i="2" s="1"/>
  <c r="T818" i="2" s="1"/>
  <c r="Y818" i="2" s="1"/>
  <c r="Z818" i="2" s="1"/>
  <c r="R794" i="2"/>
  <c r="S794" i="2" s="1"/>
  <c r="T794" i="2" s="1"/>
  <c r="Y794" i="2" s="1"/>
  <c r="Z794" i="2" s="1"/>
  <c r="R796" i="2"/>
  <c r="S796" i="2" s="1"/>
  <c r="T796" i="2" s="1"/>
  <c r="Y796" i="2" s="1"/>
  <c r="Z796" i="2" s="1"/>
  <c r="R814" i="2"/>
  <c r="S814" i="2" s="1"/>
  <c r="T814" i="2" s="1"/>
  <c r="Y814" i="2" s="1"/>
  <c r="Z814" i="2" s="1"/>
  <c r="R806" i="2"/>
  <c r="S806" i="2" s="1"/>
  <c r="T806" i="2" s="1"/>
  <c r="Y806" i="2" s="1"/>
  <c r="Z806" i="2" s="1"/>
  <c r="R798" i="2"/>
  <c r="S798" i="2" s="1"/>
  <c r="T798" i="2" s="1"/>
  <c r="Y798" i="2" s="1"/>
  <c r="Z798" i="2" s="1"/>
  <c r="R790" i="2"/>
  <c r="S790" i="2" s="1"/>
  <c r="T790" i="2" s="1"/>
  <c r="Y790" i="2" s="1"/>
  <c r="Z790" i="2" s="1"/>
  <c r="R782" i="2"/>
  <c r="S782" i="2" s="1"/>
  <c r="T782" i="2" s="1"/>
  <c r="Y782" i="2" s="1"/>
  <c r="Z782" i="2" s="1"/>
  <c r="R774" i="2"/>
  <c r="S774" i="2" s="1"/>
  <c r="T774" i="2" s="1"/>
  <c r="Y774" i="2" s="1"/>
  <c r="Z774" i="2" s="1"/>
  <c r="R766" i="2"/>
  <c r="S766" i="2" s="1"/>
  <c r="T766" i="2" s="1"/>
  <c r="Y766" i="2" s="1"/>
  <c r="Z766" i="2" s="1"/>
  <c r="R758" i="2"/>
  <c r="S758" i="2" s="1"/>
  <c r="T758" i="2" s="1"/>
  <c r="Y758" i="2" s="1"/>
  <c r="Z758" i="2" s="1"/>
  <c r="R750" i="2"/>
  <c r="S750" i="2" s="1"/>
  <c r="T750" i="2" s="1"/>
  <c r="Y750" i="2" s="1"/>
  <c r="Z750" i="2" s="1"/>
  <c r="R740" i="2"/>
  <c r="S740" i="2" s="1"/>
  <c r="T740" i="2" s="1"/>
  <c r="Y740" i="2" s="1"/>
  <c r="Z740" i="2" s="1"/>
  <c r="R732" i="2"/>
  <c r="S732" i="2" s="1"/>
  <c r="T732" i="2" s="1"/>
  <c r="Y732" i="2" s="1"/>
  <c r="Z732" i="2" s="1"/>
  <c r="R724" i="2"/>
  <c r="S724" i="2" s="1"/>
  <c r="T724" i="2" s="1"/>
  <c r="Y724" i="2" s="1"/>
  <c r="Z724" i="2" s="1"/>
  <c r="R716" i="2"/>
  <c r="S716" i="2" s="1"/>
  <c r="T716" i="2" s="1"/>
  <c r="Y716" i="2" s="1"/>
  <c r="Z716" i="2" s="1"/>
  <c r="R706" i="2"/>
  <c r="S706" i="2" s="1"/>
  <c r="T706" i="2" s="1"/>
  <c r="Y706" i="2" s="1"/>
  <c r="Z706" i="2" s="1"/>
  <c r="R664" i="2"/>
  <c r="S664" i="2" s="1"/>
  <c r="T664" i="2" s="1"/>
  <c r="Y664" i="2" s="1"/>
  <c r="Z664" i="2" s="1"/>
  <c r="R538" i="2"/>
  <c r="S538" i="2" s="1"/>
  <c r="T538" i="2" s="1"/>
  <c r="Y538" i="2" s="1"/>
  <c r="Z538" i="2" s="1"/>
  <c r="R800" i="2"/>
  <c r="S800" i="2" s="1"/>
  <c r="T800" i="2" s="1"/>
  <c r="Y800" i="2" s="1"/>
  <c r="Z800" i="2" s="1"/>
  <c r="R36" i="2"/>
  <c r="S36" i="2" s="1"/>
  <c r="T36" i="2" s="1"/>
  <c r="Y36" i="2" s="1"/>
  <c r="Z36" i="2" s="1"/>
  <c r="R728" i="2"/>
  <c r="S728" i="2" s="1"/>
  <c r="T728" i="2" s="1"/>
  <c r="Y728" i="2" s="1"/>
  <c r="Z728" i="2" s="1"/>
  <c r="R700" i="2"/>
  <c r="S700" i="2" s="1"/>
  <c r="T700" i="2" s="1"/>
  <c r="Y700" i="2" s="1"/>
  <c r="Z700" i="2" s="1"/>
  <c r="R684" i="2"/>
  <c r="S684" i="2" s="1"/>
  <c r="T684" i="2" s="1"/>
  <c r="Y684" i="2" s="1"/>
  <c r="Z684" i="2" s="1"/>
  <c r="R399" i="2"/>
  <c r="S399" i="2" s="1"/>
  <c r="T399" i="2" s="1"/>
  <c r="Y399" i="2" s="1"/>
  <c r="Z399" i="2" s="1"/>
  <c r="R99" i="2"/>
  <c r="S99" i="2" s="1"/>
  <c r="T99" i="2" s="1"/>
  <c r="Y99" i="2" s="1"/>
  <c r="Z99" i="2" s="1"/>
  <c r="R512" i="2"/>
  <c r="S512" i="2" s="1"/>
  <c r="T512" i="2" s="1"/>
  <c r="Y512" i="2" s="1"/>
  <c r="Z512" i="2" s="1"/>
  <c r="R173" i="2"/>
  <c r="S173" i="2" s="1"/>
  <c r="T173" i="2" s="1"/>
  <c r="Y173" i="2" s="1"/>
  <c r="Z173" i="2" s="1"/>
  <c r="R570" i="2"/>
  <c r="S570" i="2" s="1"/>
  <c r="T570" i="2" s="1"/>
  <c r="Y570" i="2" s="1"/>
  <c r="Z570" i="2" s="1"/>
  <c r="R478" i="2"/>
  <c r="S478" i="2" s="1"/>
  <c r="T478" i="2" s="1"/>
  <c r="Y478" i="2" s="1"/>
  <c r="Z478" i="2" s="1"/>
  <c r="R427" i="2"/>
  <c r="S427" i="2" s="1"/>
  <c r="T427" i="2" s="1"/>
  <c r="Y427" i="2" s="1"/>
  <c r="Z427" i="2" s="1"/>
  <c r="R142" i="2"/>
  <c r="S142" i="2" s="1"/>
  <c r="T142" i="2" s="1"/>
  <c r="Y142" i="2" s="1"/>
  <c r="Z142" i="2" s="1"/>
  <c r="R545" i="2"/>
  <c r="S545" i="2" s="1"/>
  <c r="T545" i="2" s="1"/>
  <c r="Y545" i="2" s="1"/>
  <c r="Z545" i="2" s="1"/>
  <c r="R115" i="2"/>
  <c r="S115" i="2" s="1"/>
  <c r="T115" i="2" s="1"/>
  <c r="Y115" i="2" s="1"/>
  <c r="Z115" i="2" s="1"/>
  <c r="R582" i="2"/>
  <c r="S582" i="2" s="1"/>
  <c r="T582" i="2" s="1"/>
  <c r="Y582" i="2" s="1"/>
  <c r="Z582" i="2" s="1"/>
  <c r="R485" i="2"/>
  <c r="S485" i="2" s="1"/>
  <c r="T485" i="2" s="1"/>
  <c r="Y485" i="2" s="1"/>
  <c r="Z485" i="2" s="1"/>
  <c r="R456" i="2"/>
  <c r="S456" i="2" s="1"/>
  <c r="T456" i="2" s="1"/>
  <c r="Y456" i="2" s="1"/>
  <c r="Z456" i="2" s="1"/>
  <c r="R694" i="2"/>
  <c r="S694" i="2" s="1"/>
  <c r="T694" i="2" s="1"/>
  <c r="Y694" i="2" s="1"/>
  <c r="Z694" i="2" s="1"/>
  <c r="R670" i="2"/>
  <c r="S670" i="2" s="1"/>
  <c r="T670" i="2" s="1"/>
  <c r="Y670" i="2" s="1"/>
  <c r="Z670" i="2" s="1"/>
  <c r="R287" i="2"/>
  <c r="S287" i="2" s="1"/>
  <c r="T287" i="2" s="1"/>
  <c r="Y287" i="2" s="1"/>
  <c r="Z287" i="2" s="1"/>
  <c r="R353" i="2"/>
  <c r="S353" i="2" s="1"/>
  <c r="T353" i="2" s="1"/>
  <c r="Y353" i="2" s="1"/>
  <c r="Z353" i="2" s="1"/>
  <c r="R527" i="2"/>
  <c r="S527" i="2" s="1"/>
  <c r="T527" i="2" s="1"/>
  <c r="Y527" i="2" s="1"/>
  <c r="Z527" i="2" s="1"/>
  <c r="R285" i="2"/>
  <c r="S285" i="2" s="1"/>
  <c r="T285" i="2" s="1"/>
  <c r="Y285" i="2" s="1"/>
  <c r="Z285" i="2" s="1"/>
  <c r="R437" i="2"/>
  <c r="S437" i="2" s="1"/>
  <c r="T437" i="2" s="1"/>
  <c r="Y437" i="2" s="1"/>
  <c r="Z437" i="2" s="1"/>
  <c r="R196" i="2"/>
  <c r="S196" i="2" s="1"/>
  <c r="T196" i="2" s="1"/>
  <c r="Y196" i="2" s="1"/>
  <c r="Z196" i="2" s="1"/>
  <c r="R439" i="2"/>
  <c r="S439" i="2" s="1"/>
  <c r="T439" i="2" s="1"/>
  <c r="Y439" i="2" s="1"/>
  <c r="Z439" i="2" s="1"/>
  <c r="R322" i="2"/>
  <c r="S322" i="2" s="1"/>
  <c r="T322" i="2" s="1"/>
  <c r="Y322" i="2" s="1"/>
  <c r="Z322" i="2" s="1"/>
  <c r="R305" i="2"/>
  <c r="S305" i="2" s="1"/>
  <c r="T305" i="2" s="1"/>
  <c r="Y305" i="2" s="1"/>
  <c r="Z305" i="2" s="1"/>
  <c r="R294" i="2"/>
  <c r="S294" i="2" s="1"/>
  <c r="T294" i="2" s="1"/>
  <c r="Y294" i="2" s="1"/>
  <c r="Z294" i="2" s="1"/>
  <c r="R267" i="2"/>
  <c r="S267" i="2" s="1"/>
  <c r="T267" i="2" s="1"/>
  <c r="Y267" i="2" s="1"/>
  <c r="Z267" i="2" s="1"/>
  <c r="R216" i="2"/>
  <c r="S216" i="2" s="1"/>
  <c r="T216" i="2" s="1"/>
  <c r="Y216" i="2" s="1"/>
  <c r="Z216" i="2" s="1"/>
  <c r="R258" i="2"/>
  <c r="S258" i="2" s="1"/>
  <c r="T258" i="2" s="1"/>
  <c r="Y258" i="2" s="1"/>
  <c r="Z258" i="2" s="1"/>
  <c r="T63" i="2"/>
  <c r="Y63" i="2" s="1"/>
  <c r="Z63" i="2" s="1"/>
  <c r="R885" i="2"/>
  <c r="S885" i="2" s="1"/>
  <c r="T885" i="2" s="1"/>
  <c r="Y885" i="2" s="1"/>
  <c r="Z885" i="2" s="1"/>
  <c r="R884" i="2"/>
  <c r="S884" i="2" s="1"/>
  <c r="T884" i="2" s="1"/>
  <c r="Y884" i="2" s="1"/>
  <c r="Z884" i="2" s="1"/>
  <c r="R869" i="2"/>
  <c r="S869" i="2" s="1"/>
  <c r="T869" i="2" s="1"/>
  <c r="Y869" i="2" s="1"/>
  <c r="Z869" i="2" s="1"/>
  <c r="R871" i="2"/>
  <c r="S871" i="2" s="1"/>
  <c r="T871" i="2" s="1"/>
  <c r="Y871" i="2" s="1"/>
  <c r="Z871" i="2" s="1"/>
  <c r="R859" i="2"/>
  <c r="S859" i="2" s="1"/>
  <c r="T859" i="2" s="1"/>
  <c r="Y859" i="2" s="1"/>
  <c r="Z859" i="2" s="1"/>
  <c r="R854" i="2"/>
  <c r="S854" i="2" s="1"/>
  <c r="T854" i="2" s="1"/>
  <c r="Y854" i="2" s="1"/>
  <c r="Z854" i="2" s="1"/>
  <c r="R850" i="2"/>
  <c r="S850" i="2" s="1"/>
  <c r="T850" i="2" s="1"/>
  <c r="Y850" i="2" s="1"/>
  <c r="Z850" i="2" s="1"/>
  <c r="R846" i="2"/>
  <c r="S846" i="2" s="1"/>
  <c r="T846" i="2" s="1"/>
  <c r="Y846" i="2" s="1"/>
  <c r="Z846" i="2" s="1"/>
  <c r="R863" i="2"/>
  <c r="S863" i="2" s="1"/>
  <c r="T863" i="2" s="1"/>
  <c r="Y863" i="2" s="1"/>
  <c r="Z863" i="2" s="1"/>
  <c r="R838" i="2"/>
  <c r="S838" i="2" s="1"/>
  <c r="T838" i="2" s="1"/>
  <c r="Y838" i="2" s="1"/>
  <c r="Z838" i="2" s="1"/>
  <c r="R830" i="2"/>
  <c r="S830" i="2" s="1"/>
  <c r="T830" i="2" s="1"/>
  <c r="Y830" i="2" s="1"/>
  <c r="Z830" i="2" s="1"/>
  <c r="R822" i="2"/>
  <c r="S822" i="2" s="1"/>
  <c r="T822" i="2" s="1"/>
  <c r="Y822" i="2" s="1"/>
  <c r="Z822" i="2" s="1"/>
  <c r="R802" i="2"/>
  <c r="S802" i="2" s="1"/>
  <c r="T802" i="2" s="1"/>
  <c r="Y802" i="2" s="1"/>
  <c r="Z802" i="2" s="1"/>
  <c r="R804" i="2"/>
  <c r="S804" i="2" s="1"/>
  <c r="T804" i="2" s="1"/>
  <c r="Y804" i="2" s="1"/>
  <c r="Z804" i="2" s="1"/>
  <c r="R861" i="2"/>
  <c r="S861" i="2" s="1"/>
  <c r="T861" i="2" s="1"/>
  <c r="Y861" i="2" s="1"/>
  <c r="Z861" i="2" s="1"/>
  <c r="R780" i="2"/>
  <c r="S780" i="2" s="1"/>
  <c r="T780" i="2" s="1"/>
  <c r="Y780" i="2" s="1"/>
  <c r="Z780" i="2" s="1"/>
  <c r="R772" i="2"/>
  <c r="S772" i="2" s="1"/>
  <c r="T772" i="2" s="1"/>
  <c r="Y772" i="2" s="1"/>
  <c r="Z772" i="2" s="1"/>
  <c r="R764" i="2"/>
  <c r="S764" i="2" s="1"/>
  <c r="T764" i="2" s="1"/>
  <c r="Y764" i="2" s="1"/>
  <c r="Z764" i="2" s="1"/>
  <c r="R756" i="2"/>
  <c r="S756" i="2" s="1"/>
  <c r="T756" i="2" s="1"/>
  <c r="Y756" i="2" s="1"/>
  <c r="Z756" i="2" s="1"/>
  <c r="R748" i="2"/>
  <c r="S748" i="2" s="1"/>
  <c r="T748" i="2" s="1"/>
  <c r="Y748" i="2" s="1"/>
  <c r="Z748" i="2" s="1"/>
  <c r="R738" i="2"/>
  <c r="S738" i="2" s="1"/>
  <c r="T738" i="2" s="1"/>
  <c r="Y738" i="2" s="1"/>
  <c r="Z738" i="2" s="1"/>
  <c r="R722" i="2"/>
  <c r="S722" i="2" s="1"/>
  <c r="T722" i="2" s="1"/>
  <c r="Y722" i="2" s="1"/>
  <c r="Z722" i="2" s="1"/>
  <c r="R792" i="2"/>
  <c r="S792" i="2" s="1"/>
  <c r="T792" i="2" s="1"/>
  <c r="Y792" i="2" s="1"/>
  <c r="Z792" i="2" s="1"/>
  <c r="R712" i="2"/>
  <c r="S712" i="2" s="1"/>
  <c r="T712" i="2" s="1"/>
  <c r="Y712" i="2" s="1"/>
  <c r="Z712" i="2" s="1"/>
  <c r="R672" i="2"/>
  <c r="S672" i="2" s="1"/>
  <c r="T672" i="2" s="1"/>
  <c r="Y672" i="2" s="1"/>
  <c r="Z672" i="2" s="1"/>
  <c r="R539" i="2"/>
  <c r="S539" i="2" s="1"/>
  <c r="T539" i="2" s="1"/>
  <c r="Y539" i="2" s="1"/>
  <c r="Z539" i="2" s="1"/>
  <c r="R384" i="2"/>
  <c r="S384" i="2" s="1"/>
  <c r="T384" i="2" s="1"/>
  <c r="Y384" i="2" s="1"/>
  <c r="Z384" i="2" s="1"/>
  <c r="R736" i="2"/>
  <c r="S736" i="2" s="1"/>
  <c r="T736" i="2" s="1"/>
  <c r="Y736" i="2" s="1"/>
  <c r="Z736" i="2" s="1"/>
  <c r="R658" i="2"/>
  <c r="S658" i="2" s="1"/>
  <c r="T658" i="2" s="1"/>
  <c r="Y658" i="2" s="1"/>
  <c r="Z658" i="2" s="1"/>
  <c r="R403" i="2"/>
  <c r="S403" i="2" s="1"/>
  <c r="T403" i="2" s="1"/>
  <c r="Y403" i="2" s="1"/>
  <c r="Z403" i="2" s="1"/>
  <c r="R816" i="2"/>
  <c r="S816" i="2" s="1"/>
  <c r="T816" i="2" s="1"/>
  <c r="Y816" i="2" s="1"/>
  <c r="Z816" i="2" s="1"/>
  <c r="R704" i="2"/>
  <c r="S704" i="2" s="1"/>
  <c r="T704" i="2" s="1"/>
  <c r="Y704" i="2" s="1"/>
  <c r="Z704" i="2" s="1"/>
  <c r="R676" i="2"/>
  <c r="S676" i="2" s="1"/>
  <c r="T676" i="2" s="1"/>
  <c r="Y676" i="2" s="1"/>
  <c r="Z676" i="2" s="1"/>
  <c r="R668" i="2"/>
  <c r="S668" i="2" s="1"/>
  <c r="T668" i="2" s="1"/>
  <c r="Y668" i="2" s="1"/>
  <c r="Z668" i="2" s="1"/>
  <c r="R660" i="2"/>
  <c r="S660" i="2" s="1"/>
  <c r="T660" i="2" s="1"/>
  <c r="Y660" i="2" s="1"/>
  <c r="Z660" i="2" s="1"/>
  <c r="R568" i="2"/>
  <c r="S568" i="2" s="1"/>
  <c r="T568" i="2" s="1"/>
  <c r="Y568" i="2" s="1"/>
  <c r="Z568" i="2" s="1"/>
  <c r="R229" i="2"/>
  <c r="S229" i="2" s="1"/>
  <c r="T229" i="2" s="1"/>
  <c r="Y229" i="2" s="1"/>
  <c r="Z229" i="2" s="1"/>
  <c r="R244" i="2"/>
  <c r="S244" i="2" s="1"/>
  <c r="T244" i="2" s="1"/>
  <c r="Y244" i="2" s="1"/>
  <c r="Z244" i="2" s="1"/>
  <c r="R197" i="2"/>
  <c r="S197" i="2" s="1"/>
  <c r="T197" i="2" s="1"/>
  <c r="Y197" i="2" s="1"/>
  <c r="Z197" i="2" s="1"/>
  <c r="R83" i="2"/>
  <c r="S83" i="2" s="1"/>
  <c r="T83" i="2" s="1"/>
  <c r="Y83" i="2" s="1"/>
  <c r="Z83" i="2" s="1"/>
  <c r="R696" i="2"/>
  <c r="S696" i="2" s="1"/>
  <c r="T696" i="2" s="1"/>
  <c r="Y696" i="2" s="1"/>
  <c r="Z696" i="2" s="1"/>
  <c r="R320" i="2"/>
  <c r="S320" i="2" s="1"/>
  <c r="T320" i="2" s="1"/>
  <c r="Y320" i="2" s="1"/>
  <c r="Z320" i="2" s="1"/>
  <c r="R690" i="2"/>
  <c r="S690" i="2" s="1"/>
  <c r="T690" i="2" s="1"/>
  <c r="Y690" i="2" s="1"/>
  <c r="Z690" i="2" s="1"/>
  <c r="R502" i="2"/>
  <c r="S502" i="2" s="1"/>
  <c r="T502" i="2" s="1"/>
  <c r="Y502" i="2" s="1"/>
  <c r="Z502" i="2" s="1"/>
  <c r="R578" i="2"/>
  <c r="S578" i="2" s="1"/>
  <c r="T578" i="2" s="1"/>
  <c r="Y578" i="2" s="1"/>
  <c r="Z578" i="2" s="1"/>
  <c r="R552" i="2"/>
  <c r="S552" i="2" s="1"/>
  <c r="T552" i="2" s="1"/>
  <c r="Y552" i="2" s="1"/>
  <c r="Z552" i="2" s="1"/>
  <c r="R370" i="2"/>
  <c r="S370" i="2" s="1"/>
  <c r="T370" i="2" s="1"/>
  <c r="Y370" i="2" s="1"/>
  <c r="Z370" i="2" s="1"/>
  <c r="R432" i="2"/>
  <c r="S432" i="2" s="1"/>
  <c r="T432" i="2" s="1"/>
  <c r="Y432" i="2" s="1"/>
  <c r="Z432" i="2" s="1"/>
  <c r="R288" i="2"/>
  <c r="S288" i="2" s="1"/>
  <c r="T288" i="2" s="1"/>
  <c r="Y288" i="2" s="1"/>
  <c r="Z288" i="2" s="1"/>
  <c r="R81" i="2"/>
  <c r="S81" i="2" s="1"/>
  <c r="T81" i="2" s="1"/>
  <c r="Y81" i="2" s="1"/>
  <c r="Z81" i="2" s="1"/>
  <c r="R93" i="2"/>
  <c r="S93" i="2" s="1"/>
  <c r="T93" i="2" s="1"/>
  <c r="Y93" i="2" s="1"/>
  <c r="Z93" i="2" s="1"/>
  <c r="R474" i="2"/>
  <c r="S474" i="2" s="1"/>
  <c r="T474" i="2" s="1"/>
  <c r="Y474" i="2" s="1"/>
  <c r="Z474" i="2" s="1"/>
  <c r="R565" i="2"/>
  <c r="S565" i="2" s="1"/>
  <c r="T565" i="2" s="1"/>
  <c r="Y565" i="2" s="1"/>
  <c r="Z565" i="2" s="1"/>
  <c r="R46" i="2"/>
  <c r="S46" i="2" s="1"/>
  <c r="T46" i="2" s="1"/>
  <c r="Y46" i="2" s="1"/>
  <c r="Z46" i="2" s="1"/>
  <c r="R410" i="2"/>
  <c r="S410" i="2" s="1"/>
  <c r="T410" i="2" s="1"/>
  <c r="Y410" i="2" s="1"/>
  <c r="Z410" i="2" s="1"/>
  <c r="R319" i="2"/>
  <c r="S319" i="2" s="1"/>
  <c r="T319" i="2" s="1"/>
  <c r="Y319" i="2" s="1"/>
  <c r="Z319" i="2" s="1"/>
  <c r="R304" i="2"/>
  <c r="S304" i="2" s="1"/>
  <c r="T304" i="2" s="1"/>
  <c r="Y304" i="2" s="1"/>
  <c r="Z304" i="2" s="1"/>
  <c r="R292" i="2"/>
  <c r="S292" i="2" s="1"/>
  <c r="T292" i="2" s="1"/>
  <c r="Y292" i="2" s="1"/>
  <c r="Z292" i="2" s="1"/>
  <c r="R265" i="2"/>
  <c r="S265" i="2" s="1"/>
  <c r="T265" i="2" s="1"/>
  <c r="Y265" i="2" s="1"/>
  <c r="Z265" i="2" s="1"/>
  <c r="R430" i="2"/>
  <c r="S430" i="2" s="1"/>
  <c r="T430" i="2" s="1"/>
  <c r="Y430" i="2" s="1"/>
  <c r="Z430" i="2" s="1"/>
  <c r="R97" i="2"/>
  <c r="S97" i="2" s="1"/>
  <c r="T97" i="2" s="1"/>
  <c r="Y97" i="2" s="1"/>
  <c r="Z97" i="2" s="1"/>
  <c r="R423" i="2"/>
  <c r="S423" i="2" s="1"/>
  <c r="T423" i="2" s="1"/>
  <c r="Y423" i="2" s="1"/>
  <c r="Z423" i="2" s="1"/>
  <c r="R489" i="2"/>
  <c r="S489" i="2" s="1"/>
  <c r="T489" i="2" s="1"/>
  <c r="Y489" i="2" s="1"/>
  <c r="Z489" i="2" s="1"/>
  <c r="R475" i="2"/>
  <c r="S475" i="2" s="1"/>
  <c r="T475" i="2" s="1"/>
  <c r="Y475" i="2" s="1"/>
  <c r="Z475" i="2" s="1"/>
  <c r="R386" i="2"/>
  <c r="S386" i="2" s="1"/>
  <c r="T386" i="2" s="1"/>
  <c r="Y386" i="2" s="1"/>
  <c r="Z386" i="2" s="1"/>
  <c r="R400" i="2"/>
  <c r="S400" i="2" s="1"/>
  <c r="T400" i="2" s="1"/>
  <c r="Y400" i="2" s="1"/>
  <c r="Z400" i="2" s="1"/>
  <c r="R342" i="2"/>
  <c r="S342" i="2" s="1"/>
  <c r="T342" i="2" s="1"/>
  <c r="Y342" i="2" s="1"/>
  <c r="Z342" i="2" s="1"/>
  <c r="R629" i="2"/>
  <c r="S629" i="2" s="1"/>
  <c r="T629" i="2" s="1"/>
  <c r="Y629" i="2" s="1"/>
  <c r="Z629" i="2" s="1"/>
  <c r="R591" i="2"/>
  <c r="S591" i="2" s="1"/>
  <c r="T591" i="2" s="1"/>
  <c r="Y591" i="2" s="1"/>
  <c r="Z591" i="2" s="1"/>
  <c r="R345" i="2"/>
  <c r="S345" i="2" s="1"/>
  <c r="T345" i="2" s="1"/>
  <c r="Y345" i="2" s="1"/>
  <c r="Z345" i="2" s="1"/>
  <c r="R152" i="2"/>
  <c r="S152" i="2" s="1"/>
  <c r="T152" i="2" s="1"/>
  <c r="Y152" i="2" s="1"/>
  <c r="Z152" i="2" s="1"/>
  <c r="R154" i="2"/>
  <c r="S154" i="2" s="1"/>
  <c r="T154" i="2" s="1"/>
  <c r="Y154" i="2" s="1"/>
  <c r="Z154" i="2" s="1"/>
  <c r="R463" i="2"/>
  <c r="S463" i="2" s="1"/>
  <c r="T463" i="2" s="1"/>
  <c r="Y463" i="2" s="1"/>
  <c r="Z463" i="2" s="1"/>
  <c r="R464" i="2"/>
  <c r="S464" i="2" s="1"/>
  <c r="T464" i="2" s="1"/>
  <c r="Y464" i="2" s="1"/>
  <c r="Z464" i="2" s="1"/>
  <c r="R446" i="2"/>
  <c r="S446" i="2" s="1"/>
  <c r="T446" i="2" s="1"/>
  <c r="Y446" i="2" s="1"/>
  <c r="Z446" i="2" s="1"/>
  <c r="R429" i="2"/>
  <c r="S429" i="2" s="1"/>
  <c r="T429" i="2" s="1"/>
  <c r="Y429" i="2" s="1"/>
  <c r="Z429" i="2" s="1"/>
  <c r="R417" i="2"/>
  <c r="S417" i="2" s="1"/>
  <c r="T417" i="2" s="1"/>
  <c r="Y417" i="2" s="1"/>
  <c r="Z417" i="2" s="1"/>
  <c r="R388" i="2"/>
  <c r="S388" i="2" s="1"/>
  <c r="T388" i="2" s="1"/>
  <c r="Y388" i="2" s="1"/>
  <c r="Z388" i="2" s="1"/>
  <c r="R425" i="2"/>
  <c r="S425" i="2" s="1"/>
  <c r="T425" i="2" s="1"/>
  <c r="Y425" i="2" s="1"/>
  <c r="Z425" i="2" s="1"/>
  <c r="R424" i="2"/>
  <c r="S424" i="2" s="1"/>
  <c r="T424" i="2" s="1"/>
  <c r="Y424" i="2" s="1"/>
  <c r="Z424" i="2" s="1"/>
  <c r="R406" i="2"/>
  <c r="S406" i="2" s="1"/>
  <c r="T406" i="2" s="1"/>
  <c r="Y406" i="2" s="1"/>
  <c r="Z406" i="2" s="1"/>
  <c r="R395" i="2"/>
  <c r="S395" i="2" s="1"/>
  <c r="T395" i="2" s="1"/>
  <c r="Y395" i="2" s="1"/>
  <c r="Z395" i="2" s="1"/>
  <c r="R367" i="2"/>
  <c r="S367" i="2" s="1"/>
  <c r="T367" i="2" s="1"/>
  <c r="Y367" i="2" s="1"/>
  <c r="Z367" i="2" s="1"/>
  <c r="R390" i="2"/>
  <c r="S390" i="2" s="1"/>
  <c r="T390" i="2" s="1"/>
  <c r="Y390" i="2" s="1"/>
  <c r="Z390" i="2" s="1"/>
  <c r="R480" i="2"/>
  <c r="S480" i="2" s="1"/>
  <c r="T480" i="2" s="1"/>
  <c r="Y480" i="2" s="1"/>
  <c r="Z480" i="2" s="1"/>
  <c r="R415" i="2"/>
  <c r="S415" i="2" s="1"/>
  <c r="T415" i="2" s="1"/>
  <c r="Y415" i="2" s="1"/>
  <c r="Z415" i="2" s="1"/>
  <c r="R625" i="2"/>
  <c r="S625" i="2" s="1"/>
  <c r="T625" i="2" s="1"/>
  <c r="Y625" i="2" s="1"/>
  <c r="Z625" i="2" s="1"/>
  <c r="R218" i="2"/>
  <c r="S218" i="2" s="1"/>
  <c r="T218" i="2" s="1"/>
  <c r="Y218" i="2" s="1"/>
  <c r="Z218" i="2" s="1"/>
  <c r="R584" i="2"/>
  <c r="S584" i="2" s="1"/>
  <c r="T584" i="2" s="1"/>
  <c r="Y584" i="2" s="1"/>
  <c r="Z584" i="2" s="1"/>
  <c r="R374" i="2"/>
  <c r="S374" i="2" s="1"/>
  <c r="T374" i="2" s="1"/>
  <c r="Y374" i="2" s="1"/>
  <c r="Z374" i="2" s="1"/>
  <c r="R477" i="2"/>
  <c r="S477" i="2" s="1"/>
  <c r="T477" i="2" s="1"/>
  <c r="Y477" i="2" s="1"/>
  <c r="Z477" i="2" s="1"/>
  <c r="R276" i="2"/>
  <c r="S276" i="2" s="1"/>
  <c r="T276" i="2" s="1"/>
  <c r="Y276" i="2" s="1"/>
  <c r="Z276" i="2" s="1"/>
  <c r="R455" i="2"/>
  <c r="S455" i="2" s="1"/>
  <c r="T455" i="2" s="1"/>
  <c r="Y455" i="2" s="1"/>
  <c r="Z455" i="2" s="1"/>
  <c r="R378" i="2"/>
  <c r="S378" i="2" s="1"/>
  <c r="T378" i="2" s="1"/>
  <c r="Y378" i="2" s="1"/>
  <c r="Z378" i="2" s="1"/>
  <c r="R190" i="2"/>
  <c r="S190" i="2" s="1"/>
  <c r="T190" i="2" s="1"/>
  <c r="Y190" i="2" s="1"/>
  <c r="Z190" i="2" s="1"/>
  <c r="R340" i="2"/>
  <c r="S340" i="2" s="1"/>
  <c r="T340" i="2" s="1"/>
  <c r="Y340" i="2" s="1"/>
  <c r="Z340" i="2" s="1"/>
  <c r="R516" i="2"/>
  <c r="S516" i="2" s="1"/>
  <c r="T516" i="2" s="1"/>
  <c r="Y516" i="2" s="1"/>
  <c r="Z516" i="2" s="1"/>
  <c r="R508" i="2"/>
  <c r="S508" i="2" s="1"/>
  <c r="T508" i="2" s="1"/>
  <c r="Y508" i="2" s="1"/>
  <c r="Z508" i="2" s="1"/>
  <c r="R520" i="2"/>
  <c r="S520" i="2" s="1"/>
  <c r="T520" i="2" s="1"/>
  <c r="Y520" i="2" s="1"/>
  <c r="Z520" i="2" s="1"/>
  <c r="R515" i="2"/>
  <c r="S515" i="2" s="1"/>
  <c r="T515" i="2" s="1"/>
  <c r="Y515" i="2" s="1"/>
  <c r="Z515" i="2" s="1"/>
  <c r="R398" i="2"/>
  <c r="S398" i="2" s="1"/>
  <c r="T398" i="2" s="1"/>
  <c r="Y398" i="2" s="1"/>
  <c r="Z398" i="2" s="1"/>
  <c r="R346" i="2"/>
  <c r="S346" i="2" s="1"/>
  <c r="T346" i="2" s="1"/>
  <c r="Y346" i="2" s="1"/>
  <c r="Z346" i="2" s="1"/>
  <c r="R488" i="2"/>
  <c r="S488" i="2" s="1"/>
  <c r="T488" i="2" s="1"/>
  <c r="Y488" i="2" s="1"/>
  <c r="Z488" i="2" s="1"/>
  <c r="R344" i="2"/>
  <c r="S344" i="2" s="1"/>
  <c r="T344" i="2" s="1"/>
  <c r="Y344" i="2" s="1"/>
  <c r="Z344" i="2" s="1"/>
  <c r="R15" i="2"/>
  <c r="S15" i="2" s="1"/>
  <c r="T15" i="2" s="1"/>
  <c r="Y15" i="2" s="1"/>
  <c r="Z15" i="2" s="1"/>
  <c r="R642" i="2"/>
  <c r="S642" i="2" s="1"/>
  <c r="T642" i="2" s="1"/>
  <c r="Y642" i="2" s="1"/>
  <c r="Z642" i="2" s="1"/>
  <c r="R104" i="2"/>
  <c r="S104" i="2" s="1"/>
  <c r="T104" i="2" s="1"/>
  <c r="Y104" i="2" s="1"/>
  <c r="Z104" i="2" s="1"/>
  <c r="R511" i="2"/>
  <c r="S511" i="2" s="1"/>
  <c r="T511" i="2" s="1"/>
  <c r="Y511" i="2" s="1"/>
  <c r="Z511" i="2" s="1"/>
  <c r="R492" i="2"/>
  <c r="S492" i="2" s="1"/>
  <c r="T492" i="2" s="1"/>
  <c r="Y492" i="2" s="1"/>
  <c r="Z492" i="2" s="1"/>
  <c r="R199" i="2"/>
  <c r="S199" i="2" s="1"/>
  <c r="T199" i="2" s="1"/>
  <c r="Y199" i="2" s="1"/>
  <c r="Z199" i="2" s="1"/>
  <c r="T637" i="2"/>
  <c r="Y637" i="2" s="1"/>
  <c r="Z637" i="2" s="1"/>
  <c r="R528" i="2"/>
  <c r="S528" i="2" s="1"/>
  <c r="T528" i="2" s="1"/>
  <c r="Y528" i="2" s="1"/>
  <c r="Z528" i="2" s="1"/>
  <c r="R501" i="2"/>
  <c r="S501" i="2" s="1"/>
  <c r="T501" i="2" s="1"/>
  <c r="Y501" i="2" s="1"/>
  <c r="Z501" i="2" s="1"/>
  <c r="R460" i="2"/>
  <c r="S460" i="2" s="1"/>
  <c r="T460" i="2" s="1"/>
  <c r="Y460" i="2" s="1"/>
  <c r="Z460" i="2" s="1"/>
  <c r="R526" i="2"/>
  <c r="S526" i="2" s="1"/>
  <c r="T526" i="2" s="1"/>
  <c r="Y526" i="2" s="1"/>
  <c r="Z526" i="2" s="1"/>
  <c r="R434" i="2"/>
  <c r="S434" i="2" s="1"/>
  <c r="T434" i="2" s="1"/>
  <c r="Y434" i="2" s="1"/>
  <c r="Z434" i="2" s="1"/>
  <c r="R351" i="2"/>
  <c r="S351" i="2" s="1"/>
  <c r="T351" i="2" s="1"/>
  <c r="Y351" i="2" s="1"/>
  <c r="Z351" i="2" s="1"/>
  <c r="R363" i="2"/>
  <c r="S363" i="2" s="1"/>
  <c r="T363" i="2" s="1"/>
  <c r="Y363" i="2" s="1"/>
  <c r="Z363" i="2" s="1"/>
  <c r="R337" i="2"/>
  <c r="S337" i="2" s="1"/>
  <c r="T337" i="2" s="1"/>
  <c r="Y337" i="2" s="1"/>
  <c r="Z337" i="2" s="1"/>
  <c r="R494" i="2"/>
  <c r="S494" i="2" s="1"/>
  <c r="T494" i="2" s="1"/>
  <c r="Y494" i="2" s="1"/>
  <c r="Z494" i="2" s="1"/>
  <c r="R408" i="2"/>
  <c r="S408" i="2" s="1"/>
  <c r="T408" i="2" s="1"/>
  <c r="Y408" i="2" s="1"/>
  <c r="Z408" i="2" s="1"/>
  <c r="R377" i="2"/>
  <c r="S377" i="2" s="1"/>
  <c r="T377" i="2" s="1"/>
  <c r="Y377" i="2" s="1"/>
  <c r="Z377" i="2" s="1"/>
  <c r="R356" i="2"/>
  <c r="S356" i="2" s="1"/>
  <c r="T356" i="2" s="1"/>
  <c r="Y356" i="2" s="1"/>
  <c r="Z356" i="2" s="1"/>
  <c r="R330" i="2"/>
  <c r="S330" i="2" s="1"/>
  <c r="T330" i="2" s="1"/>
  <c r="Y330" i="2" s="1"/>
  <c r="Z330" i="2" s="1"/>
  <c r="R573" i="2"/>
  <c r="S573" i="2" s="1"/>
  <c r="T573" i="2" s="1"/>
  <c r="Y573" i="2" s="1"/>
  <c r="Z573" i="2" s="1"/>
  <c r="R421" i="2"/>
  <c r="S421" i="2" s="1"/>
  <c r="T421" i="2" s="1"/>
  <c r="Y421" i="2" s="1"/>
  <c r="Z421" i="2" s="1"/>
  <c r="R619" i="2"/>
  <c r="S619" i="2" s="1"/>
  <c r="T619" i="2" s="1"/>
  <c r="Y619" i="2" s="1"/>
  <c r="Z619" i="2" s="1"/>
  <c r="R34" i="2"/>
  <c r="S34" i="2" s="1"/>
  <c r="T34" i="2" s="1"/>
  <c r="Y34" i="2" s="1"/>
  <c r="Z34" i="2" s="1"/>
  <c r="R369" i="2"/>
  <c r="S369" i="2" s="1"/>
  <c r="T369" i="2" s="1"/>
  <c r="Y369" i="2" s="1"/>
  <c r="Z369" i="2" s="1"/>
  <c r="R358" i="2"/>
  <c r="S358" i="2" s="1"/>
  <c r="T358" i="2" s="1"/>
  <c r="Y358" i="2" s="1"/>
  <c r="Z358" i="2" s="1"/>
  <c r="R335" i="2"/>
  <c r="S335" i="2" s="1"/>
  <c r="T335" i="2" s="1"/>
  <c r="Y335" i="2" s="1"/>
  <c r="Z335" i="2" s="1"/>
  <c r="R543" i="2"/>
  <c r="S543" i="2" s="1"/>
  <c r="T543" i="2" s="1"/>
  <c r="Y543" i="2" s="1"/>
  <c r="Z543" i="2" s="1"/>
  <c r="R483" i="2"/>
  <c r="S483" i="2" s="1"/>
  <c r="T483" i="2" s="1"/>
  <c r="Y483" i="2" s="1"/>
  <c r="Z483" i="2" s="1"/>
  <c r="R125" i="2"/>
  <c r="S125" i="2" s="1"/>
  <c r="T125" i="2" s="1"/>
  <c r="Y125" i="2" s="1"/>
  <c r="Z125" i="2" s="1"/>
  <c r="R19" i="2"/>
  <c r="S19" i="2" s="1"/>
  <c r="T19" i="2" s="1"/>
  <c r="Y19" i="2" s="1"/>
  <c r="Z19" i="2" s="1"/>
  <c r="R366" i="2"/>
  <c r="S366" i="2" s="1"/>
  <c r="T366" i="2" s="1"/>
  <c r="Y366" i="2" s="1"/>
  <c r="Z366" i="2" s="1"/>
  <c r="R128" i="2"/>
  <c r="S128" i="2" s="1"/>
  <c r="T128" i="2" s="1"/>
  <c r="Y128" i="2" s="1"/>
  <c r="Z128" i="2" s="1"/>
  <c r="R203" i="2"/>
  <c r="S203" i="2" s="1"/>
  <c r="T203" i="2" s="1"/>
  <c r="Y203" i="2" s="1"/>
  <c r="Z203" i="2" s="1"/>
  <c r="R58" i="2"/>
  <c r="S58" i="2" s="1"/>
  <c r="T58" i="2" s="1"/>
  <c r="Y58" i="2" s="1"/>
  <c r="Z58" i="2" s="1"/>
  <c r="R510" i="2"/>
  <c r="S510" i="2" s="1"/>
  <c r="T510" i="2" s="1"/>
  <c r="Y510" i="2" s="1"/>
  <c r="Z510" i="2" s="1"/>
  <c r="R79" i="2"/>
  <c r="S79" i="2" s="1"/>
  <c r="T79" i="2" s="1"/>
  <c r="Y79" i="2" s="1"/>
  <c r="Z79" i="2" s="1"/>
  <c r="R505" i="2"/>
  <c r="S505" i="2" s="1"/>
  <c r="T505" i="2" s="1"/>
  <c r="Y505" i="2" s="1"/>
  <c r="Z505" i="2" s="1"/>
  <c r="R641" i="2"/>
  <c r="S641" i="2" s="1"/>
  <c r="T641" i="2" s="1"/>
  <c r="Y641" i="2" s="1"/>
  <c r="Z641" i="2" s="1"/>
  <c r="R435" i="2"/>
  <c r="S435" i="2" s="1"/>
  <c r="T435" i="2" s="1"/>
  <c r="Y435" i="2" s="1"/>
  <c r="Z435" i="2" s="1"/>
  <c r="R402" i="2"/>
  <c r="S402" i="2" s="1"/>
  <c r="T402" i="2" s="1"/>
  <c r="Y402" i="2" s="1"/>
  <c r="Z402" i="2" s="1"/>
  <c r="R361" i="2"/>
  <c r="S361" i="2" s="1"/>
  <c r="T361" i="2" s="1"/>
  <c r="Y361" i="2" s="1"/>
  <c r="Z361" i="2" s="1"/>
  <c r="R387" i="2"/>
  <c r="S387" i="2" s="1"/>
  <c r="T387" i="2" s="1"/>
  <c r="Y387" i="2" s="1"/>
  <c r="Z387" i="2" s="1"/>
  <c r="R419" i="2"/>
  <c r="S419" i="2" s="1"/>
  <c r="T419" i="2" s="1"/>
  <c r="Y419" i="2" s="1"/>
  <c r="Z419" i="2" s="1"/>
  <c r="R450" i="2"/>
  <c r="S450" i="2" s="1"/>
  <c r="T450" i="2" s="1"/>
  <c r="Y450" i="2" s="1"/>
  <c r="Z450" i="2" s="1"/>
  <c r="R349" i="2"/>
  <c r="S349" i="2" s="1"/>
  <c r="T349" i="2" s="1"/>
  <c r="Y349" i="2" s="1"/>
  <c r="Z349" i="2" s="1"/>
  <c r="R654" i="2"/>
  <c r="S654" i="2" s="1"/>
  <c r="T654" i="2" s="1"/>
  <c r="Y654" i="2" s="1"/>
  <c r="Z654" i="2" s="1"/>
  <c r="R257" i="2"/>
  <c r="S257" i="2" s="1"/>
  <c r="T257" i="2" s="1"/>
  <c r="Y257" i="2" s="1"/>
  <c r="Z257" i="2" s="1"/>
  <c r="R443" i="2"/>
  <c r="S443" i="2" s="1"/>
  <c r="T443" i="2" s="1"/>
  <c r="Y443" i="2" s="1"/>
  <c r="Z443" i="2" s="1"/>
  <c r="R136" i="2"/>
  <c r="S136" i="2" s="1"/>
  <c r="T136" i="2" s="1"/>
  <c r="Y136" i="2" s="1"/>
  <c r="Z136" i="2" s="1"/>
  <c r="R12" i="2"/>
  <c r="S12" i="2" s="1"/>
  <c r="T12" i="2" s="1"/>
  <c r="Y12" i="2" s="1"/>
  <c r="Z12" i="2" s="1"/>
  <c r="R328" i="2"/>
  <c r="S328" i="2" s="1"/>
  <c r="T328" i="2" s="1"/>
  <c r="Y328" i="2" s="1"/>
  <c r="Z328" i="2" s="1"/>
  <c r="R161" i="2"/>
  <c r="S161" i="2" s="1"/>
  <c r="T161" i="2" s="1"/>
  <c r="Y161" i="2" s="1"/>
  <c r="Z161" i="2" s="1"/>
  <c r="R160" i="2"/>
  <c r="S160" i="2" s="1"/>
  <c r="T160" i="2" s="1"/>
  <c r="Y160" i="2" s="1"/>
  <c r="Z160" i="2" s="1"/>
  <c r="R500" i="2"/>
  <c r="S500" i="2" s="1"/>
  <c r="T500" i="2" s="1"/>
  <c r="Y500" i="2" s="1"/>
  <c r="Z500" i="2" s="1"/>
  <c r="R517" i="2"/>
  <c r="S517" i="2" s="1"/>
  <c r="T517" i="2" s="1"/>
  <c r="Y517" i="2" s="1"/>
  <c r="Z517" i="2" s="1"/>
  <c r="R279" i="2"/>
  <c r="S279" i="2" s="1"/>
  <c r="T279" i="2" s="1"/>
  <c r="Y279" i="2" s="1"/>
  <c r="Z279" i="2" s="1"/>
  <c r="R200" i="2"/>
  <c r="S200" i="2" s="1"/>
  <c r="T200" i="2" s="1"/>
  <c r="Y200" i="2" s="1"/>
  <c r="Z200" i="2" s="1"/>
  <c r="R14" i="2"/>
  <c r="S14" i="2" s="1"/>
  <c r="T14" i="2" s="1"/>
  <c r="Y14" i="2" s="1"/>
  <c r="Z14" i="2" s="1"/>
  <c r="R207" i="2"/>
  <c r="S207" i="2" s="1"/>
  <c r="T207" i="2" s="1"/>
  <c r="Y207" i="2" s="1"/>
  <c r="Z207" i="2" s="1"/>
  <c r="R311" i="2"/>
  <c r="S311" i="2" s="1"/>
  <c r="T311" i="2" s="1"/>
  <c r="Y311" i="2" s="1"/>
  <c r="Z311" i="2" s="1"/>
  <c r="R448" i="2"/>
  <c r="S448" i="2" s="1"/>
  <c r="T448" i="2" s="1"/>
  <c r="Y448" i="2" s="1"/>
  <c r="Z448" i="2" s="1"/>
  <c r="R379" i="2"/>
  <c r="S379" i="2" s="1"/>
  <c r="T379" i="2" s="1"/>
  <c r="Y379" i="2" s="1"/>
  <c r="Z379" i="2" s="1"/>
  <c r="R189" i="2"/>
  <c r="S189" i="2" s="1"/>
  <c r="T189" i="2" s="1"/>
  <c r="Y189" i="2" s="1"/>
  <c r="Z189" i="2" s="1"/>
  <c r="R225" i="2"/>
  <c r="S225" i="2" s="1"/>
  <c r="T225" i="2" s="1"/>
  <c r="Y225" i="2" s="1"/>
  <c r="Z225" i="2" s="1"/>
  <c r="R170" i="2"/>
  <c r="S170" i="2" s="1"/>
  <c r="T170" i="2" s="1"/>
  <c r="Y170" i="2" s="1"/>
  <c r="Z170" i="2" s="1"/>
  <c r="R143" i="2"/>
  <c r="S143" i="2" s="1"/>
  <c r="T143" i="2" s="1"/>
  <c r="Y143" i="2" s="1"/>
  <c r="Z143" i="2" s="1"/>
  <c r="R59" i="2"/>
  <c r="S59" i="2" s="1"/>
  <c r="T59" i="2" s="1"/>
  <c r="Y59" i="2" s="1"/>
  <c r="Z59" i="2" s="1"/>
  <c r="R77" i="2"/>
  <c r="S77" i="2" s="1"/>
  <c r="T77" i="2" s="1"/>
  <c r="Y77" i="2" s="1"/>
  <c r="Z77" i="2" s="1"/>
  <c r="R86" i="2"/>
  <c r="S86" i="2" s="1"/>
  <c r="T86" i="2" s="1"/>
  <c r="Y86" i="2" s="1"/>
  <c r="Z86" i="2" s="1"/>
  <c r="R65" i="2"/>
  <c r="S65" i="2" s="1"/>
  <c r="T65" i="2" s="1"/>
  <c r="Y65" i="2" s="1"/>
  <c r="Z65" i="2" s="1"/>
  <c r="R107" i="2"/>
  <c r="S107" i="2" s="1"/>
  <c r="T107" i="2" s="1"/>
  <c r="Y107" i="2" s="1"/>
  <c r="Z107" i="2" s="1"/>
  <c r="R248" i="2"/>
  <c r="S248" i="2" s="1"/>
  <c r="T248" i="2" s="1"/>
  <c r="Y248" i="2" s="1"/>
  <c r="Z248" i="2" s="1"/>
  <c r="R217" i="2"/>
  <c r="S217" i="2" s="1"/>
  <c r="T217" i="2" s="1"/>
  <c r="Y217" i="2" s="1"/>
  <c r="Z217" i="2" s="1"/>
  <c r="R166" i="2"/>
  <c r="S166" i="2" s="1"/>
  <c r="T166" i="2" s="1"/>
  <c r="Y166" i="2" s="1"/>
  <c r="Z166" i="2" s="1"/>
  <c r="R163" i="2"/>
  <c r="S163" i="2" s="1"/>
  <c r="T163" i="2" s="1"/>
  <c r="Y163" i="2" s="1"/>
  <c r="Z163" i="2" s="1"/>
  <c r="R156" i="2"/>
  <c r="S156" i="2" s="1"/>
  <c r="T156" i="2" s="1"/>
  <c r="Y156" i="2" s="1"/>
  <c r="Z156" i="2" s="1"/>
  <c r="R134" i="2"/>
  <c r="S134" i="2" s="1"/>
  <c r="T134" i="2" s="1"/>
  <c r="Y134" i="2" s="1"/>
  <c r="Z134" i="2" s="1"/>
  <c r="R123" i="2"/>
  <c r="S123" i="2" s="1"/>
  <c r="T123" i="2" s="1"/>
  <c r="Y123" i="2" s="1"/>
  <c r="Z123" i="2" s="1"/>
  <c r="R243" i="2"/>
  <c r="S243" i="2" s="1"/>
  <c r="T243" i="2" s="1"/>
  <c r="Y243" i="2" s="1"/>
  <c r="Z243" i="2" s="1"/>
  <c r="R241" i="2"/>
  <c r="S241" i="2" s="1"/>
  <c r="T241" i="2" s="1"/>
  <c r="Y241" i="2" s="1"/>
  <c r="Z241" i="2" s="1"/>
  <c r="R193" i="2"/>
  <c r="S193" i="2" s="1"/>
  <c r="T193" i="2" s="1"/>
  <c r="Y193" i="2" s="1"/>
  <c r="Z193" i="2" s="1"/>
  <c r="R182" i="2"/>
  <c r="S182" i="2" s="1"/>
  <c r="T182" i="2" s="1"/>
  <c r="Y182" i="2" s="1"/>
  <c r="Z182" i="2" s="1"/>
  <c r="R179" i="2"/>
  <c r="S179" i="2" s="1"/>
  <c r="T179" i="2" s="1"/>
  <c r="Y179" i="2" s="1"/>
  <c r="Z179" i="2" s="1"/>
  <c r="R157" i="2"/>
  <c r="S157" i="2" s="1"/>
  <c r="T157" i="2" s="1"/>
  <c r="Y157" i="2" s="1"/>
  <c r="Z157" i="2" s="1"/>
  <c r="R150" i="2"/>
  <c r="S150" i="2" s="1"/>
  <c r="T150" i="2" s="1"/>
  <c r="Y150" i="2" s="1"/>
  <c r="Z150" i="2" s="1"/>
  <c r="R137" i="2"/>
  <c r="S137" i="2" s="1"/>
  <c r="T137" i="2" s="1"/>
  <c r="Y137" i="2" s="1"/>
  <c r="Z137" i="2" s="1"/>
  <c r="R122" i="2"/>
  <c r="S122" i="2" s="1"/>
  <c r="T122" i="2" s="1"/>
  <c r="Y122" i="2" s="1"/>
  <c r="Z122" i="2" s="1"/>
  <c r="R95" i="2"/>
  <c r="S95" i="2" s="1"/>
  <c r="T95" i="2" s="1"/>
  <c r="Y95" i="2" s="1"/>
  <c r="Z95" i="2" s="1"/>
  <c r="R64" i="2"/>
  <c r="S64" i="2" s="1"/>
  <c r="T64" i="2" s="1"/>
  <c r="Y64" i="2" s="1"/>
  <c r="Z64" i="2" s="1"/>
  <c r="R61" i="2"/>
  <c r="S61" i="2" s="1"/>
  <c r="T61" i="2" s="1"/>
  <c r="Y61" i="2" s="1"/>
  <c r="Z61" i="2" s="1"/>
  <c r="R70" i="2"/>
  <c r="S70" i="2" s="1"/>
  <c r="T70" i="2" s="1"/>
  <c r="Y70" i="2" s="1"/>
  <c r="Z70" i="2" s="1"/>
  <c r="R198" i="2"/>
  <c r="S198" i="2" s="1"/>
  <c r="T198" i="2" s="1"/>
  <c r="Y198" i="2" s="1"/>
  <c r="Z198" i="2" s="1"/>
  <c r="R164" i="2"/>
  <c r="S164" i="2" s="1"/>
  <c r="T164" i="2" s="1"/>
  <c r="Y164" i="2" s="1"/>
  <c r="Z164" i="2" s="1"/>
  <c r="R159" i="2"/>
  <c r="S159" i="2" s="1"/>
  <c r="T159" i="2" s="1"/>
  <c r="Y159" i="2" s="1"/>
  <c r="Z159" i="2" s="1"/>
  <c r="R148" i="2"/>
  <c r="S148" i="2" s="1"/>
  <c r="T148" i="2" s="1"/>
  <c r="Y148" i="2" s="1"/>
  <c r="Z148" i="2" s="1"/>
  <c r="R141" i="2"/>
  <c r="S141" i="2" s="1"/>
  <c r="T141" i="2" s="1"/>
  <c r="Y141" i="2" s="1"/>
  <c r="Z141" i="2" s="1"/>
  <c r="R130" i="2"/>
  <c r="S130" i="2" s="1"/>
  <c r="T130" i="2" s="1"/>
  <c r="Y130" i="2" s="1"/>
  <c r="Z130" i="2" s="1"/>
  <c r="R84" i="2"/>
  <c r="S84" i="2" s="1"/>
  <c r="T84" i="2" s="1"/>
  <c r="Y84" i="2" s="1"/>
  <c r="Z84" i="2" s="1"/>
  <c r="R90" i="2"/>
  <c r="S90" i="2" s="1"/>
  <c r="T90" i="2" s="1"/>
  <c r="Y90" i="2" s="1"/>
  <c r="Z90" i="2" s="1"/>
  <c r="R264" i="2"/>
  <c r="S264" i="2" s="1"/>
  <c r="T264" i="2" s="1"/>
  <c r="Y264" i="2" s="1"/>
  <c r="Z264" i="2" s="1"/>
  <c r="R230" i="2"/>
  <c r="S230" i="2" s="1"/>
  <c r="T230" i="2" s="1"/>
  <c r="Y230" i="2" s="1"/>
  <c r="Z230" i="2" s="1"/>
  <c r="R208" i="2"/>
  <c r="S208" i="2" s="1"/>
  <c r="T208" i="2" s="1"/>
  <c r="Y208" i="2" s="1"/>
  <c r="Z208" i="2" s="1"/>
  <c r="R174" i="2"/>
  <c r="S174" i="2" s="1"/>
  <c r="T174" i="2" s="1"/>
  <c r="Y174" i="2" s="1"/>
  <c r="Z174" i="2" s="1"/>
  <c r="R176" i="2"/>
  <c r="S176" i="2" s="1"/>
  <c r="T176" i="2" s="1"/>
  <c r="Y176" i="2" s="1"/>
  <c r="Z176" i="2" s="1"/>
  <c r="R252" i="2"/>
  <c r="S252" i="2" s="1"/>
  <c r="T252" i="2" s="1"/>
  <c r="Y252" i="2" s="1"/>
  <c r="Z252" i="2" s="1"/>
  <c r="R155" i="2"/>
  <c r="S155" i="2" s="1"/>
  <c r="T155" i="2" s="1"/>
  <c r="Y155" i="2" s="1"/>
  <c r="Z155" i="2" s="1"/>
  <c r="R145" i="2"/>
  <c r="S145" i="2" s="1"/>
  <c r="T145" i="2" s="1"/>
  <c r="Y145" i="2" s="1"/>
  <c r="Z145" i="2" s="1"/>
  <c r="R132" i="2"/>
  <c r="S132" i="2" s="1"/>
  <c r="T132" i="2" s="1"/>
  <c r="Y132" i="2" s="1"/>
  <c r="Z132" i="2" s="1"/>
  <c r="R118" i="2"/>
  <c r="S118" i="2" s="1"/>
  <c r="T118" i="2" s="1"/>
  <c r="Y118" i="2" s="1"/>
  <c r="Z118" i="2" s="1"/>
  <c r="R209" i="2"/>
  <c r="S209" i="2" s="1"/>
  <c r="T209" i="2" s="1"/>
  <c r="Y209" i="2" s="1"/>
  <c r="Z209" i="2" s="1"/>
  <c r="R245" i="2"/>
  <c r="S245" i="2" s="1"/>
  <c r="T245" i="2" s="1"/>
  <c r="Y245" i="2" s="1"/>
  <c r="Z245" i="2" s="1"/>
  <c r="R68" i="2"/>
  <c r="S68" i="2" s="1"/>
  <c r="T68" i="2" s="1"/>
  <c r="Y68" i="2" s="1"/>
  <c r="Z68" i="2" s="1"/>
  <c r="R92" i="2"/>
  <c r="S92" i="2" s="1"/>
  <c r="T92" i="2" s="1"/>
  <c r="Y92" i="2" s="1"/>
  <c r="Z92" i="2" s="1"/>
  <c r="R73" i="2"/>
  <c r="S73" i="2" s="1"/>
  <c r="T73" i="2" s="1"/>
  <c r="Y73" i="2" s="1"/>
  <c r="Z73" i="2" s="1"/>
  <c r="R23" i="2"/>
  <c r="S23" i="2" s="1"/>
  <c r="T23" i="2" s="1"/>
  <c r="Y23" i="2" s="1"/>
  <c r="Z23" i="2" s="1"/>
  <c r="R13" i="2"/>
  <c r="S13" i="2" s="1"/>
  <c r="T13" i="2" s="1"/>
  <c r="Y13" i="2" s="1"/>
  <c r="Z13" i="2" s="1"/>
  <c r="R653" i="2"/>
  <c r="S653" i="2" s="1"/>
  <c r="T653" i="2" s="1"/>
  <c r="Y653" i="2" s="1"/>
  <c r="Z653" i="2" s="1"/>
  <c r="R647" i="2"/>
  <c r="S647" i="2" s="1"/>
  <c r="T647" i="2" s="1"/>
  <c r="Y647" i="2" s="1"/>
  <c r="Z647" i="2" s="1"/>
  <c r="R639" i="2"/>
  <c r="S639" i="2" s="1"/>
  <c r="T639" i="2" s="1"/>
  <c r="Y639" i="2" s="1"/>
  <c r="Z639" i="2" s="1"/>
  <c r="R38" i="2"/>
  <c r="S38" i="2" s="1"/>
  <c r="T38" i="2" s="1"/>
  <c r="Y38" i="2" s="1"/>
  <c r="Z38" i="2" s="1"/>
  <c r="R633" i="2"/>
  <c r="S633" i="2" s="1"/>
  <c r="T633" i="2" s="1"/>
  <c r="Y633" i="2" s="1"/>
  <c r="Z633" i="2" s="1"/>
  <c r="R616" i="2"/>
  <c r="S616" i="2" s="1"/>
  <c r="T616" i="2" s="1"/>
  <c r="Y616" i="2" s="1"/>
  <c r="Z616" i="2" s="1"/>
  <c r="R45" i="2"/>
  <c r="S45" i="2" s="1"/>
  <c r="T45" i="2" s="1"/>
  <c r="Y45" i="2" s="1"/>
  <c r="Z45" i="2" s="1"/>
  <c r="R614" i="2"/>
  <c r="S614" i="2" s="1"/>
  <c r="T614" i="2" s="1"/>
  <c r="Y614" i="2" s="1"/>
  <c r="Z614" i="2" s="1"/>
  <c r="R55" i="2"/>
  <c r="S55" i="2" s="1"/>
  <c r="T55" i="2" s="1"/>
  <c r="Y55" i="2" s="1"/>
  <c r="Z55" i="2" s="1"/>
  <c r="R41" i="2"/>
  <c r="S41" i="2" s="1"/>
  <c r="T41" i="2" s="1"/>
  <c r="Y41" i="2" s="1"/>
  <c r="Z41" i="2" s="1"/>
  <c r="R28" i="2"/>
  <c r="S28" i="2" s="1"/>
  <c r="T28" i="2" s="1"/>
  <c r="Y28" i="2" s="1"/>
  <c r="Z28" i="2" s="1"/>
  <c r="R52" i="2"/>
  <c r="S52" i="2" s="1"/>
  <c r="T52" i="2" s="1"/>
  <c r="Y52" i="2" s="1"/>
  <c r="Z52" i="2" s="1"/>
  <c r="R26" i="2"/>
  <c r="S26" i="2" s="1"/>
  <c r="T26" i="2" s="1"/>
  <c r="Y26" i="2" s="1"/>
  <c r="Z26" i="2" s="1"/>
  <c r="R618" i="2"/>
  <c r="S618" i="2" s="1"/>
  <c r="T618" i="2" s="1"/>
  <c r="Y618" i="2" s="1"/>
  <c r="Z618" i="2" s="1"/>
  <c r="R32" i="2"/>
  <c r="S32" i="2" s="1"/>
  <c r="T32" i="2" s="1"/>
  <c r="Y32" i="2" s="1"/>
  <c r="Z32" i="2" s="1"/>
  <c r="R622" i="2"/>
  <c r="S622" i="2" s="1"/>
  <c r="T622" i="2" s="1"/>
  <c r="Y622" i="2" s="1"/>
  <c r="Z622" i="2" s="1"/>
  <c r="R48" i="2"/>
  <c r="S48" i="2" s="1"/>
  <c r="T48" i="2" s="1"/>
  <c r="Y48" i="2" s="1"/>
  <c r="Z48" i="2" s="1"/>
  <c r="R35" i="2"/>
  <c r="S35" i="2" s="1"/>
  <c r="T35" i="2" s="1"/>
  <c r="Y35" i="2" s="1"/>
  <c r="Z35" i="2" s="1"/>
  <c r="R21" i="2"/>
  <c r="S21" i="2" s="1"/>
  <c r="T21" i="2" s="1"/>
  <c r="Y21" i="2" s="1"/>
  <c r="Z21" i="2" s="1"/>
  <c r="R651" i="2"/>
  <c r="S651" i="2" s="1"/>
  <c r="T651" i="2" s="1"/>
  <c r="Y651" i="2" s="1"/>
  <c r="Z651" i="2" s="1"/>
  <c r="R643" i="2"/>
  <c r="S643" i="2" s="1"/>
  <c r="T643" i="2" s="1"/>
  <c r="Y643" i="2" s="1"/>
  <c r="Z643" i="2" s="1"/>
  <c r="R635" i="2"/>
  <c r="S635" i="2" s="1"/>
  <c r="T635" i="2" s="1"/>
  <c r="Y635" i="2" s="1"/>
  <c r="Z635" i="2" s="1"/>
  <c r="R620" i="2"/>
  <c r="S620" i="2" s="1"/>
  <c r="T620" i="2" s="1"/>
  <c r="Y620" i="2" s="1"/>
  <c r="Z620" i="2" s="1"/>
  <c r="R611" i="2"/>
  <c r="S611" i="2" s="1"/>
  <c r="T611" i="2" s="1"/>
  <c r="Y611" i="2" s="1"/>
  <c r="Z611" i="2" s="1"/>
  <c r="R583" i="2"/>
  <c r="S583" i="2" s="1"/>
  <c r="T583" i="2" s="1"/>
  <c r="Y583" i="2" s="1"/>
  <c r="Z583" i="2" s="1"/>
  <c r="R603" i="2"/>
  <c r="S603" i="2" s="1"/>
  <c r="T603" i="2" s="1"/>
  <c r="Y603" i="2" s="1"/>
  <c r="Z603" i="2" s="1"/>
  <c r="R580" i="2"/>
  <c r="S580" i="2" s="1"/>
  <c r="T580" i="2" s="1"/>
  <c r="Y580" i="2" s="1"/>
  <c r="Z580" i="2" s="1"/>
  <c r="R581" i="2"/>
  <c r="S581" i="2" s="1"/>
  <c r="T581" i="2" s="1"/>
  <c r="Y581" i="2" s="1"/>
  <c r="Z581" i="2" s="1"/>
  <c r="R571" i="2"/>
  <c r="S571" i="2" s="1"/>
  <c r="T571" i="2" s="1"/>
  <c r="Y571" i="2" s="1"/>
  <c r="Z571" i="2" s="1"/>
  <c r="R610" i="2"/>
  <c r="S610" i="2" s="1"/>
  <c r="T610" i="2" s="1"/>
  <c r="Y610" i="2" s="1"/>
  <c r="Z610" i="2" s="1"/>
  <c r="R593" i="2"/>
  <c r="S593" i="2" s="1"/>
  <c r="T593" i="2" s="1"/>
  <c r="Y593" i="2" s="1"/>
  <c r="Z593" i="2" s="1"/>
  <c r="R598" i="2"/>
  <c r="S598" i="2" s="1"/>
  <c r="T598" i="2" s="1"/>
  <c r="Y598" i="2" s="1"/>
  <c r="Z598" i="2" s="1"/>
  <c r="R588" i="2"/>
  <c r="S588" i="2" s="1"/>
  <c r="T588" i="2" s="1"/>
  <c r="Y588" i="2" s="1"/>
  <c r="Z588" i="2" s="1"/>
  <c r="R600" i="2"/>
  <c r="S600" i="2" s="1"/>
  <c r="T600" i="2" s="1"/>
  <c r="Y600" i="2" s="1"/>
  <c r="Z600" i="2" s="1"/>
  <c r="R576" i="2"/>
  <c r="S576" i="2" s="1"/>
  <c r="T576" i="2" s="1"/>
  <c r="Y576" i="2" s="1"/>
  <c r="Z576" i="2" s="1"/>
  <c r="R608" i="2"/>
  <c r="S608" i="2" s="1"/>
  <c r="T608" i="2" s="1"/>
  <c r="Y608" i="2" s="1"/>
  <c r="Z608" i="2" s="1"/>
  <c r="R596" i="2"/>
  <c r="S596" i="2" s="1"/>
  <c r="T596" i="2" s="1"/>
  <c r="Y596" i="2" s="1"/>
  <c r="Z596" i="2" s="1"/>
  <c r="R579" i="2"/>
  <c r="S579" i="2" s="1"/>
  <c r="T579" i="2" s="1"/>
  <c r="Y579" i="2" s="1"/>
  <c r="Z579" i="2" s="1"/>
  <c r="R592" i="2"/>
  <c r="S592" i="2" s="1"/>
  <c r="T592" i="2" s="1"/>
  <c r="Y592" i="2" s="1"/>
  <c r="Z592" i="2" s="1"/>
  <c r="R569" i="2"/>
  <c r="S569" i="2" s="1"/>
  <c r="T569" i="2" s="1"/>
  <c r="Y569" i="2" s="1"/>
  <c r="Z569" i="2" s="1"/>
  <c r="R562" i="2"/>
  <c r="S562" i="2" s="1"/>
  <c r="T562" i="2" s="1"/>
  <c r="Y562" i="2" s="1"/>
  <c r="Z562" i="2" s="1"/>
  <c r="R555" i="2"/>
  <c r="S555" i="2" s="1"/>
  <c r="T555" i="2" s="1"/>
  <c r="Y555" i="2" s="1"/>
  <c r="Z555" i="2" s="1"/>
  <c r="R548" i="2"/>
  <c r="S548" i="2" s="1"/>
  <c r="T548" i="2" s="1"/>
  <c r="Y548" i="2" s="1"/>
  <c r="Z548" i="2" s="1"/>
  <c r="R561" i="2"/>
  <c r="S561" i="2" s="1"/>
  <c r="T561" i="2" s="1"/>
  <c r="Y561" i="2" s="1"/>
  <c r="Z561" i="2" s="1"/>
  <c r="R559" i="2"/>
  <c r="S559" i="2" s="1"/>
  <c r="T559" i="2" s="1"/>
  <c r="Y559" i="2" s="1"/>
  <c r="Z559" i="2" s="1"/>
  <c r="R558" i="2"/>
  <c r="S558" i="2" s="1"/>
  <c r="T558" i="2" s="1"/>
  <c r="Y558" i="2" s="1"/>
  <c r="Z558" i="2" s="1"/>
  <c r="R549" i="2"/>
  <c r="S549" i="2" s="1"/>
  <c r="T549" i="2" s="1"/>
  <c r="Y549" i="2" s="1"/>
  <c r="Z549" i="2" s="1"/>
  <c r="R537" i="2"/>
  <c r="S537" i="2" s="1"/>
  <c r="T537" i="2" s="1"/>
  <c r="Y537" i="2" s="1"/>
  <c r="Z537" i="2" s="1"/>
  <c r="R535" i="2"/>
  <c r="S535" i="2" s="1"/>
  <c r="T535" i="2" s="1"/>
  <c r="Y535" i="2" s="1"/>
  <c r="Z535" i="2" s="1"/>
  <c r="R534" i="2"/>
  <c r="S534" i="2" s="1"/>
  <c r="T534" i="2" s="1"/>
  <c r="Y534" i="2" s="1"/>
  <c r="Z534" i="2" s="1"/>
  <c r="R530" i="2"/>
  <c r="S530" i="2" s="1"/>
  <c r="T530" i="2" s="1"/>
  <c r="Y530" i="2" s="1"/>
  <c r="Z530" i="2" s="1"/>
  <c r="T533" i="2"/>
  <c r="Y533" i="2" s="1"/>
  <c r="Z533" i="2" s="1"/>
  <c r="T547" i="2"/>
  <c r="Y547" i="2" s="1"/>
  <c r="Z547" i="2" s="1"/>
  <c r="T542" i="2"/>
  <c r="Y542" i="2" s="1"/>
  <c r="Z542" i="2" s="1"/>
  <c r="R546" i="2"/>
  <c r="S546" i="2" s="1"/>
  <c r="T546" i="2" s="1"/>
  <c r="Y546" i="2" s="1"/>
  <c r="Z546" i="2" s="1"/>
  <c r="R541" i="2"/>
  <c r="S541" i="2" s="1"/>
  <c r="T541" i="2" s="1"/>
  <c r="Y541" i="2" s="1"/>
  <c r="Z541" i="2" s="1"/>
  <c r="R566" i="2"/>
  <c r="S566" i="2" s="1"/>
  <c r="T566" i="2" s="1"/>
  <c r="Y566" i="2" s="1"/>
  <c r="Z566" i="2" s="1"/>
  <c r="R540" i="2"/>
  <c r="S540" i="2" s="1"/>
  <c r="T540" i="2" s="1"/>
  <c r="Y540" i="2" s="1"/>
  <c r="Z540" i="2" s="1"/>
  <c r="Y232" i="2"/>
  <c r="Z232" i="2" s="1"/>
  <c r="Z233" i="2"/>
</calcChain>
</file>

<file path=xl/sharedStrings.xml><?xml version="1.0" encoding="utf-8"?>
<sst xmlns="http://schemas.openxmlformats.org/spreadsheetml/2006/main" count="3622" uniqueCount="2140">
  <si>
    <t>80mm</t>
  </si>
  <si>
    <t>103mm</t>
  </si>
  <si>
    <t>103+0,6x</t>
  </si>
  <si>
    <t>106+0,75</t>
  </si>
  <si>
    <t>f</t>
  </si>
  <si>
    <t>80mm+0,8x</t>
  </si>
  <si>
    <t>f/D</t>
  </si>
  <si>
    <t>kg</t>
  </si>
  <si>
    <t>61EDPH</t>
  </si>
  <si>
    <t>585CP</t>
  </si>
  <si>
    <t>2600CP</t>
  </si>
  <si>
    <t>2°48' x 1°52'</t>
  </si>
  <si>
    <t>3°30' x 2°20'</t>
  </si>
  <si>
    <t>1°40' x 0°55'</t>
  </si>
  <si>
    <t>1°20' x 0°44'</t>
  </si>
  <si>
    <t>1°31' x 0°51'</t>
  </si>
  <si>
    <t>3°12' x 2°8'</t>
  </si>
  <si>
    <t>1°55' x 1°17'</t>
  </si>
  <si>
    <t>0°55' x 0°31'</t>
  </si>
  <si>
    <t>1°13' x 0°40'</t>
  </si>
  <si>
    <t>2°34' x 1°43'</t>
  </si>
  <si>
    <t>1°56' x 1°17'</t>
  </si>
  <si>
    <t>TLAPO804</t>
  </si>
  <si>
    <t>ASKAR 103</t>
  </si>
  <si>
    <t>TSAPO106 F</t>
  </si>
  <si>
    <t>80mm+B1,5x</t>
  </si>
  <si>
    <t>mit Red</t>
  </si>
  <si>
    <t>270mm</t>
  </si>
  <si>
    <t>384mm</t>
  </si>
  <si>
    <t>480mm</t>
  </si>
  <si>
    <t>720mm</t>
  </si>
  <si>
    <t>420mm</t>
  </si>
  <si>
    <t>700mm</t>
  </si>
  <si>
    <t>525mm</t>
  </si>
  <si>
    <t>2,4 kg</t>
  </si>
  <si>
    <t>3,55 kg</t>
  </si>
  <si>
    <t>3,1 kg</t>
  </si>
  <si>
    <t>3,2 kg</t>
  </si>
  <si>
    <t>5,4 kg</t>
  </si>
  <si>
    <t>4,75 kg</t>
  </si>
  <si>
    <t>7,3 kg</t>
  </si>
  <si>
    <t>6,3 kg</t>
  </si>
  <si>
    <t>2°22' x 1°19'</t>
  </si>
  <si>
    <t>5° x 3°20'</t>
  </si>
  <si>
    <t>Alt</t>
  </si>
  <si>
    <t>Teleskop</t>
  </si>
  <si>
    <t>Sensor</t>
  </si>
  <si>
    <t>mit</t>
  </si>
  <si>
    <t>Bild</t>
  </si>
  <si>
    <t>SH2-101</t>
  </si>
  <si>
    <t>20'x15'</t>
  </si>
  <si>
    <t>ohne</t>
  </si>
  <si>
    <t>SH2-112</t>
  </si>
  <si>
    <t>mag</t>
  </si>
  <si>
    <t>rot/blau Nebel</t>
  </si>
  <si>
    <t>3° x 2°</t>
  </si>
  <si>
    <t>13'</t>
  </si>
  <si>
    <t>Größe</t>
  </si>
  <si>
    <t>Red</t>
  </si>
  <si>
    <t>NGC2264 (SH2-273)</t>
  </si>
  <si>
    <t>2° 48'x 1°52'</t>
  </si>
  <si>
    <t>1°40' x 0°56'</t>
  </si>
  <si>
    <t>IC1848</t>
  </si>
  <si>
    <t>IC1805</t>
  </si>
  <si>
    <t>NGC2174</t>
  </si>
  <si>
    <t>40'x30'</t>
  </si>
  <si>
    <t>RA</t>
  </si>
  <si>
    <t>DEC</t>
  </si>
  <si>
    <t>hh</t>
  </si>
  <si>
    <t>mm</t>
  </si>
  <si>
    <t>Dec</t>
  </si>
  <si>
    <t>N/S</t>
  </si>
  <si>
    <t>Name</t>
  </si>
  <si>
    <t>Raobj</t>
  </si>
  <si>
    <t>SH2-132</t>
  </si>
  <si>
    <t>Transit (UTC)</t>
  </si>
  <si>
    <t>Mark.Kette</t>
  </si>
  <si>
    <t>1°x25'</t>
  </si>
  <si>
    <t>Transit MEZ</t>
  </si>
  <si>
    <t>MESZ ?</t>
  </si>
  <si>
    <t xml:space="preserve"> + Tage</t>
  </si>
  <si>
    <t>NGC4565</t>
  </si>
  <si>
    <t>NGC2683</t>
  </si>
  <si>
    <t>S</t>
  </si>
  <si>
    <t>Hell</t>
  </si>
  <si>
    <t>° / '</t>
  </si>
  <si>
    <t>referenz</t>
  </si>
  <si>
    <t>SH2-216</t>
  </si>
  <si>
    <t>LST</t>
  </si>
  <si>
    <t>W/S   1/2</t>
  </si>
  <si>
    <t>Tage2000</t>
  </si>
  <si>
    <t>GMST</t>
  </si>
  <si>
    <t>10'</t>
  </si>
  <si>
    <t>M1 / NGC1952</t>
  </si>
  <si>
    <t>M2 / NGC0789</t>
  </si>
  <si>
    <t>M3 / NGC5272</t>
  </si>
  <si>
    <t>M4 / NGC6121</t>
  </si>
  <si>
    <t>M5 / NGC5904</t>
  </si>
  <si>
    <t>M6 / NGC6405</t>
  </si>
  <si>
    <t>M7 / NGC6475</t>
  </si>
  <si>
    <t>M8 / NGC6523</t>
  </si>
  <si>
    <t>M9 / NGC6333</t>
  </si>
  <si>
    <t>M10 / NGC6254</t>
  </si>
  <si>
    <t>M11 / NGC6705</t>
  </si>
  <si>
    <t>M12 / NGC6218</t>
  </si>
  <si>
    <t>M13 / NGC6205</t>
  </si>
  <si>
    <t>M14 / NGC6402</t>
  </si>
  <si>
    <t>M15 / NGC7078</t>
  </si>
  <si>
    <t>M16 / NGC6611</t>
  </si>
  <si>
    <t>M17 / NGC6618</t>
  </si>
  <si>
    <t>M18 / NGC6613</t>
  </si>
  <si>
    <t>M19 / NGC6273</t>
  </si>
  <si>
    <t>M20 / NGC6514</t>
  </si>
  <si>
    <t>M21 / NGC6531</t>
  </si>
  <si>
    <t>M22 / NGC6656</t>
  </si>
  <si>
    <t>M23 / NGC6494</t>
  </si>
  <si>
    <t>M24 / IC4715</t>
  </si>
  <si>
    <t>M25 / IC4725</t>
  </si>
  <si>
    <t>M26 / NGC6694</t>
  </si>
  <si>
    <t>M27 / NGC6853</t>
  </si>
  <si>
    <t>M28 / NGC 6626</t>
  </si>
  <si>
    <t>M29 / NGC 6913</t>
  </si>
  <si>
    <t>M30 / NGC7099</t>
  </si>
  <si>
    <t>M31 / NGC224</t>
  </si>
  <si>
    <t>M33 / NGC598</t>
  </si>
  <si>
    <t>M34 / NGC1039</t>
  </si>
  <si>
    <t>M35 / NGC2168</t>
  </si>
  <si>
    <t>M36 / NGC1960</t>
  </si>
  <si>
    <t>M37 / NGC2099</t>
  </si>
  <si>
    <t>M38 / NGC1912</t>
  </si>
  <si>
    <t>M39 / NGC7092</t>
  </si>
  <si>
    <t>M41 / NGC2287</t>
  </si>
  <si>
    <t>M42 / NGC1976</t>
  </si>
  <si>
    <t>M44 / NGC2632</t>
  </si>
  <si>
    <t>M45 / NGC1435</t>
  </si>
  <si>
    <t>M46 / NGC2438</t>
  </si>
  <si>
    <t>M47 / NGC2422</t>
  </si>
  <si>
    <t>M48 / NGC2548</t>
  </si>
  <si>
    <t>M49 / NGC4472</t>
  </si>
  <si>
    <t>M50 / NGC2323</t>
  </si>
  <si>
    <t>M51 / NGC5194</t>
  </si>
  <si>
    <t>M52 / NGC7654</t>
  </si>
  <si>
    <t>M53 / NGC5024</t>
  </si>
  <si>
    <t>M54 / NGC6715</t>
  </si>
  <si>
    <t>M55 / NGC6809</t>
  </si>
  <si>
    <t>M56 / NGC6779</t>
  </si>
  <si>
    <t>M57 / NGC6720</t>
  </si>
  <si>
    <t>M58 / NGC4579</t>
  </si>
  <si>
    <t>M59 / NGC4621</t>
  </si>
  <si>
    <t>M60 / NGC4649</t>
  </si>
  <si>
    <t>M61 / NGC4303</t>
  </si>
  <si>
    <t>M62 / NGC6266</t>
  </si>
  <si>
    <t>M63 / NGC5055</t>
  </si>
  <si>
    <t>M64 / NGC4826</t>
  </si>
  <si>
    <t>M65 / NGC3623</t>
  </si>
  <si>
    <t>M66 / NGC3627</t>
  </si>
  <si>
    <t>M67 / NGC2682</t>
  </si>
  <si>
    <t>M68 / NGC4590</t>
  </si>
  <si>
    <t>M69 / NGC6637</t>
  </si>
  <si>
    <t>M70 / NGC6681</t>
  </si>
  <si>
    <t>M71 / NGC6838</t>
  </si>
  <si>
    <t>M72 / NGC6981</t>
  </si>
  <si>
    <t>M73 / NGC6994</t>
  </si>
  <si>
    <t>M74 / NGC628</t>
  </si>
  <si>
    <t>M75 / NGC6864</t>
  </si>
  <si>
    <t>M76 / NGC650</t>
  </si>
  <si>
    <t>M77 / NGC1068</t>
  </si>
  <si>
    <t>M78 / NGC2068</t>
  </si>
  <si>
    <t>M79 / NGC1904</t>
  </si>
  <si>
    <t>M80 / NGC6093</t>
  </si>
  <si>
    <t>M81 / NGC3031</t>
  </si>
  <si>
    <t>M82 / NGC3034</t>
  </si>
  <si>
    <t>M83 / NGC5236</t>
  </si>
  <si>
    <t>M84 / NGC4374</t>
  </si>
  <si>
    <t>M85 / NGC4382</t>
  </si>
  <si>
    <t>M88 / NGC4501</t>
  </si>
  <si>
    <t>M89 / NGC4552</t>
  </si>
  <si>
    <t>M90 / NGC4569</t>
  </si>
  <si>
    <t>M91 / NGC4548</t>
  </si>
  <si>
    <t>M92 / NGC6341</t>
  </si>
  <si>
    <t>M93 / NGC2447</t>
  </si>
  <si>
    <t>M94 / NGC4736</t>
  </si>
  <si>
    <t>M95 / NGC3351</t>
  </si>
  <si>
    <t>M96 / NGC3368</t>
  </si>
  <si>
    <t>M97 / NGC3587</t>
  </si>
  <si>
    <t>M98 / NGC4192</t>
  </si>
  <si>
    <t>M99 / NGC4254</t>
  </si>
  <si>
    <t>M100 / NGC4321</t>
  </si>
  <si>
    <t>M101 / NGC5457</t>
  </si>
  <si>
    <t>M102 / NGC5866</t>
  </si>
  <si>
    <t>M103 / NGC581</t>
  </si>
  <si>
    <t>M104 / NGC4594</t>
  </si>
  <si>
    <t>M105 / NGC3379</t>
  </si>
  <si>
    <t>M106 / NGC4258</t>
  </si>
  <si>
    <t>M107 / NGC6171</t>
  </si>
  <si>
    <t>M108 / NGC3556</t>
  </si>
  <si>
    <t>M109 / NGC3992</t>
  </si>
  <si>
    <t>NGC40 / C2</t>
  </si>
  <si>
    <t>NGC45</t>
  </si>
  <si>
    <t>NGC55</t>
  </si>
  <si>
    <t>NGC70</t>
  </si>
  <si>
    <t>NGC80</t>
  </si>
  <si>
    <t>NGC92</t>
  </si>
  <si>
    <t>NGC134</t>
  </si>
  <si>
    <t>NGC147</t>
  </si>
  <si>
    <t>NGC185</t>
  </si>
  <si>
    <t>NGC225</t>
  </si>
  <si>
    <t>NGC246</t>
  </si>
  <si>
    <t>NGC247</t>
  </si>
  <si>
    <t>NGC253</t>
  </si>
  <si>
    <t>NGC281</t>
  </si>
  <si>
    <t>NGC288</t>
  </si>
  <si>
    <t>NGC289</t>
  </si>
  <si>
    <t>NGC300</t>
  </si>
  <si>
    <t>NGC362</t>
  </si>
  <si>
    <t>NGC404</t>
  </si>
  <si>
    <t>NGC457</t>
  </si>
  <si>
    <t>NGC474</t>
  </si>
  <si>
    <t>NGC488</t>
  </si>
  <si>
    <t>NGC520</t>
  </si>
  <si>
    <t>NGC529</t>
  </si>
  <si>
    <t>NGC547</t>
  </si>
  <si>
    <t>NGC613</t>
  </si>
  <si>
    <t>NGC654</t>
  </si>
  <si>
    <t>NGC660</t>
  </si>
  <si>
    <t>NGC663</t>
  </si>
  <si>
    <t>NGC672</t>
  </si>
  <si>
    <t>NGC691</t>
  </si>
  <si>
    <t>NGC752</t>
  </si>
  <si>
    <t>NGC772</t>
  </si>
  <si>
    <t>NGC869</t>
  </si>
  <si>
    <t>NGC891</t>
  </si>
  <si>
    <t>NGC908</t>
  </si>
  <si>
    <t>NGC918</t>
  </si>
  <si>
    <t>NGC925</t>
  </si>
  <si>
    <t>NGC936</t>
  </si>
  <si>
    <t>NGC1023</t>
  </si>
  <si>
    <t>NGC1042</t>
  </si>
  <si>
    <t>NGC1055</t>
  </si>
  <si>
    <t>NGC1097</t>
  </si>
  <si>
    <t>NGC1232</t>
  </si>
  <si>
    <t>NGC1261</t>
  </si>
  <si>
    <t>NGC1269</t>
  </si>
  <si>
    <t>NGC1300</t>
  </si>
  <si>
    <t>NGC1313</t>
  </si>
  <si>
    <t>NGC1316</t>
  </si>
  <si>
    <t>NGC1333</t>
  </si>
  <si>
    <t>NGC1360</t>
  </si>
  <si>
    <t>NGC1365</t>
  </si>
  <si>
    <t>NGC1398</t>
  </si>
  <si>
    <t>NGC1407</t>
  </si>
  <si>
    <t>NGC1433</t>
  </si>
  <si>
    <t>NGC1491</t>
  </si>
  <si>
    <t>NGC1499</t>
  </si>
  <si>
    <t>NGC1501</t>
  </si>
  <si>
    <t>NGC1502</t>
  </si>
  <si>
    <t>NGC1514</t>
  </si>
  <si>
    <t>NGC1530</t>
  </si>
  <si>
    <t>NGC1532</t>
  </si>
  <si>
    <t>NGC1535</t>
  </si>
  <si>
    <t>NGC1549</t>
  </si>
  <si>
    <t>NGC1555</t>
  </si>
  <si>
    <t>NGC1560</t>
  </si>
  <si>
    <t>NGC1566</t>
  </si>
  <si>
    <t>NGC1569</t>
  </si>
  <si>
    <t>NGC1624</t>
  </si>
  <si>
    <t>NGC1961</t>
  </si>
  <si>
    <t>NGC1579</t>
  </si>
  <si>
    <t>NGC1672</t>
  </si>
  <si>
    <t>NGC1788</t>
  </si>
  <si>
    <t>NGC1792</t>
  </si>
  <si>
    <t>NGC1808</t>
  </si>
  <si>
    <t>NGC1851</t>
  </si>
  <si>
    <t>NGC1931</t>
  </si>
  <si>
    <t>NGC1978</t>
  </si>
  <si>
    <t>NGC2022</t>
  </si>
  <si>
    <t>NGC2146</t>
  </si>
  <si>
    <t>NGC2158</t>
  </si>
  <si>
    <t>NGC2170</t>
  </si>
  <si>
    <t>NGC2207</t>
  </si>
  <si>
    <t>NGC2210</t>
  </si>
  <si>
    <t>NGC2244</t>
  </si>
  <si>
    <t>NGC2261</t>
  </si>
  <si>
    <t>NGC2282</t>
  </si>
  <si>
    <t>NGC2298</t>
  </si>
  <si>
    <t>NGC2300</t>
  </si>
  <si>
    <t>NGC2346</t>
  </si>
  <si>
    <t>NGC2359</t>
  </si>
  <si>
    <t>NGC2362</t>
  </si>
  <si>
    <t>NGC2366</t>
  </si>
  <si>
    <t>NGC2371</t>
  </si>
  <si>
    <t>NGC2392</t>
  </si>
  <si>
    <t>NGC2403</t>
  </si>
  <si>
    <t>NGC2419</t>
  </si>
  <si>
    <t>NGC2434</t>
  </si>
  <si>
    <t>NGC2440</t>
  </si>
  <si>
    <t>NGC2442</t>
  </si>
  <si>
    <t>NGC2467</t>
  </si>
  <si>
    <t>NGC2477</t>
  </si>
  <si>
    <t>NGC2506</t>
  </si>
  <si>
    <t>NGC2516</t>
  </si>
  <si>
    <t>NGC2547</t>
  </si>
  <si>
    <t>NGC2579</t>
  </si>
  <si>
    <t>NGC2613</t>
  </si>
  <si>
    <t>NGC2655</t>
  </si>
  <si>
    <t>NGC2681</t>
  </si>
  <si>
    <t>NGC2685</t>
  </si>
  <si>
    <t>NGC2623</t>
  </si>
  <si>
    <t>NGC2736</t>
  </si>
  <si>
    <t>NGC2768</t>
  </si>
  <si>
    <t>NGC2775</t>
  </si>
  <si>
    <t>NGC2805</t>
  </si>
  <si>
    <t>NGC2808</t>
  </si>
  <si>
    <t>NGC2818</t>
  </si>
  <si>
    <t>NGC2841</t>
  </si>
  <si>
    <t>NGC2867</t>
  </si>
  <si>
    <t>NGC2899</t>
  </si>
  <si>
    <t>NGC2903</t>
  </si>
  <si>
    <t>NGC2936</t>
  </si>
  <si>
    <t>NGC2976</t>
  </si>
  <si>
    <t>NGC2985</t>
  </si>
  <si>
    <t>NGC2997</t>
  </si>
  <si>
    <t>NGC3077</t>
  </si>
  <si>
    <t>NGC3079</t>
  </si>
  <si>
    <t>NGC3109</t>
  </si>
  <si>
    <t>NGC3114</t>
  </si>
  <si>
    <t>NGC3115</t>
  </si>
  <si>
    <t>NGC3132</t>
  </si>
  <si>
    <t>NGC3166</t>
  </si>
  <si>
    <t>NGC3180</t>
  </si>
  <si>
    <t>NGC3190</t>
  </si>
  <si>
    <t>NGC3195</t>
  </si>
  <si>
    <t>NGC3198</t>
  </si>
  <si>
    <t>NGC3199</t>
  </si>
  <si>
    <t>NGC3201</t>
  </si>
  <si>
    <t>NGC3211</t>
  </si>
  <si>
    <t>NGC3227</t>
  </si>
  <si>
    <t>NGC3242</t>
  </si>
  <si>
    <t>NGC3293</t>
  </si>
  <si>
    <t>NGC3310</t>
  </si>
  <si>
    <t>NGC3314</t>
  </si>
  <si>
    <t>NGC3344</t>
  </si>
  <si>
    <t>NGC3359</t>
  </si>
  <si>
    <t>NGC3486</t>
  </si>
  <si>
    <t>NGC3503</t>
  </si>
  <si>
    <t>NGC3504</t>
  </si>
  <si>
    <t>NGC3521</t>
  </si>
  <si>
    <t>NGC3532</t>
  </si>
  <si>
    <t>NGC3561</t>
  </si>
  <si>
    <t>NGC3572</t>
  </si>
  <si>
    <t>NGC3603</t>
  </si>
  <si>
    <t>NGC3621</t>
  </si>
  <si>
    <t>NGC3626</t>
  </si>
  <si>
    <t>NGC3628</t>
  </si>
  <si>
    <t>NGC3640</t>
  </si>
  <si>
    <t>NGC3690</t>
  </si>
  <si>
    <t>NGC3699</t>
  </si>
  <si>
    <t>NGC3718</t>
  </si>
  <si>
    <t>NGC3726</t>
  </si>
  <si>
    <t>NGC3750</t>
  </si>
  <si>
    <t>NGC3766</t>
  </si>
  <si>
    <t>NGC3786</t>
  </si>
  <si>
    <t>NGC3808</t>
  </si>
  <si>
    <t>NGC3893</t>
  </si>
  <si>
    <t>NGC3918</t>
  </si>
  <si>
    <t>NGC3923</t>
  </si>
  <si>
    <t>NGC3938</t>
  </si>
  <si>
    <t>NGC3953</t>
  </si>
  <si>
    <t>NGC4038</t>
  </si>
  <si>
    <t>NGC4096</t>
  </si>
  <si>
    <t>NGC4147</t>
  </si>
  <si>
    <t>NGC4151</t>
  </si>
  <si>
    <t>NGC4157</t>
  </si>
  <si>
    <t>NGC4170</t>
  </si>
  <si>
    <t>NGC4216</t>
  </si>
  <si>
    <t>NGC4228</t>
  </si>
  <si>
    <t>NGC4236</t>
  </si>
  <si>
    <t>NGC4244</t>
  </si>
  <si>
    <t>NGC4274</t>
  </si>
  <si>
    <t>NGC4298</t>
  </si>
  <si>
    <t>NGC4361</t>
  </si>
  <si>
    <t>NGC4372</t>
  </si>
  <si>
    <t>NGC4394</t>
  </si>
  <si>
    <t>NGC4395</t>
  </si>
  <si>
    <t>NGC4414</t>
  </si>
  <si>
    <t>NGC4449</t>
  </si>
  <si>
    <t>NGC4450</t>
  </si>
  <si>
    <t>NGC4490</t>
  </si>
  <si>
    <t>NGC4494</t>
  </si>
  <si>
    <t>NGC4517</t>
  </si>
  <si>
    <t>NGC4526</t>
  </si>
  <si>
    <t>NGC4527</t>
  </si>
  <si>
    <t>NGC4535</t>
  </si>
  <si>
    <t>NGC4559</t>
  </si>
  <si>
    <t>NGC4567</t>
  </si>
  <si>
    <t>NGC4631</t>
  </si>
  <si>
    <t>NGC4636</t>
  </si>
  <si>
    <t>NGC4651</t>
  </si>
  <si>
    <t>NGC4656</t>
  </si>
  <si>
    <t>NGC4664</t>
  </si>
  <si>
    <t>NGC4666</t>
  </si>
  <si>
    <t>NGC4676</t>
  </si>
  <si>
    <t>NGC4697</t>
  </si>
  <si>
    <t>NGC4699</t>
  </si>
  <si>
    <t>NGC4725</t>
  </si>
  <si>
    <t>NGC4753</t>
  </si>
  <si>
    <t>NGC4755</t>
  </si>
  <si>
    <t>NGC4762</t>
  </si>
  <si>
    <t>NGC4833</t>
  </si>
  <si>
    <t>NGC4945</t>
  </si>
  <si>
    <t>NGC4976</t>
  </si>
  <si>
    <t>NGC5005</t>
  </si>
  <si>
    <t>NGC5033</t>
  </si>
  <si>
    <t>NGC5053</t>
  </si>
  <si>
    <t>NGC5068</t>
  </si>
  <si>
    <t>NGC5102</t>
  </si>
  <si>
    <t>NGC5128</t>
  </si>
  <si>
    <t>NGC5139</t>
  </si>
  <si>
    <t>NGC5189</t>
  </si>
  <si>
    <t>NGC5216</t>
  </si>
  <si>
    <t>NGC5248</t>
  </si>
  <si>
    <t>NGC5257</t>
  </si>
  <si>
    <t>NGC5286</t>
  </si>
  <si>
    <t>NGC5307</t>
  </si>
  <si>
    <t>NGC5315</t>
  </si>
  <si>
    <t>NGC5363</t>
  </si>
  <si>
    <t>NGC5367</t>
  </si>
  <si>
    <t>NGC5371</t>
  </si>
  <si>
    <t>NGC5395</t>
  </si>
  <si>
    <t>NGC5426</t>
  </si>
  <si>
    <t>NGC5466</t>
  </si>
  <si>
    <t>NGC5474</t>
  </si>
  <si>
    <t>NGC5566</t>
  </si>
  <si>
    <t>NGC5634</t>
  </si>
  <si>
    <t>NGC5694</t>
  </si>
  <si>
    <t>NGC5823</t>
  </si>
  <si>
    <t>NGC5824</t>
  </si>
  <si>
    <t>NGC5850</t>
  </si>
  <si>
    <t>NGC5882</t>
  </si>
  <si>
    <t>NGC5897</t>
  </si>
  <si>
    <t>NGC5906</t>
  </si>
  <si>
    <t>NGC5927</t>
  </si>
  <si>
    <t>NGC5946</t>
  </si>
  <si>
    <t>NGC5982</t>
  </si>
  <si>
    <t>NGC5986</t>
  </si>
  <si>
    <t>NGC6025</t>
  </si>
  <si>
    <t>NGC6027</t>
  </si>
  <si>
    <t>NGC6050</t>
  </si>
  <si>
    <t>NGC6087</t>
  </si>
  <si>
    <t>NGC6101</t>
  </si>
  <si>
    <t>NGC6124</t>
  </si>
  <si>
    <t>NGC6139</t>
  </si>
  <si>
    <t>NGC6144</t>
  </si>
  <si>
    <t>NGC6188</t>
  </si>
  <si>
    <t>NGC6210</t>
  </si>
  <si>
    <t>NGC6229</t>
  </si>
  <si>
    <t>NGC6231</t>
  </si>
  <si>
    <t>NGC6235</t>
  </si>
  <si>
    <t>NGC6240</t>
  </si>
  <si>
    <t>NGC6284</t>
  </si>
  <si>
    <t>NGC6287</t>
  </si>
  <si>
    <t>NGC6293</t>
  </si>
  <si>
    <t>NGC6302</t>
  </si>
  <si>
    <t>NGC6304</t>
  </si>
  <si>
    <t>NGC6309</t>
  </si>
  <si>
    <t>NGC6316</t>
  </si>
  <si>
    <t>NGC6325</t>
  </si>
  <si>
    <t>NGC6334</t>
  </si>
  <si>
    <t>NGC6337</t>
  </si>
  <si>
    <t>NGC6342</t>
  </si>
  <si>
    <t>NGC6352</t>
  </si>
  <si>
    <t>NGC6355</t>
  </si>
  <si>
    <t>NGC6356</t>
  </si>
  <si>
    <t>NGC6357</t>
  </si>
  <si>
    <t>NGC6362</t>
  </si>
  <si>
    <t>NGC6366</t>
  </si>
  <si>
    <t>NGC6369</t>
  </si>
  <si>
    <t>NGC6388</t>
  </si>
  <si>
    <t>NGC6397</t>
  </si>
  <si>
    <t>NGC6401</t>
  </si>
  <si>
    <t>NGC6440</t>
  </si>
  <si>
    <t>NGC6441</t>
  </si>
  <si>
    <t>NGC6445</t>
  </si>
  <si>
    <t>NGC6496</t>
  </si>
  <si>
    <t>NGC6503</t>
  </si>
  <si>
    <t>NGC6517</t>
  </si>
  <si>
    <t>NGC6522</t>
  </si>
  <si>
    <t>NGC6535</t>
  </si>
  <si>
    <t>NGC6537</t>
  </si>
  <si>
    <t>NGC6539</t>
  </si>
  <si>
    <t>NGC6541</t>
  </si>
  <si>
    <t>NGC6543</t>
  </si>
  <si>
    <t>NGC6544</t>
  </si>
  <si>
    <t>NGC6553</t>
  </si>
  <si>
    <t>NGC6563</t>
  </si>
  <si>
    <t>NGC6565</t>
  </si>
  <si>
    <t>NGC6569</t>
  </si>
  <si>
    <t>NGC6572</t>
  </si>
  <si>
    <t>NGC6584</t>
  </si>
  <si>
    <t>NGC6590</t>
  </si>
  <si>
    <t>NGC6621</t>
  </si>
  <si>
    <t>NGC6624</t>
  </si>
  <si>
    <t>NGC6633</t>
  </si>
  <si>
    <t>NGC6638</t>
  </si>
  <si>
    <t>NGC6642</t>
  </si>
  <si>
    <t>NGC6652</t>
  </si>
  <si>
    <t>NGC6712</t>
  </si>
  <si>
    <t>NGC6717</t>
  </si>
  <si>
    <t>NGC6726</t>
  </si>
  <si>
    <t>NGC6741</t>
  </si>
  <si>
    <t>NGC6744</t>
  </si>
  <si>
    <t>NGC6749</t>
  </si>
  <si>
    <t>NGC6751</t>
  </si>
  <si>
    <t>NGC6752</t>
  </si>
  <si>
    <t>NGC6760</t>
  </si>
  <si>
    <t>NGC6769</t>
  </si>
  <si>
    <t>NGC6781</t>
  </si>
  <si>
    <t>NGC6818</t>
  </si>
  <si>
    <t>NGC6822</t>
  </si>
  <si>
    <t>NGC6823</t>
  </si>
  <si>
    <t>NGC6826</t>
  </si>
  <si>
    <t>NGC6868</t>
  </si>
  <si>
    <t>NGC6872</t>
  </si>
  <si>
    <t>NGC6884</t>
  </si>
  <si>
    <t>NGC6888</t>
  </si>
  <si>
    <t>NGC6891</t>
  </si>
  <si>
    <t>NGC6894</t>
  </si>
  <si>
    <t>NGC6905</t>
  </si>
  <si>
    <t>NGC6914</t>
  </si>
  <si>
    <t>NGC6934</t>
  </si>
  <si>
    <t>NGC6946</t>
  </si>
  <si>
    <t>NGC6951</t>
  </si>
  <si>
    <t>NGC6960</t>
  </si>
  <si>
    <t>NGC7000</t>
  </si>
  <si>
    <t>NGC7006</t>
  </si>
  <si>
    <t>NGC7008</t>
  </si>
  <si>
    <t>NGC7009</t>
  </si>
  <si>
    <t>NGC7023</t>
  </si>
  <si>
    <t>NGC7026</t>
  </si>
  <si>
    <t>NGC7027</t>
  </si>
  <si>
    <t>NGC7048</t>
  </si>
  <si>
    <t>NGC7129</t>
  </si>
  <si>
    <t>NGC7139</t>
  </si>
  <si>
    <t>NGC7293</t>
  </si>
  <si>
    <t>NGC7318</t>
  </si>
  <si>
    <t>NGC7331</t>
  </si>
  <si>
    <t>NGC7354</t>
  </si>
  <si>
    <t>NGC7380</t>
  </si>
  <si>
    <t>NGC7424</t>
  </si>
  <si>
    <t>NGC7479</t>
  </si>
  <si>
    <t>NGC7492</t>
  </si>
  <si>
    <t>NGC7497</t>
  </si>
  <si>
    <t>NGC7538</t>
  </si>
  <si>
    <t>NGC7619</t>
  </si>
  <si>
    <t>NGC7590</t>
  </si>
  <si>
    <t>NGC7635</t>
  </si>
  <si>
    <t>NGC7640</t>
  </si>
  <si>
    <t>NGC7662</t>
  </si>
  <si>
    <t>NGC7714</t>
  </si>
  <si>
    <t>NGC7741</t>
  </si>
  <si>
    <t>NGC7742</t>
  </si>
  <si>
    <t>NGC7789</t>
  </si>
  <si>
    <t>NGC7793</t>
  </si>
  <si>
    <t>NGC7814</t>
  </si>
  <si>
    <t>NGC7822</t>
  </si>
  <si>
    <t>IC10</t>
  </si>
  <si>
    <t>IC239</t>
  </si>
  <si>
    <t>IC289</t>
  </si>
  <si>
    <t>IC342</t>
  </si>
  <si>
    <t>IC348</t>
  </si>
  <si>
    <t>IC405</t>
  </si>
  <si>
    <t>IC410</t>
  </si>
  <si>
    <t>IC418</t>
  </si>
  <si>
    <t>IC423</t>
  </si>
  <si>
    <t>IC434</t>
  </si>
  <si>
    <t>IC883</t>
  </si>
  <si>
    <t>IC1276</t>
  </si>
  <si>
    <t>IC1287</t>
  </si>
  <si>
    <t>IC1295</t>
  </si>
  <si>
    <t>IC1396</t>
  </si>
  <si>
    <t>IC1505</t>
  </si>
  <si>
    <t>IC1613</t>
  </si>
  <si>
    <t>IC2118</t>
  </si>
  <si>
    <t>IC2162</t>
  </si>
  <si>
    <t>IC2169</t>
  </si>
  <si>
    <t>IC2177</t>
  </si>
  <si>
    <t>IC2220</t>
  </si>
  <si>
    <t>IC2395</t>
  </si>
  <si>
    <t>IC2574</t>
  </si>
  <si>
    <t>IC2631</t>
  </si>
  <si>
    <t>IC2944</t>
  </si>
  <si>
    <t>IC3568</t>
  </si>
  <si>
    <t>IC4406</t>
  </si>
  <si>
    <t>IC4499</t>
  </si>
  <si>
    <t>IC4592</t>
  </si>
  <si>
    <t>IC4593</t>
  </si>
  <si>
    <t>IC4601</t>
  </si>
  <si>
    <t>IC4628</t>
  </si>
  <si>
    <t>IC4634</t>
  </si>
  <si>
    <t>IC4756</t>
  </si>
  <si>
    <t>IC4954</t>
  </si>
  <si>
    <t>IC5076</t>
  </si>
  <si>
    <t>IC5146</t>
  </si>
  <si>
    <t>LDN66</t>
  </si>
  <si>
    <t>LDN 66</t>
  </si>
  <si>
    <t>LDN688</t>
  </si>
  <si>
    <t>LDN1082</t>
  </si>
  <si>
    <t>LDN1165</t>
  </si>
  <si>
    <t>LDN1491</t>
  </si>
  <si>
    <t>SH2-1</t>
  </si>
  <si>
    <t>SH2-54</t>
  </si>
  <si>
    <t>SH2-71</t>
  </si>
  <si>
    <t>SH2-73</t>
  </si>
  <si>
    <t>SH2-80</t>
  </si>
  <si>
    <t>SH2-82</t>
  </si>
  <si>
    <t>SH2-91</t>
  </si>
  <si>
    <t>SH2-106</t>
  </si>
  <si>
    <t>SH2-113</t>
  </si>
  <si>
    <t>SH2-115</t>
  </si>
  <si>
    <t>SH2-119</t>
  </si>
  <si>
    <t>SH2-124</t>
  </si>
  <si>
    <t>SH2-129</t>
  </si>
  <si>
    <t>SH2-135</t>
  </si>
  <si>
    <t>SH2-136</t>
  </si>
  <si>
    <t>SH2-140</t>
  </si>
  <si>
    <t>SH2-155</t>
  </si>
  <si>
    <t>SH2-157</t>
  </si>
  <si>
    <t>SH2-170</t>
  </si>
  <si>
    <t>SH2-173</t>
  </si>
  <si>
    <t>SH2-174</t>
  </si>
  <si>
    <t>SH2-188</t>
  </si>
  <si>
    <t>SH2-191</t>
  </si>
  <si>
    <t>SH2-235</t>
  </si>
  <si>
    <t>SH2-239</t>
  </si>
  <si>
    <t>SH2-240</t>
  </si>
  <si>
    <t>SH2-247</t>
  </si>
  <si>
    <t>SH2-261</t>
  </si>
  <si>
    <t>SH2-263</t>
  </si>
  <si>
    <t>SH2-264</t>
  </si>
  <si>
    <t>SH2-280</t>
  </si>
  <si>
    <t>SH2-282</t>
  </si>
  <si>
    <t>SH2-284</t>
  </si>
  <si>
    <t>SH2-301</t>
  </si>
  <si>
    <t>SH2-308</t>
  </si>
  <si>
    <t>SH2-313</t>
  </si>
  <si>
    <t>RCW 29</t>
  </si>
  <si>
    <t>RCW 32</t>
  </si>
  <si>
    <t>RCW 38</t>
  </si>
  <si>
    <t>RCW 49</t>
  </si>
  <si>
    <t>RCW 53</t>
  </si>
  <si>
    <t>RCW 58</t>
  </si>
  <si>
    <t>RCW 77</t>
  </si>
  <si>
    <t>RCW 86</t>
  </si>
  <si>
    <t>RCW 89</t>
  </si>
  <si>
    <t>RCW 98</t>
  </si>
  <si>
    <t>RCW 100</t>
  </si>
  <si>
    <t>RCW 101</t>
  </si>
  <si>
    <t>RCW 158</t>
  </si>
  <si>
    <t>LDN 43</t>
  </si>
  <si>
    <t>LDN 1251</t>
  </si>
  <si>
    <t>LDN 1622</t>
  </si>
  <si>
    <t>y Cas-Nebel</t>
  </si>
  <si>
    <t>UGC1810</t>
  </si>
  <si>
    <t>UGC3697</t>
  </si>
  <si>
    <t>UGC4305</t>
  </si>
  <si>
    <t>UGC5373</t>
  </si>
  <si>
    <t>UGC5470</t>
  </si>
  <si>
    <t>UGC6253</t>
  </si>
  <si>
    <t>UGC8335</t>
  </si>
  <si>
    <t>UGC9618</t>
  </si>
  <si>
    <t>UGC9749</t>
  </si>
  <si>
    <t>UGC9792</t>
  </si>
  <si>
    <t>UGC10214</t>
  </si>
  <si>
    <t>UGC10822</t>
  </si>
  <si>
    <t>UGC11668</t>
  </si>
  <si>
    <t>UGC12613</t>
  </si>
  <si>
    <t>PGC143</t>
  </si>
  <si>
    <t>PGC2248</t>
  </si>
  <si>
    <t>PGC3589</t>
  </si>
  <si>
    <t>PGC6830</t>
  </si>
  <si>
    <t>PGC10074</t>
  </si>
  <si>
    <t>PGC29653</t>
  </si>
  <si>
    <t>PGC33423</t>
  </si>
  <si>
    <t>PGC47847</t>
  </si>
  <si>
    <t>PGC54392</t>
  </si>
  <si>
    <t>PGC3074547</t>
  </si>
  <si>
    <t>LBN437</t>
  </si>
  <si>
    <t>LBN438</t>
  </si>
  <si>
    <t>LBN550</t>
  </si>
  <si>
    <t>LBN782</t>
  </si>
  <si>
    <t>VDB14</t>
  </si>
  <si>
    <t>VDb15</t>
  </si>
  <si>
    <t>VDB123</t>
  </si>
  <si>
    <t>VDB152</t>
  </si>
  <si>
    <t>VDB158</t>
  </si>
  <si>
    <t>Abell31</t>
  </si>
  <si>
    <t xml:space="preserve">Abell33 </t>
  </si>
  <si>
    <t>Abell39</t>
  </si>
  <si>
    <t>Abell85</t>
  </si>
  <si>
    <t>CED211</t>
  </si>
  <si>
    <t>DWB20</t>
  </si>
  <si>
    <t>DWB111</t>
  </si>
  <si>
    <t>Calabash</t>
  </si>
  <si>
    <t>Cassiopeia A</t>
  </si>
  <si>
    <t>Frosty Leo</t>
  </si>
  <si>
    <t>SH2-108</t>
  </si>
  <si>
    <t>Jones-Emberson1</t>
  </si>
  <si>
    <t>SH2-274</t>
  </si>
  <si>
    <t xml:space="preserve">Necklace </t>
  </si>
  <si>
    <t>Red Rectangle</t>
  </si>
  <si>
    <t>LDN1235</t>
  </si>
  <si>
    <t>PN G104.2-29.6</t>
  </si>
  <si>
    <t>ARP 248</t>
  </si>
  <si>
    <t>HD 191765</t>
  </si>
  <si>
    <t>Abell1656</t>
  </si>
  <si>
    <t>Abell2151</t>
  </si>
  <si>
    <t>Abell1060</t>
  </si>
  <si>
    <t>Abell1020</t>
  </si>
  <si>
    <t>Abell426</t>
  </si>
  <si>
    <t>8'x4'</t>
  </si>
  <si>
    <t>16'</t>
  </si>
  <si>
    <t>18'</t>
  </si>
  <si>
    <t>23'</t>
  </si>
  <si>
    <t>25'</t>
  </si>
  <si>
    <t>80'</t>
  </si>
  <si>
    <t>90'x40'</t>
  </si>
  <si>
    <t>12'</t>
  </si>
  <si>
    <t>20'</t>
  </si>
  <si>
    <t>14'</t>
  </si>
  <si>
    <t>20'x7'</t>
  </si>
  <si>
    <t>11'</t>
  </si>
  <si>
    <t>120'x25'</t>
  </si>
  <si>
    <t>7'</t>
  </si>
  <si>
    <t>17'</t>
  </si>
  <si>
    <t>32'</t>
  </si>
  <si>
    <t>90x60'</t>
  </si>
  <si>
    <t>26'</t>
  </si>
  <si>
    <t>8'x5'</t>
  </si>
  <si>
    <t>189'x61'</t>
  </si>
  <si>
    <t>69'x41'</t>
  </si>
  <si>
    <t>15'</t>
  </si>
  <si>
    <t>31'</t>
  </si>
  <si>
    <t>39'</t>
  </si>
  <si>
    <t>90'x60'</t>
  </si>
  <si>
    <t>70'</t>
  </si>
  <si>
    <t>110'</t>
  </si>
  <si>
    <t>30'</t>
  </si>
  <si>
    <t>10'x8'</t>
  </si>
  <si>
    <t>11'x8'</t>
  </si>
  <si>
    <t>19'</t>
  </si>
  <si>
    <t>9'</t>
  </si>
  <si>
    <t>4'x3'</t>
  </si>
  <si>
    <t>9'x5'</t>
  </si>
  <si>
    <t>5'x4'</t>
  </si>
  <si>
    <t>7'x6'</t>
  </si>
  <si>
    <t>9'x6'</t>
  </si>
  <si>
    <t>13'x7'</t>
  </si>
  <si>
    <t>9'x4'</t>
  </si>
  <si>
    <t>9'x2,5'</t>
  </si>
  <si>
    <t>8'</t>
  </si>
  <si>
    <t>6'</t>
  </si>
  <si>
    <t>2,8'</t>
  </si>
  <si>
    <t>10'x30'</t>
  </si>
  <si>
    <t>7'x2'</t>
  </si>
  <si>
    <t>3'x2,3'</t>
  </si>
  <si>
    <t>8'x6'</t>
  </si>
  <si>
    <t>9'36"</t>
  </si>
  <si>
    <t>26'x14'</t>
  </si>
  <si>
    <t>11'x4'</t>
  </si>
  <si>
    <t>13'x11'</t>
  </si>
  <si>
    <t>6'x5'</t>
  </si>
  <si>
    <t>7'x5,5'</t>
  </si>
  <si>
    <t>7'x3,6'</t>
  </si>
  <si>
    <t>5'x5'</t>
  </si>
  <si>
    <t>9'x4,5'</t>
  </si>
  <si>
    <t>11'x9'</t>
  </si>
  <si>
    <t>3'</t>
  </si>
  <si>
    <t>7'x5'</t>
  </si>
  <si>
    <t>10'x3'</t>
  </si>
  <si>
    <t>7,4'x6,2'</t>
  </si>
  <si>
    <t>29'x27'</t>
  </si>
  <si>
    <t>6,6'x3'</t>
  </si>
  <si>
    <t>8,6'x3,5'</t>
  </si>
  <si>
    <t>5,4'x4,8'</t>
  </si>
  <si>
    <t>18,6'x7,2'</t>
  </si>
  <si>
    <t>8,8'x2,2'</t>
  </si>
  <si>
    <t>7,6'x4,8'</t>
  </si>
  <si>
    <t>0,6'</t>
  </si>
  <si>
    <t>3,8'</t>
  </si>
  <si>
    <t>3,4'x5,6'</t>
  </si>
  <si>
    <t>1,5'</t>
  </si>
  <si>
    <t>1,7'</t>
  </si>
  <si>
    <t>0,7'x0,5'</t>
  </si>
  <si>
    <t>5,5'x1,7'</t>
  </si>
  <si>
    <t>13'x8'</t>
  </si>
  <si>
    <t>11,8'x10'</t>
  </si>
  <si>
    <t>4,0′ × 3,5′</t>
  </si>
  <si>
    <t>21x6,9'</t>
  </si>
  <si>
    <t>27,3'x6,8'</t>
  </si>
  <si>
    <t>35'x30'</t>
  </si>
  <si>
    <t>2,5'x1,7'</t>
  </si>
  <si>
    <t>1'x15,5'</t>
  </si>
  <si>
    <t>14′</t>
  </si>
  <si>
    <t xml:space="preserve">2' </t>
  </si>
  <si>
    <t>4'x4'</t>
  </si>
  <si>
    <t>2,5'x1,3'</t>
  </si>
  <si>
    <t>1,4'x1,0'</t>
  </si>
  <si>
    <t>1,3'x1,4'</t>
  </si>
  <si>
    <t>4,8'x2,8'</t>
  </si>
  <si>
    <t>5'</t>
  </si>
  <si>
    <t>2'x0,5'</t>
  </si>
  <si>
    <t>6'x2'</t>
  </si>
  <si>
    <t>3'x2,4'</t>
  </si>
  <si>
    <t>75'</t>
  </si>
  <si>
    <t>4,8'x3,8'</t>
  </si>
  <si>
    <t>13'x2'</t>
  </si>
  <si>
    <t>5,8'x3,1'</t>
  </si>
  <si>
    <t>2,6'x1,5</t>
  </si>
  <si>
    <t>7,3'x3,2'</t>
  </si>
  <si>
    <t>4,3' × 3,8'</t>
  </si>
  <si>
    <t>5,8'x2,2'</t>
  </si>
  <si>
    <t>2,'6x2,1'</t>
  </si>
  <si>
    <t>4,7'x2,2'</t>
  </si>
  <si>
    <t>6'x3,3'</t>
  </si>
  <si>
    <t>5,4'x4,5'</t>
  </si>
  <si>
    <t>11'x3'</t>
  </si>
  <si>
    <t>7'x3'</t>
  </si>
  <si>
    <t>6'x3'</t>
  </si>
  <si>
    <t>9'x7'</t>
  </si>
  <si>
    <t>6,4'</t>
  </si>
  <si>
    <t>5,5'x4'</t>
  </si>
  <si>
    <t>4,4'x4'</t>
  </si>
  <si>
    <t>3,7'x3,6'</t>
  </si>
  <si>
    <t>5,3'x3,2'</t>
  </si>
  <si>
    <t>160′ × 40′</t>
  </si>
  <si>
    <t>1'</t>
  </si>
  <si>
    <t>3,3'x1,3'</t>
  </si>
  <si>
    <t>5,7'x1,7'</t>
  </si>
  <si>
    <t>0,9'</t>
  </si>
  <si>
    <t>3'x2,7'</t>
  </si>
  <si>
    <t>1,0'</t>
  </si>
  <si>
    <t>7'x2,5'</t>
  </si>
  <si>
    <t>4,5'x4,3'</t>
  </si>
  <si>
    <t>3,4'x1,5'</t>
  </si>
  <si>
    <t>5,0'</t>
  </si>
  <si>
    <t>3,4'x2,3'</t>
  </si>
  <si>
    <t>12'x8'</t>
  </si>
  <si>
    <t>6,7x5,6'</t>
  </si>
  <si>
    <t>5,0'x3,0'</t>
  </si>
  <si>
    <t>5,2'x2,6'</t>
  </si>
  <si>
    <t>6,5'x3,9'</t>
  </si>
  <si>
    <t>12,0'</t>
  </si>
  <si>
    <t>6,0'</t>
  </si>
  <si>
    <t>42,0′ × 19,0′</t>
  </si>
  <si>
    <t>0,65'</t>
  </si>
  <si>
    <t>5,4'x2,9'</t>
  </si>
  <si>
    <t>2,0'x2,0'</t>
  </si>
  <si>
    <t>40,0x30,0'</t>
  </si>
  <si>
    <t>3,9'x2,2'</t>
  </si>
  <si>
    <t>2,1'</t>
  </si>
  <si>
    <t>24,0'</t>
  </si>
  <si>
    <t>3,0'x1,0'</t>
  </si>
  <si>
    <t>40,0'</t>
  </si>
  <si>
    <t>3,0'</t>
  </si>
  <si>
    <t>2,8'x2,0'</t>
  </si>
  <si>
    <t>0,87'</t>
  </si>
  <si>
    <t>9,0'x6,0'</t>
  </si>
  <si>
    <t>8,1'x3,0'</t>
  </si>
  <si>
    <t>1,03'</t>
  </si>
  <si>
    <t>23,4'x11.8'</t>
  </si>
  <si>
    <t>4,6'</t>
  </si>
  <si>
    <t>2,4x2,2</t>
  </si>
  <si>
    <t>1,32'</t>
  </si>
  <si>
    <t>22'</t>
  </si>
  <si>
    <t>6,5'x1,4'</t>
  </si>
  <si>
    <t>4,9'x4,1'</t>
  </si>
  <si>
    <t>3,6'x3,3'</t>
  </si>
  <si>
    <t>4,6'x2,5'</t>
  </si>
  <si>
    <t>2,4'x0,7'</t>
  </si>
  <si>
    <t>9,3'x2,1'</t>
  </si>
  <si>
    <t>20'x2'</t>
  </si>
  <si>
    <t>6,4'x3,0'</t>
  </si>
  <si>
    <t>4,3'x3,3'</t>
  </si>
  <si>
    <t>6,3'x4,8'</t>
  </si>
  <si>
    <t>14,0'</t>
  </si>
  <si>
    <t>8,0'x8,0'</t>
  </si>
  <si>
    <t>8,1'x3,5'</t>
  </si>
  <si>
    <t>0,4'</t>
  </si>
  <si>
    <t>1,95'x1,0'</t>
  </si>
  <si>
    <t>12,6'x6,0'</t>
  </si>
  <si>
    <t>1,3'x0,5'</t>
  </si>
  <si>
    <t>5,9'x2,7'</t>
  </si>
  <si>
    <t>4,6'x3,4'</t>
  </si>
  <si>
    <t>8,9'x6,8'</t>
  </si>
  <si>
    <t>5,2'x4,7'</t>
  </si>
  <si>
    <t>8,1'x1,3'</t>
  </si>
  <si>
    <t>19,1'x3,7'</t>
  </si>
  <si>
    <t>35'</t>
  </si>
  <si>
    <t>7,2'x2,4'</t>
  </si>
  <si>
    <t>1,47'</t>
  </si>
  <si>
    <t>4,8'x2,3'</t>
  </si>
  <si>
    <t>6,7'x5,7'</t>
  </si>
  <si>
    <t>4,4'x1,5'</t>
  </si>
  <si>
    <t>8,5'x3,3'</t>
  </si>
  <si>
    <t>0,32'</t>
  </si>
  <si>
    <t>4,1x3,9'</t>
  </si>
  <si>
    <t>1,07'</t>
  </si>
  <si>
    <t>3,1x2,4'</t>
  </si>
  <si>
    <t>1,5x0,5'</t>
  </si>
  <si>
    <t>7,1x6,6'</t>
  </si>
  <si>
    <t>7,2x4,4'</t>
  </si>
  <si>
    <t>7,1x5,2'</t>
  </si>
  <si>
    <t>3,0x3,0'</t>
  </si>
  <si>
    <t>2,7x2,1'</t>
  </si>
  <si>
    <t>11,2x5,4'</t>
  </si>
  <si>
    <t>50'</t>
  </si>
  <si>
    <t>0,8x0,8'</t>
  </si>
  <si>
    <t>7,0'</t>
  </si>
  <si>
    <t>4,0'</t>
  </si>
  <si>
    <t>12,3x6,8'</t>
  </si>
  <si>
    <t>2,7x1,9'</t>
  </si>
  <si>
    <t>13,1x3,1'</t>
  </si>
  <si>
    <t>4,0x3,2'</t>
  </si>
  <si>
    <t>1,6x1,4'</t>
  </si>
  <si>
    <t>0,75'</t>
  </si>
  <si>
    <t>8,1x4,0'</t>
  </si>
  <si>
    <t>6,0x4,1'</t>
  </si>
  <si>
    <t>0,5x0,4'</t>
  </si>
  <si>
    <t>2,1x1,1'</t>
  </si>
  <si>
    <t>1,6x0,9'</t>
  </si>
  <si>
    <t>4,5x2,8</t>
  </si>
  <si>
    <t>0,38'</t>
  </si>
  <si>
    <t>5,9x3,9'</t>
  </si>
  <si>
    <t>5,4x4,9'</t>
  </si>
  <si>
    <t>6,9x3,6'</t>
  </si>
  <si>
    <t>3,4x1,7'</t>
  </si>
  <si>
    <t>6,5x1,8'</t>
  </si>
  <si>
    <t>4,4'</t>
  </si>
  <si>
    <t>6,3x4,5'</t>
  </si>
  <si>
    <t>6,7x1,2'</t>
  </si>
  <si>
    <t>4,4'x0,8'</t>
  </si>
  <si>
    <t>1,1x0,8'</t>
  </si>
  <si>
    <t>8,0x6,6'</t>
  </si>
  <si>
    <t>21,9x7,2'</t>
  </si>
  <si>
    <t>16,6x1,9'</t>
  </si>
  <si>
    <t>6,8x2,4'</t>
  </si>
  <si>
    <t>3,2x1,9'</t>
  </si>
  <si>
    <t>3,4x3,2</t>
  </si>
  <si>
    <t>13,2x11,0'</t>
  </si>
  <si>
    <t>4,4'x3,0'</t>
  </si>
  <si>
    <t>6,2x4,4'</t>
  </si>
  <si>
    <t>5,4x4,1</t>
  </si>
  <si>
    <t>6,4x3,2</t>
  </si>
  <si>
    <t>4,8x3,5'</t>
  </si>
  <si>
    <t>10,5x1,5'</t>
  </si>
  <si>
    <t>7,0x2,5'</t>
  </si>
  <si>
    <t>6,2x2,1'</t>
  </si>
  <si>
    <t>7,1x5,0'</t>
  </si>
  <si>
    <t>10,7x4,4'</t>
  </si>
  <si>
    <t>15,8x2,1'</t>
  </si>
  <si>
    <t>3,1x2,2</t>
  </si>
  <si>
    <t>15,2x2,8'</t>
  </si>
  <si>
    <t>5,9x4,6'</t>
  </si>
  <si>
    <t>4,0x2,7'</t>
  </si>
  <si>
    <t>15,3x2,4'</t>
  </si>
  <si>
    <t>3,5x3,5'</t>
  </si>
  <si>
    <t>4,5x1,4'</t>
  </si>
  <si>
    <t>1,4x0,6'</t>
  </si>
  <si>
    <t>7,2x4,7'</t>
  </si>
  <si>
    <t>3,8x2,8'</t>
  </si>
  <si>
    <t>10,7x7,6'</t>
  </si>
  <si>
    <t>6,0x2,8'</t>
  </si>
  <si>
    <t>10,0'</t>
  </si>
  <si>
    <t>8,7x1,7'</t>
  </si>
  <si>
    <t>19,8x4,0'</t>
  </si>
  <si>
    <t>5,6x3,0'</t>
  </si>
  <si>
    <t>5,8x2,9'</t>
  </si>
  <si>
    <t>10,7x5,0'</t>
  </si>
  <si>
    <t>7,3x6,4'</t>
  </si>
  <si>
    <t>8,6x2,7'</t>
  </si>
  <si>
    <t>25,7x20,0'</t>
  </si>
  <si>
    <t>55,0'</t>
  </si>
  <si>
    <t>2,33'</t>
  </si>
  <si>
    <t>1,8x1,2'</t>
  </si>
  <si>
    <t>6,2x4,5'</t>
  </si>
  <si>
    <t>1,6x0,8'</t>
  </si>
  <si>
    <t>11,0'</t>
  </si>
  <si>
    <t>0,3'</t>
  </si>
  <si>
    <t>0,23'</t>
  </si>
  <si>
    <t>4,1x2,6</t>
  </si>
  <si>
    <t>2,0x2,0'</t>
  </si>
  <si>
    <t>4,2x3,4'</t>
  </si>
  <si>
    <t>2,7x1,3'</t>
  </si>
  <si>
    <t>3,0x1,7</t>
  </si>
  <si>
    <t>9,0'</t>
  </si>
  <si>
    <t>4,7x4,7'</t>
  </si>
  <si>
    <t>6,6x2,3'</t>
  </si>
  <si>
    <t>5,5'</t>
  </si>
  <si>
    <t>4,3'</t>
  </si>
  <si>
    <t>7,4'</t>
  </si>
  <si>
    <t>4,5x3,9'</t>
  </si>
  <si>
    <t>0,33'</t>
  </si>
  <si>
    <t>8,5x1,4'</t>
  </si>
  <si>
    <t>2,6x1,9'</t>
  </si>
  <si>
    <t>9,6'</t>
  </si>
  <si>
    <t>0,7x0,5'</t>
  </si>
  <si>
    <t>0,9x0,6</t>
  </si>
  <si>
    <t>8,2'</t>
  </si>
  <si>
    <t>20,0x12,0'</t>
  </si>
  <si>
    <t>0,35'</t>
  </si>
  <si>
    <t>4,5'</t>
  </si>
  <si>
    <t>14,00'</t>
  </si>
  <si>
    <t>2,1x1,0'</t>
  </si>
  <si>
    <t>6,2'</t>
  </si>
  <si>
    <t>4,8'</t>
  </si>
  <si>
    <t>1,48'</t>
  </si>
  <si>
    <t>8,0'</t>
  </si>
  <si>
    <t>5,4'</t>
  </si>
  <si>
    <t>4,1'</t>
  </si>
  <si>
    <t>35x20'</t>
  </si>
  <si>
    <t>0,85'</t>
  </si>
  <si>
    <t>4,2'</t>
  </si>
  <si>
    <t>25x25'</t>
  </si>
  <si>
    <t>15,0'</t>
  </si>
  <si>
    <t>13,0'</t>
  </si>
  <si>
    <t>0,63'</t>
  </si>
  <si>
    <t>10,4'</t>
  </si>
  <si>
    <t>31,0'</t>
  </si>
  <si>
    <t>0,73'</t>
  </si>
  <si>
    <t>5,6'</t>
  </si>
  <si>
    <t>9,4'</t>
  </si>
  <si>
    <t>3,4'</t>
  </si>
  <si>
    <t>0,17'</t>
  </si>
  <si>
    <t>7,9'</t>
  </si>
  <si>
    <t>9,2'</t>
  </si>
  <si>
    <t>0,8'</t>
  </si>
  <si>
    <t>0,25'</t>
  </si>
  <si>
    <t>6,6'</t>
  </si>
  <si>
    <t>2,1x0,8'</t>
  </si>
  <si>
    <t>8,8'</t>
  </si>
  <si>
    <t>20,0'</t>
  </si>
  <si>
    <t>7,3'</t>
  </si>
  <si>
    <t>5,8'</t>
  </si>
  <si>
    <t>9,8'</t>
  </si>
  <si>
    <t>9,0x7,0'</t>
  </si>
  <si>
    <t>0,13'</t>
  </si>
  <si>
    <t>20,1x12,9'</t>
  </si>
  <si>
    <t>0,4'x0,3'</t>
  </si>
  <si>
    <t>29,0'</t>
  </si>
  <si>
    <t>2,2x1,5'</t>
  </si>
  <si>
    <t>1,9'</t>
  </si>
  <si>
    <t>0,77'</t>
  </si>
  <si>
    <t>15,4x14,2'</t>
  </si>
  <si>
    <t>0,5'x0,4'</t>
  </si>
  <si>
    <t>6,0x1,5'</t>
  </si>
  <si>
    <t>18,0x13,0'</t>
  </si>
  <si>
    <t>0,92'</t>
  </si>
  <si>
    <t>1,2'</t>
  </si>
  <si>
    <t>3,0'x3,0'</t>
  </si>
  <si>
    <t>7,1'</t>
  </si>
  <si>
    <t>11,5'x9,8'</t>
  </si>
  <si>
    <t>3'x2'</t>
  </si>
  <si>
    <t>70x6,0'</t>
  </si>
  <si>
    <t>120x100'</t>
  </si>
  <si>
    <t>3,6'</t>
  </si>
  <si>
    <t>1,43'</t>
  </si>
  <si>
    <t>0,58'</t>
  </si>
  <si>
    <t>10,0x8,0'</t>
  </si>
  <si>
    <t>0,2'x0,3'</t>
  </si>
  <si>
    <t>1,02'</t>
  </si>
  <si>
    <t>2,5x1,4'</t>
  </si>
  <si>
    <t>1,28'</t>
  </si>
  <si>
    <t>17,57'</t>
  </si>
  <si>
    <t>1,2x1,0'</t>
  </si>
  <si>
    <t>10,2'x4,2'</t>
  </si>
  <si>
    <t>9,5x8,1'</t>
  </si>
  <si>
    <t>4,0'x3,1'</t>
  </si>
  <si>
    <t>2,5x2,3'</t>
  </si>
  <si>
    <t>2,6x1,0</t>
  </si>
  <si>
    <t>15x8'</t>
  </si>
  <si>
    <t>10,5x1,8'</t>
  </si>
  <si>
    <t>0,62'</t>
  </si>
  <si>
    <t>1,9x1,4'</t>
  </si>
  <si>
    <t>4,5x2,9'</t>
  </si>
  <si>
    <t>1,7'x1,7'</t>
  </si>
  <si>
    <t>9,3x6,3'</t>
  </si>
  <si>
    <t>5,5x2,3'</t>
  </si>
  <si>
    <t>100'</t>
  </si>
  <si>
    <t>6,4x5,3'</t>
  </si>
  <si>
    <t>4,6x4,2'</t>
  </si>
  <si>
    <t>21,4x20,9'</t>
  </si>
  <si>
    <t>30x20'</t>
  </si>
  <si>
    <t>0,2'</t>
  </si>
  <si>
    <t>60x10'</t>
  </si>
  <si>
    <t>50x40'</t>
  </si>
  <si>
    <t>1,4x0,7'</t>
  </si>
  <si>
    <t>20x10'</t>
  </si>
  <si>
    <t>170x140'</t>
  </si>
  <si>
    <t>0,9x0,7'</t>
  </si>
  <si>
    <t>16,6x14,9'</t>
  </si>
  <si>
    <t>18,0'</t>
  </si>
  <si>
    <t>180x60'</t>
  </si>
  <si>
    <t>20x20'</t>
  </si>
  <si>
    <t>25x20'</t>
  </si>
  <si>
    <t>5,0x5,0'</t>
  </si>
  <si>
    <t>13,2x5,4</t>
  </si>
  <si>
    <t>n.v.</t>
  </si>
  <si>
    <t>40x20'</t>
  </si>
  <si>
    <t>1,77'</t>
  </si>
  <si>
    <t>150x60'</t>
  </si>
  <si>
    <t>0,7'</t>
  </si>
  <si>
    <t>20,0x10'</t>
  </si>
  <si>
    <t>40'</t>
  </si>
  <si>
    <t>10x10'</t>
  </si>
  <si>
    <t>100x50'</t>
  </si>
  <si>
    <t>60'</t>
  </si>
  <si>
    <t>90'</t>
  </si>
  <si>
    <t>90x10'</t>
  </si>
  <si>
    <t>60x30'</t>
  </si>
  <si>
    <t>2x1'</t>
  </si>
  <si>
    <t>60'x20'</t>
  </si>
  <si>
    <t>1x1'</t>
  </si>
  <si>
    <t>120x2'</t>
  </si>
  <si>
    <t>58x87'</t>
  </si>
  <si>
    <t>150'x90'</t>
  </si>
  <si>
    <t>60x90'</t>
  </si>
  <si>
    <t>120'</t>
  </si>
  <si>
    <t>61x92'</t>
  </si>
  <si>
    <t>22x15'</t>
  </si>
  <si>
    <t>15x10'</t>
  </si>
  <si>
    <t>35x25'</t>
  </si>
  <si>
    <t>50x30'</t>
  </si>
  <si>
    <t>58x88'</t>
  </si>
  <si>
    <t>52x78'</t>
  </si>
  <si>
    <t>2'</t>
  </si>
  <si>
    <t>57x85'</t>
  </si>
  <si>
    <t>180x180'</t>
  </si>
  <si>
    <t>42x30'</t>
  </si>
  <si>
    <t>400'</t>
  </si>
  <si>
    <t>40x15'</t>
  </si>
  <si>
    <t>60x50'</t>
  </si>
  <si>
    <t>40'x40'</t>
  </si>
  <si>
    <t>20x30'</t>
  </si>
  <si>
    <t>27'</t>
  </si>
  <si>
    <t>60x60'</t>
  </si>
  <si>
    <t>4'</t>
  </si>
  <si>
    <t>60'x60'</t>
  </si>
  <si>
    <t>30'x30'</t>
  </si>
  <si>
    <t>1,5x1,2'</t>
  </si>
  <si>
    <t>2,3x0,3'</t>
  </si>
  <si>
    <t>3x4'</t>
  </si>
  <si>
    <t>10'x10'</t>
  </si>
  <si>
    <t>20x12'</t>
  </si>
  <si>
    <t>13x11'</t>
  </si>
  <si>
    <t>0,3x0,3'</t>
  </si>
  <si>
    <t>37x23'</t>
  </si>
  <si>
    <t>5x3'</t>
  </si>
  <si>
    <t>8x4'</t>
  </si>
  <si>
    <t>0,37'</t>
  </si>
  <si>
    <t>4x4'</t>
  </si>
  <si>
    <t>54x43'</t>
  </si>
  <si>
    <t>5x5'</t>
  </si>
  <si>
    <t>0,28x0,13'</t>
  </si>
  <si>
    <t>10x2'</t>
  </si>
  <si>
    <t>1,5x0,8'</t>
  </si>
  <si>
    <t>75'x20'</t>
  </si>
  <si>
    <t>30'x5'</t>
  </si>
  <si>
    <t>180'x120'</t>
  </si>
  <si>
    <t>120x160'</t>
  </si>
  <si>
    <t>50x25'</t>
  </si>
  <si>
    <t>10x3'</t>
  </si>
  <si>
    <t>17x13'</t>
  </si>
  <si>
    <t>4,6x4,6'</t>
  </si>
  <si>
    <t>2,6x2,6'</t>
  </si>
  <si>
    <t>34x34'</t>
  </si>
  <si>
    <t>2x3'</t>
  </si>
  <si>
    <t>30x30'</t>
  </si>
  <si>
    <t>300'x300'</t>
  </si>
  <si>
    <t>0,5x0,1'</t>
  </si>
  <si>
    <t>0,2x0,5'</t>
  </si>
  <si>
    <t>300 sehr gross</t>
  </si>
  <si>
    <t>6x6'</t>
  </si>
  <si>
    <t>8'x9'</t>
  </si>
  <si>
    <t>0,15'x0,2'</t>
  </si>
  <si>
    <t>0,5x0,7'</t>
  </si>
  <si>
    <t>6x5'</t>
  </si>
  <si>
    <t>5,3'</t>
  </si>
  <si>
    <t>90x90'</t>
  </si>
  <si>
    <t>50x50'</t>
  </si>
  <si>
    <t>?</t>
  </si>
  <si>
    <t>Krabben Nebel</t>
  </si>
  <si>
    <t>Kugelsternhaufen</t>
  </si>
  <si>
    <t>Krebs Kugelsternhaufen</t>
  </si>
  <si>
    <t>Rosenhaufen</t>
  </si>
  <si>
    <t>Schmetterling Haufen</t>
  </si>
  <si>
    <t>Phantom Galaxie</t>
  </si>
  <si>
    <t>Lagunen Nebel</t>
  </si>
  <si>
    <t>Wildenten-Haufen</t>
  </si>
  <si>
    <t>Gummiball Haufen</t>
  </si>
  <si>
    <t>Herkuless Haufen</t>
  </si>
  <si>
    <t>Pegasus Haufen</t>
  </si>
  <si>
    <t>Adler Nebel</t>
  </si>
  <si>
    <t>Omega Nebel</t>
  </si>
  <si>
    <t>Schwarzer Schwan Haufen</t>
  </si>
  <si>
    <t>Trifid Nebel</t>
  </si>
  <si>
    <t>Webbs Kreuz</t>
  </si>
  <si>
    <t>Sagittarius Haufen</t>
  </si>
  <si>
    <t>Offener Sternhaufen</t>
  </si>
  <si>
    <t>Schütze Sternwolke</t>
  </si>
  <si>
    <t>Hantel Nebel</t>
  </si>
  <si>
    <t>Kühlturm Haufen</t>
  </si>
  <si>
    <t>Quallen Haufen</t>
  </si>
  <si>
    <t>Andromeda Galaxie</t>
  </si>
  <si>
    <t>Dreiecks Galaxie</t>
  </si>
  <si>
    <t>Spiral Haufen</t>
  </si>
  <si>
    <t>Schuhschnallen Haufen</t>
  </si>
  <si>
    <t>Feuerrad Haufen</t>
  </si>
  <si>
    <t>Salz u.Pfeffer Haufen</t>
  </si>
  <si>
    <t>Seestern Haufen</t>
  </si>
  <si>
    <t>Kleiner Bienekorb Haufen</t>
  </si>
  <si>
    <t>Großer Orion Nebel</t>
  </si>
  <si>
    <t>Bienekorb Haufen</t>
  </si>
  <si>
    <t>Plejaden</t>
  </si>
  <si>
    <t>Offener Sternhaufen mit PN NGC 2438</t>
  </si>
  <si>
    <t>Galaxie in Jungfrau</t>
  </si>
  <si>
    <t>Herzförmiger Haufen</t>
  </si>
  <si>
    <t>Whirlpool Galaxie</t>
  </si>
  <si>
    <t>Salz u Pfeffer Haufen Cassiopeia</t>
  </si>
  <si>
    <t>Sommer Rosenstern Haufen</t>
  </si>
  <si>
    <t>Ringnebel PN</t>
  </si>
  <si>
    <t xml:space="preserve">Galaxie </t>
  </si>
  <si>
    <t xml:space="preserve">Spiralgalaxie </t>
  </si>
  <si>
    <t>Flammender Kugelsternh.</t>
  </si>
  <si>
    <t xml:space="preserve">Sonnenblumen Galaxie </t>
  </si>
  <si>
    <t>Blaues Auge Galaxie</t>
  </si>
  <si>
    <t>Galaxie im Leo Triplett</t>
  </si>
  <si>
    <t xml:space="preserve">Golden Eye Haufen </t>
  </si>
  <si>
    <t>Anglerfisch Haufen</t>
  </si>
  <si>
    <t>Kleiner Hantelnebel</t>
  </si>
  <si>
    <t>Cetus A (NGC1068)</t>
  </si>
  <si>
    <t>Casper Geist Nebel</t>
  </si>
  <si>
    <t xml:space="preserve">Bodes Galaxie  NGC3031 </t>
  </si>
  <si>
    <t>Zigarren Galaxie NGC3034</t>
  </si>
  <si>
    <t>Südl. Feuerrad Galaxie</t>
  </si>
  <si>
    <t>Virgo Cluster</t>
  </si>
  <si>
    <t>Galaxie NGC4382</t>
  </si>
  <si>
    <t>Galaxie in Mark.Kette</t>
  </si>
  <si>
    <t>Galaxie NGC4552</t>
  </si>
  <si>
    <t>Galaxie NGC4548</t>
  </si>
  <si>
    <t>Galaxie NGC4570</t>
  </si>
  <si>
    <t xml:space="preserve">Crocs Auge Galaxie </t>
  </si>
  <si>
    <t>Galaxie NGC3351</t>
  </si>
  <si>
    <t>Galaxie NGC3368</t>
  </si>
  <si>
    <t>Eulen Nebel NGC3587</t>
  </si>
  <si>
    <t>Galaxie NGC4192</t>
  </si>
  <si>
    <t>Feuerrad Galaxie im Virgoh.</t>
  </si>
  <si>
    <t>Haarföhn Galaxie NGC4321</t>
  </si>
  <si>
    <t>Feuerrad Galaxie</t>
  </si>
  <si>
    <t>Spindel Galaxie</t>
  </si>
  <si>
    <t>Sombrero Galaxie</t>
  </si>
  <si>
    <t>Galaxie NGC3379</t>
  </si>
  <si>
    <t>Galaxie NGC4258</t>
  </si>
  <si>
    <t>Kruzifix Haufen</t>
  </si>
  <si>
    <t xml:space="preserve">Surfboard Galaxie </t>
  </si>
  <si>
    <t xml:space="preserve">Staubsauger Galaxie </t>
  </si>
  <si>
    <t>Mascherl Nebel C2</t>
  </si>
  <si>
    <t>Perlenschnur</t>
  </si>
  <si>
    <t>Segelboot Haufen</t>
  </si>
  <si>
    <t>Planetarischer Nebel</t>
  </si>
  <si>
    <t>Spiralgalaxie</t>
  </si>
  <si>
    <t>Sculptor-Galaxie</t>
  </si>
  <si>
    <t>Emissionsnebel</t>
  </si>
  <si>
    <t>Balkenspiralgalaxie</t>
  </si>
  <si>
    <t>ZwG Geist von Mirach</t>
  </si>
  <si>
    <t>Eulenhaufen</t>
  </si>
  <si>
    <t xml:space="preserve">2 Galaxie </t>
  </si>
  <si>
    <t>Reflexionsnebel</t>
  </si>
  <si>
    <t>PN</t>
  </si>
  <si>
    <t>Nebel HII</t>
  </si>
  <si>
    <t>Kaliforniennebel</t>
  </si>
  <si>
    <t>Haufen und Nebel</t>
  </si>
  <si>
    <t>Nördl Trifid Nebel</t>
  </si>
  <si>
    <t>Refl. Fledermausnebel</t>
  </si>
  <si>
    <t>Offener SH im Rosettenneb</t>
  </si>
  <si>
    <t>Hubble’s Variable Nebula</t>
  </si>
  <si>
    <t>OfSH im Konosnebel</t>
  </si>
  <si>
    <t>Eskimonebel PlanNeb</t>
  </si>
  <si>
    <t>Sternhaufen C25</t>
  </si>
  <si>
    <t>Insektennebel PlanNeb</t>
  </si>
  <si>
    <t>UFO-Galaxie</t>
  </si>
  <si>
    <t>Bleistift-Nebel SuNova</t>
  </si>
  <si>
    <t xml:space="preserve">irreg. Galaxie </t>
  </si>
  <si>
    <t>Kleine Feuerrad Galaxie</t>
  </si>
  <si>
    <t>Bananen Nebel HII Reg.</t>
  </si>
  <si>
    <t>Jupiters Geist Plan Neb</t>
  </si>
  <si>
    <t>2 Galaxie  X</t>
  </si>
  <si>
    <t>Ambartsumians Knoten Gal</t>
  </si>
  <si>
    <t>Hamburger Galaxie im Leo Triplet</t>
  </si>
  <si>
    <t>Copeland Septett</t>
  </si>
  <si>
    <t>Interag. Galaxie</t>
  </si>
  <si>
    <t>Antennen-Galaxie A</t>
  </si>
  <si>
    <t>Galaxie (4)</t>
  </si>
  <si>
    <t>Galaxie</t>
  </si>
  <si>
    <t>akt. Galaxie</t>
  </si>
  <si>
    <t xml:space="preserve">2 akt. Galaxie </t>
  </si>
  <si>
    <t>Walgalaxie</t>
  </si>
  <si>
    <t>2 Galaxie Mäuse</t>
  </si>
  <si>
    <t>Schmuckkästchen OfSH</t>
  </si>
  <si>
    <t>Radio Galaxie</t>
  </si>
  <si>
    <t>Galaxie (2)</t>
  </si>
  <si>
    <t>Splitter Galaxie</t>
  </si>
  <si>
    <t>Seyferts Sextett</t>
  </si>
  <si>
    <t>Diffusions Nebel</t>
  </si>
  <si>
    <t>Turtle Nebula Plan Neb</t>
  </si>
  <si>
    <t>Wanzen Nebel PN</t>
  </si>
  <si>
    <t>Boxen Nebel PN</t>
  </si>
  <si>
    <t>Cheerio Nebel PN</t>
  </si>
  <si>
    <t>Hummernebel Emiss.Neb</t>
  </si>
  <si>
    <t>Kleiner Geist PN</t>
  </si>
  <si>
    <t>Galaxie Verloren im Raum</t>
  </si>
  <si>
    <t>Rote Spinnen PN</t>
  </si>
  <si>
    <t>Südl.Ringnebel PN</t>
  </si>
  <si>
    <t>Smarad-Nebel Plan.Neb.</t>
  </si>
  <si>
    <t>OfSH + Emm.Nebel</t>
  </si>
  <si>
    <t>Edwards Galaxie</t>
  </si>
  <si>
    <t>Ameisenbärnebel Refl.N.</t>
  </si>
  <si>
    <t>Pusteblumen (Plan.) Nebel</t>
  </si>
  <si>
    <t>Schneekugel PN</t>
  </si>
  <si>
    <t>Edelstein PN</t>
  </si>
  <si>
    <t>Barnards (irreg.) Galaxie</t>
  </si>
  <si>
    <t>Blinkender PN</t>
  </si>
  <si>
    <t xml:space="preserve">Telescopium Haufen </t>
  </si>
  <si>
    <t>Kondor Galaxie</t>
  </si>
  <si>
    <t>Crescent (Emiss.) Nebel</t>
  </si>
  <si>
    <t>Kleiner Ring PN</t>
  </si>
  <si>
    <t>Blauer Blitz PN</t>
  </si>
  <si>
    <t>HII -Emiss.Nebel</t>
  </si>
  <si>
    <t>Filament-Nebel  SuNova</t>
  </si>
  <si>
    <t>Nordamerikanebel</t>
  </si>
  <si>
    <t>Fötus PN</t>
  </si>
  <si>
    <t>Saturnnebel PN</t>
  </si>
  <si>
    <t>Cheeseburger PN</t>
  </si>
  <si>
    <t>JuwelenKäfer PN</t>
  </si>
  <si>
    <t>Kuckuck-Nebel PN</t>
  </si>
  <si>
    <t>Kleiner Haufen ReflN</t>
  </si>
  <si>
    <t>Helixnebel PN</t>
  </si>
  <si>
    <t>Stephans Quintett Gal</t>
  </si>
  <si>
    <t>Galaxie (Gruppe)</t>
  </si>
  <si>
    <t>Wizard Nebula</t>
  </si>
  <si>
    <t>Grand Design Galaxie</t>
  </si>
  <si>
    <t>Hirnnebel mit SternH</t>
  </si>
  <si>
    <t>Blasennebel PN in HII Reg</t>
  </si>
  <si>
    <t>Blauer Schneeball PN</t>
  </si>
  <si>
    <t>Spiegelei Galaxie</t>
  </si>
  <si>
    <t>Fragezeichen Nebel HII Reg</t>
  </si>
  <si>
    <t>Starbust Galaxie</t>
  </si>
  <si>
    <t>OfSH+GNb Gingrich 1</t>
  </si>
  <si>
    <t>Flammensternnebel</t>
  </si>
  <si>
    <t>Kaulquappen Nebel EmNeb</t>
  </si>
  <si>
    <t>Spirographnebel PN</t>
  </si>
  <si>
    <t>Tränen Nebel Molekülwolke</t>
  </si>
  <si>
    <t>Pferdekopfnebel</t>
  </si>
  <si>
    <t>Quallen-Nebel SuNova</t>
  </si>
  <si>
    <t>HII blauer Nebel</t>
  </si>
  <si>
    <t xml:space="preserve">grüner PN  </t>
  </si>
  <si>
    <t>OSH in Eleph-Trunc Neb.</t>
  </si>
  <si>
    <t>Herznebel Emiss.Neb.</t>
  </si>
  <si>
    <t>Seelennebel Emiss.Neb.</t>
  </si>
  <si>
    <t>Hexenkopf-Nebel RefNeb</t>
  </si>
  <si>
    <t>HII Region Nebel</t>
  </si>
  <si>
    <t>Dreyer-Nebel Refl.Neb.</t>
  </si>
  <si>
    <t>Möwennebel Refl.Neb.</t>
  </si>
  <si>
    <t xml:space="preserve">Toby Jug Nebel </t>
  </si>
  <si>
    <t>Coddington-Nebel irr.Gal</t>
  </si>
  <si>
    <t>Rennendes Huhn Nebel HII</t>
  </si>
  <si>
    <t>Lemon-Slice-Nebel PN</t>
  </si>
  <si>
    <t>Retina-Nebel PN</t>
  </si>
  <si>
    <t>Plauer Pferdekopf RefNeb</t>
  </si>
  <si>
    <t>Weissaugenbohnen-PN</t>
  </si>
  <si>
    <t>HII Reg blauer Nebel</t>
  </si>
  <si>
    <t>Garnelen Nebel</t>
  </si>
  <si>
    <t>Graffs Haufen OffSH</t>
  </si>
  <si>
    <t xml:space="preserve">HII Reg  </t>
  </si>
  <si>
    <t>blauer Refl.Nebel</t>
  </si>
  <si>
    <t>Kokon-Nebel EmissNeb</t>
  </si>
  <si>
    <t>Taurus Dunkelwolke  B22</t>
  </si>
  <si>
    <t>Schlangennebel Dunkelnebel B72</t>
  </si>
  <si>
    <t>doppelter Dunkelnebel B142</t>
  </si>
  <si>
    <t>Dunkelnebel B150</t>
  </si>
  <si>
    <t>Dunkelwolke B173</t>
  </si>
  <si>
    <t>Dunkelwolke B207</t>
  </si>
  <si>
    <t>PN im Pfeil</t>
  </si>
  <si>
    <t>Kleiner Kokon (Refl)Nebel</t>
  </si>
  <si>
    <t>Tulpen (Emiss.) Nebel</t>
  </si>
  <si>
    <t>HII-Reg Schneeengel</t>
  </si>
  <si>
    <t>HII-Reg Nebel</t>
  </si>
  <si>
    <t>* HII-Reg Nebel</t>
  </si>
  <si>
    <t>* HII-Reg Fledermaus-Nebel</t>
  </si>
  <si>
    <t>HII-Reg Löwen-Nebel</t>
  </si>
  <si>
    <t>* HII-Reg Höhlen-Nebel</t>
  </si>
  <si>
    <t>* HII Hummerscheren Neb</t>
  </si>
  <si>
    <t>* HII Kl. Rosetten Neb</t>
  </si>
  <si>
    <t>HII Kl. Phantom d.Oper Neb</t>
  </si>
  <si>
    <t>Valentinsrose PN</t>
  </si>
  <si>
    <t>Maffei 1  interag. Galaxie</t>
  </si>
  <si>
    <t>* PN (zweitnächster)</t>
  </si>
  <si>
    <t>* HII SH2-231-235</t>
  </si>
  <si>
    <t>Spaghettin Neb SuNova</t>
  </si>
  <si>
    <t>HII-Region</t>
  </si>
  <si>
    <t>Lowers Nebel HII-Region</t>
  </si>
  <si>
    <t xml:space="preserve">* Delphin-Nebel blau </t>
  </si>
  <si>
    <t>Puppis OIII-Reg</t>
  </si>
  <si>
    <t>Fledermaus  Dunkel-Nebel</t>
  </si>
  <si>
    <t>Dunkel-Nebel</t>
  </si>
  <si>
    <t>Refl.Nebel</t>
  </si>
  <si>
    <t>Integralzeichen Galaxie</t>
  </si>
  <si>
    <t>Wolf-Lundmark-Melotte</t>
  </si>
  <si>
    <t>Wagenrad Galaxie</t>
  </si>
  <si>
    <t>Sculptor-Zwerg-Galaxie</t>
  </si>
  <si>
    <t>Phönix-Zwerg-Galaxie</t>
  </si>
  <si>
    <t>Fornax-Zwerg-Galaxie</t>
  </si>
  <si>
    <t>Sextans A</t>
  </si>
  <si>
    <t>Mayalls Obj. Interag.Galaxie</t>
  </si>
  <si>
    <t>Protoplanet.Nebel</t>
  </si>
  <si>
    <t>Gecko Molekülwolke</t>
  </si>
  <si>
    <t>* grauer HII-Reg Nebel</t>
  </si>
  <si>
    <t xml:space="preserve">* PN </t>
  </si>
  <si>
    <t>blauer Nebel</t>
  </si>
  <si>
    <t>roter Nebel</t>
  </si>
  <si>
    <t>R Aqr-Nebel</t>
  </si>
  <si>
    <t>HII-Region Nebel</t>
  </si>
  <si>
    <t>HII-Reg Propeller Neb.</t>
  </si>
  <si>
    <t>Protoplanet. Nebel</t>
  </si>
  <si>
    <t>SupeNova Überrest</t>
  </si>
  <si>
    <t>ProtoPN</t>
  </si>
  <si>
    <t>Sadr-Region</t>
  </si>
  <si>
    <t>Medusa PN</t>
  </si>
  <si>
    <t>Halsband PN</t>
  </si>
  <si>
    <t>Doppelstern</t>
  </si>
  <si>
    <t>Dunkler Hai Nebel</t>
  </si>
  <si>
    <t>Wilds Triplet</t>
  </si>
  <si>
    <t>* rot/blau Nebel</t>
  </si>
  <si>
    <t>Galaxienhaufen</t>
  </si>
  <si>
    <t>IC443 +ISH2-249</t>
  </si>
  <si>
    <t>M58-vasey.png</t>
  </si>
  <si>
    <t>n4372-darkdoodad.png</t>
  </si>
  <si>
    <t>m68.png</t>
  </si>
  <si>
    <t>m104.png</t>
  </si>
  <si>
    <t>m59.png</t>
  </si>
  <si>
    <t>n4631-vasey.png</t>
  </si>
  <si>
    <t>n4636.png</t>
  </si>
  <si>
    <t>m60.png</t>
  </si>
  <si>
    <t>n4651.png</t>
  </si>
  <si>
    <t>n4656-vasey.png</t>
  </si>
  <si>
    <t>p3074547.png</t>
  </si>
  <si>
    <t>n4664.png</t>
  </si>
  <si>
    <t>n4666.png</t>
  </si>
  <si>
    <t>n4676.png</t>
  </si>
  <si>
    <t>n4697.png</t>
  </si>
  <si>
    <t>n4699.png</t>
  </si>
  <si>
    <t>n4725.png</t>
  </si>
  <si>
    <t>m94.png</t>
  </si>
  <si>
    <t>n4753.png</t>
  </si>
  <si>
    <t>n4762.png</t>
  </si>
  <si>
    <t>n4755.png</t>
  </si>
  <si>
    <t>sh2-313.png</t>
  </si>
  <si>
    <t>m64.png</t>
  </si>
  <si>
    <t>n4833.png</t>
  </si>
  <si>
    <t>coma_cluster.png</t>
  </si>
  <si>
    <t>n4945.png</t>
  </si>
  <si>
    <t>n4976.png</t>
  </si>
  <si>
    <t>n5005.png</t>
  </si>
  <si>
    <t>m53.png</t>
  </si>
  <si>
    <t>n5033-vasey.png</t>
  </si>
  <si>
    <t>u8335h.png</t>
  </si>
  <si>
    <t>m63-vasey.png</t>
  </si>
  <si>
    <t>n5053.png</t>
  </si>
  <si>
    <t>n5068-sdss.png</t>
  </si>
  <si>
    <t>ic883h.png</t>
  </si>
  <si>
    <t>n5102.png</t>
  </si>
  <si>
    <t>n5128.png</t>
  </si>
  <si>
    <t>n5139.png</t>
  </si>
  <si>
    <t>m51-vasey.png</t>
  </si>
  <si>
    <t>n5216.png</t>
  </si>
  <si>
    <t>n5189.png</t>
  </si>
  <si>
    <t>p47847-sdss2.png</t>
  </si>
  <si>
    <t>m83.png</t>
  </si>
  <si>
    <t>n5248.png</t>
  </si>
  <si>
    <t>n5257h.png</t>
  </si>
  <si>
    <t>rcw77.png</t>
  </si>
  <si>
    <t>m3.png</t>
  </si>
  <si>
    <t>n5286.png</t>
  </si>
  <si>
    <t>n5307.png</t>
  </si>
  <si>
    <t>n5315.png</t>
  </si>
  <si>
    <t>n5371.png</t>
  </si>
  <si>
    <t>n5363-vasey.png</t>
  </si>
  <si>
    <t>n5395.png</t>
  </si>
  <si>
    <t>n5367.png</t>
  </si>
  <si>
    <t>n5426.png</t>
  </si>
  <si>
    <t>m101-vasey.png</t>
  </si>
  <si>
    <t>n5466.png</t>
  </si>
  <si>
    <t>n5474.png</t>
  </si>
  <si>
    <t>n5566.png</t>
  </si>
  <si>
    <t>ic4406.png</t>
  </si>
  <si>
    <t>n5634-dss.png</t>
  </si>
  <si>
    <t>n5694-dss.png</t>
  </si>
  <si>
    <t>rcw86.png</t>
  </si>
  <si>
    <t>u9618h.png</t>
  </si>
  <si>
    <t>ic4499-dss.png</t>
  </si>
  <si>
    <t>n5824-dss.png</t>
  </si>
  <si>
    <t>n5823.png</t>
  </si>
  <si>
    <t>m102.png</t>
  </si>
  <si>
    <t>n5850.png</t>
  </si>
  <si>
    <t>u9749.png</t>
  </si>
  <si>
    <t>rcw89.png</t>
  </si>
  <si>
    <t>p54392-sdss2.png</t>
  </si>
  <si>
    <t>n5882.png</t>
  </si>
  <si>
    <t>u9792.png</t>
  </si>
  <si>
    <t>n5906.png</t>
  </si>
  <si>
    <t>n5897.png</t>
  </si>
  <si>
    <t>m5.png</t>
  </si>
  <si>
    <t>n5927-dss.png</t>
  </si>
  <si>
    <t>n5946.png</t>
  </si>
  <si>
    <t>n5982oleg.png</t>
  </si>
  <si>
    <t>n5986-dss.png</t>
  </si>
  <si>
    <t>rcw100.png</t>
  </si>
  <si>
    <t>rcw98.png</t>
  </si>
  <si>
    <t>n6027.png</t>
  </si>
  <si>
    <t>n6025.png</t>
  </si>
  <si>
    <t>sh2-1.png</t>
  </si>
  <si>
    <t>n6050h.png</t>
  </si>
  <si>
    <t>u10214.png</t>
  </si>
  <si>
    <t>hercules_cluster.png</t>
  </si>
  <si>
    <t>ic4593.png</t>
  </si>
  <si>
    <t>ic4592.png</t>
  </si>
  <si>
    <t>sh2-73.png</t>
  </si>
  <si>
    <t>m80.png</t>
  </si>
  <si>
    <t>rcw101.png</t>
  </si>
  <si>
    <t>ic4601.png</t>
  </si>
  <si>
    <t>n6087.png</t>
  </si>
  <si>
    <t>m4.png</t>
  </si>
  <si>
    <t>n6124.png</t>
  </si>
  <si>
    <t>n6101.png</t>
  </si>
  <si>
    <t>n6144.png</t>
  </si>
  <si>
    <t>abell39.png</t>
  </si>
  <si>
    <t>n6139-dss.png</t>
  </si>
  <si>
    <t>m107.png</t>
  </si>
  <si>
    <t>ldn43.png</t>
  </si>
  <si>
    <t>m13.png</t>
  </si>
  <si>
    <t>n6188.png</t>
  </si>
  <si>
    <t>n6210.png</t>
  </si>
  <si>
    <t>m12.png</t>
  </si>
  <si>
    <t>n6229-sdss.png</t>
  </si>
  <si>
    <t>n6235-dss.png</t>
  </si>
  <si>
    <t>n6240.png</t>
  </si>
  <si>
    <t>n6231.png</t>
  </si>
  <si>
    <t>m10.png</t>
  </si>
  <si>
    <t>m62.png</t>
  </si>
  <si>
    <t>ic4628.png</t>
  </si>
  <si>
    <t>ic4634.png</t>
  </si>
  <si>
    <t>m19.png</t>
  </si>
  <si>
    <t>n6284-dss.png</t>
  </si>
  <si>
    <t>n6287-dss.png</t>
  </si>
  <si>
    <t>n6293.png</t>
  </si>
  <si>
    <t>n6302.png</t>
  </si>
  <si>
    <t>n6304.png</t>
  </si>
  <si>
    <t>n6309.png</t>
  </si>
  <si>
    <t>n6316.png</t>
  </si>
  <si>
    <t>m92.png</t>
  </si>
  <si>
    <t>n6325.png</t>
  </si>
  <si>
    <t>m9.png</t>
  </si>
  <si>
    <t>n6334.png</t>
  </si>
  <si>
    <t>n6342.png</t>
  </si>
  <si>
    <t>n6337.png</t>
  </si>
  <si>
    <t>u10822.png</t>
  </si>
  <si>
    <t>n6356.png</t>
  </si>
  <si>
    <t>n6355.png</t>
  </si>
  <si>
    <t>n6352.png</t>
  </si>
  <si>
    <t>barnard72.png</t>
  </si>
  <si>
    <t>n6366.png</t>
  </si>
  <si>
    <t>n6369.png</t>
  </si>
  <si>
    <t>n6357.png</t>
  </si>
  <si>
    <t>n6362.png</t>
  </si>
  <si>
    <t>n6388.png</t>
  </si>
  <si>
    <t>m14.png</t>
  </si>
  <si>
    <t>n6401.png</t>
  </si>
  <si>
    <t>m6.png</t>
  </si>
  <si>
    <t>n6397.png</t>
  </si>
  <si>
    <t>n6440.png</t>
  </si>
  <si>
    <t>n6445.png</t>
  </si>
  <si>
    <t>n6441-2mass.png</t>
  </si>
  <si>
    <t>n6503.png</t>
  </si>
  <si>
    <t>m7.png</t>
  </si>
  <si>
    <t>m23.png</t>
  </si>
  <si>
    <t>n6496.png</t>
  </si>
  <si>
    <t>n6543.png</t>
  </si>
  <si>
    <t>n6517.png</t>
  </si>
  <si>
    <t>m20.png</t>
  </si>
  <si>
    <t>n6535.png</t>
  </si>
  <si>
    <t>m21-trev.png</t>
  </si>
  <si>
    <t>n6522.png</t>
  </si>
  <si>
    <t>n6537.png</t>
  </si>
  <si>
    <t>n6539.png</t>
  </si>
  <si>
    <t>n6544.png</t>
  </si>
  <si>
    <t>n6541.png</t>
  </si>
  <si>
    <t>rcw158-trev.png</t>
  </si>
  <si>
    <t>n6553.png</t>
  </si>
  <si>
    <t>m8.png</t>
  </si>
  <si>
    <t>n6565.png</t>
  </si>
  <si>
    <t>ic1276.png</t>
  </si>
  <si>
    <t>n6563.png</t>
  </si>
  <si>
    <t>n6572.png</t>
  </si>
  <si>
    <t>n6569.png</t>
  </si>
  <si>
    <t>n6621.png</t>
  </si>
  <si>
    <t>n6590.png</t>
  </si>
  <si>
    <t>n6584.png</t>
  </si>
  <si>
    <t>m18.png</t>
  </si>
  <si>
    <t>m17.png</t>
  </si>
  <si>
    <t>sh2-54.png</t>
  </si>
  <si>
    <t>m16.png</t>
  </si>
  <si>
    <t>m24-vasey.png</t>
  </si>
  <si>
    <t>n6624-dss.png</t>
  </si>
  <si>
    <t>m28.png</t>
  </si>
  <si>
    <t>n6633.png</t>
  </si>
  <si>
    <t>m69.png</t>
  </si>
  <si>
    <t>n6638.png</t>
  </si>
  <si>
    <t>n6642.png</t>
  </si>
  <si>
    <t>m25.png</t>
  </si>
  <si>
    <t>ic1287.png</t>
  </si>
  <si>
    <t>vdb123.png</t>
  </si>
  <si>
    <t>n6652.png</t>
  </si>
  <si>
    <t>m22.png</t>
  </si>
  <si>
    <t>m70.png</t>
  </si>
  <si>
    <t>ic4756.png</t>
  </si>
  <si>
    <t>m26.png</t>
  </si>
  <si>
    <t>m11.png</t>
  </si>
  <si>
    <t>m57dumont.png</t>
  </si>
  <si>
    <t>n6712-2mass.png</t>
  </si>
  <si>
    <t>ic1295.png</t>
  </si>
  <si>
    <t>m54.png</t>
  </si>
  <si>
    <t>n6717.png</t>
  </si>
  <si>
    <t>n6741.png</t>
  </si>
  <si>
    <t>sh2-71.png</t>
  </si>
  <si>
    <t>n6726.png</t>
  </si>
  <si>
    <t>n6749.png</t>
  </si>
  <si>
    <t>n6751.png</t>
  </si>
  <si>
    <t>n6744.png</t>
  </si>
  <si>
    <t>n6760.png</t>
  </si>
  <si>
    <t>sh2-80.png</t>
  </si>
  <si>
    <t>n6752.png</t>
  </si>
  <si>
    <t>m56.png</t>
  </si>
  <si>
    <t>n6769.png</t>
  </si>
  <si>
    <t>n6781.png</t>
  </si>
  <si>
    <t>ldn673.png</t>
  </si>
  <si>
    <t>sh2-82.png</t>
  </si>
  <si>
    <t>m55.png</t>
  </si>
  <si>
    <t>sh2-91.png</t>
  </si>
  <si>
    <t>n6818.png</t>
  </si>
  <si>
    <t>n6823.png</t>
  </si>
  <si>
    <t>n6826.png</t>
  </si>
  <si>
    <t>barnard142-vasey.png</t>
  </si>
  <si>
    <t>necklace.png</t>
  </si>
  <si>
    <t>n6822.png</t>
  </si>
  <si>
    <t>m71.png</t>
  </si>
  <si>
    <t>m27dumont.png</t>
  </si>
  <si>
    <t>sh2-101-vasey.png</t>
  </si>
  <si>
    <t>ic4954.png</t>
  </si>
  <si>
    <t>m75.png</t>
  </si>
  <si>
    <t>n6868-dss.png</t>
  </si>
  <si>
    <t>n6884.png</t>
  </si>
  <si>
    <t>wr134.png</t>
  </si>
  <si>
    <t>n6888.png</t>
  </si>
  <si>
    <t>n6891.png</t>
  </si>
  <si>
    <t>n6894.png</t>
  </si>
  <si>
    <t>dwb20.png</t>
  </si>
  <si>
    <t>n6872.png</t>
  </si>
  <si>
    <t>n6905.png</t>
  </si>
  <si>
    <t>m29.png</t>
  </si>
  <si>
    <t>n6914.png</t>
  </si>
  <si>
    <t>sh2-106.png</t>
  </si>
  <si>
    <t>GammaCygni-vasey.png</t>
  </si>
  <si>
    <t>n6934.png</t>
  </si>
  <si>
    <t>n6946dumont.png</t>
  </si>
  <si>
    <t>sh2-112.png</t>
  </si>
  <si>
    <t>dwb111.png</t>
  </si>
  <si>
    <t>sh2-115.png</t>
  </si>
  <si>
    <t>n6951.png</t>
  </si>
  <si>
    <t>m72.png</t>
  </si>
  <si>
    <t>ic5076.png</t>
  </si>
  <si>
    <t>barnard150.png</t>
  </si>
  <si>
    <t>m73.png</t>
  </si>
  <si>
    <t>n7008-vasey.png</t>
  </si>
  <si>
    <t>n7006-sdss.png</t>
  </si>
  <si>
    <t>u11668.png</t>
  </si>
  <si>
    <t>n6960.png</t>
  </si>
  <si>
    <t>n7009.png</t>
  </si>
  <si>
    <t>n7000.png</t>
  </si>
  <si>
    <t>n7026.png</t>
  </si>
  <si>
    <t>n7023.png</t>
  </si>
  <si>
    <t>n7027.png</t>
  </si>
  <si>
    <t>lbn550.png</t>
  </si>
  <si>
    <t>n7048.png</t>
  </si>
  <si>
    <t>sh2-136.png</t>
  </si>
  <si>
    <t>sh2-129.png</t>
  </si>
  <si>
    <t>sh2-113.png</t>
  </si>
  <si>
    <t>sh2-119.png</t>
  </si>
  <si>
    <t>m15-vasey.png</t>
  </si>
  <si>
    <t>m2.png</t>
  </si>
  <si>
    <t>m39-dss.png</t>
  </si>
  <si>
    <t>m30.png</t>
  </si>
  <si>
    <t>n7129.png</t>
  </si>
  <si>
    <t>sh2-124.png</t>
  </si>
  <si>
    <t>n7139.png</t>
  </si>
  <si>
    <t>ic1396.png</t>
  </si>
  <si>
    <t>ic5146.png</t>
  </si>
  <si>
    <t>barnard173-vasey.png</t>
  </si>
  <si>
    <t>vdb152.png</t>
  </si>
  <si>
    <t>darkshark-vasey.png</t>
  </si>
  <si>
    <t>sh2-140-dss.png</t>
  </si>
  <si>
    <t>sh2-132.png</t>
  </si>
  <si>
    <t>sh2-135.png</t>
  </si>
  <si>
    <t>n7293.png</t>
  </si>
  <si>
    <t>n7318.png</t>
  </si>
  <si>
    <t>n7331-vasey.png</t>
  </si>
  <si>
    <t>n7354.png</t>
  </si>
  <si>
    <t>ldn1251.png</t>
  </si>
  <si>
    <t>lbn438.png</t>
  </si>
  <si>
    <t>lbn437.png</t>
  </si>
  <si>
    <t>n7380.png</t>
  </si>
  <si>
    <t>n7424-dss.png</t>
  </si>
  <si>
    <t>sh2-155.png</t>
  </si>
  <si>
    <t>n7479-vasey.png</t>
  </si>
  <si>
    <t>n7492.png</t>
  </si>
  <si>
    <t>n7497.png</t>
  </si>
  <si>
    <t>n7538.png</t>
  </si>
  <si>
    <t>n7590-trev.png</t>
  </si>
  <si>
    <t>n7619.png</t>
  </si>
  <si>
    <t>n7635.png</t>
  </si>
  <si>
    <t>n7640-vasey.png</t>
  </si>
  <si>
    <t>sh2-157.png</t>
  </si>
  <si>
    <t>cassiopeia_a.png</t>
  </si>
  <si>
    <t>m52.png</t>
  </si>
  <si>
    <t>n7662.png</t>
  </si>
  <si>
    <t>u12613.png</t>
  </si>
  <si>
    <t>n7714.png</t>
  </si>
  <si>
    <t>jones1.png</t>
  </si>
  <si>
    <t>ic1505.png</t>
  </si>
  <si>
    <t>ced211.png</t>
  </si>
  <si>
    <t>n7741.png</t>
  </si>
  <si>
    <t>n7742.png</t>
  </si>
  <si>
    <t>vdb158.png</t>
  </si>
  <si>
    <t>sh2-174.png</t>
  </si>
  <si>
    <t>n7793.png</t>
  </si>
  <si>
    <t>n7789-vasey.png</t>
  </si>
  <si>
    <t>p143.png</t>
  </si>
  <si>
    <t>n7814.png</t>
  </si>
  <si>
    <t>sh2-170.png</t>
  </si>
  <si>
    <t>abell85.png</t>
  </si>
  <si>
    <t>n40.png</t>
  </si>
  <si>
    <t>n45.png</t>
  </si>
  <si>
    <t>n55.png</t>
  </si>
  <si>
    <t>n70.png</t>
  </si>
  <si>
    <t>n7822.png</t>
  </si>
  <si>
    <t>n92.png</t>
  </si>
  <si>
    <t>ic10.png</t>
  </si>
  <si>
    <t>n80.png</t>
  </si>
  <si>
    <t>sh2-173.png</t>
  </si>
  <si>
    <t>n134.png</t>
  </si>
  <si>
    <t>n147.png</t>
  </si>
  <si>
    <t>p2248.png</t>
  </si>
  <si>
    <t>n185.png</t>
  </si>
  <si>
    <t>n225.png</t>
  </si>
  <si>
    <t>n246-vasey.png</t>
  </si>
  <si>
    <t>n247.png</t>
  </si>
  <si>
    <t>n253.png</t>
  </si>
  <si>
    <t>m31.png</t>
  </si>
  <si>
    <t>n288.png</t>
  </si>
  <si>
    <t>n289.png</t>
  </si>
  <si>
    <t>n281.png</t>
  </si>
  <si>
    <t>n300.png</t>
  </si>
  <si>
    <t>n752.png</t>
  </si>
  <si>
    <t>n772.png</t>
  </si>
  <si>
    <t>cas.png</t>
  </si>
  <si>
    <t>p3589.png</t>
  </si>
  <si>
    <t>n362.png</t>
  </si>
  <si>
    <t>ic1613.png</t>
  </si>
  <si>
    <t>n404.png</t>
  </si>
  <si>
    <t>n457-vasey.png</t>
  </si>
  <si>
    <t>n474-vasey.png</t>
  </si>
  <si>
    <t>u1810.png</t>
  </si>
  <si>
    <t>n488-vasey.png</t>
  </si>
  <si>
    <t>n891.png</t>
  </si>
  <si>
    <t>n908.png</t>
  </si>
  <si>
    <t>n520.png</t>
  </si>
  <si>
    <t>n869-884spano.png</t>
  </si>
  <si>
    <t>n529.png</t>
  </si>
  <si>
    <t>n547.png</t>
  </si>
  <si>
    <t>n918.png</t>
  </si>
  <si>
    <t>n925.png</t>
  </si>
  <si>
    <t>n936.png</t>
  </si>
  <si>
    <t>sh2-188-vasey.png</t>
  </si>
  <si>
    <t>m103.png</t>
  </si>
  <si>
    <t>n613.png</t>
  </si>
  <si>
    <t>ic239.png</t>
  </si>
  <si>
    <t>m74.png</t>
  </si>
  <si>
    <t>m33.png</t>
  </si>
  <si>
    <t>n1023.png</t>
  </si>
  <si>
    <t>n1042.png</t>
  </si>
  <si>
    <t>m76-vasey.png</t>
  </si>
  <si>
    <t>m34.png</t>
  </si>
  <si>
    <t>n1055.png</t>
  </si>
  <si>
    <t>sh2-191.png</t>
  </si>
  <si>
    <t>n660.png</t>
  </si>
  <si>
    <t>m77.png</t>
  </si>
  <si>
    <t>p10074.png</t>
  </si>
  <si>
    <t>ic1805.png</t>
  </si>
  <si>
    <t>n654.png</t>
  </si>
  <si>
    <t>n663.png</t>
  </si>
  <si>
    <t>n1097.png</t>
  </si>
  <si>
    <t>n672-vasey.png</t>
  </si>
  <si>
    <t>n691group-vasey.png</t>
  </si>
  <si>
    <t>p6830.png</t>
  </si>
  <si>
    <t>n1232.png</t>
  </si>
  <si>
    <t>ic289.png</t>
  </si>
  <si>
    <t>ic1848.png</t>
  </si>
  <si>
    <t>n1261.png</t>
  </si>
  <si>
    <t>n1269.png</t>
  </si>
  <si>
    <t>n1313.png</t>
  </si>
  <si>
    <t>n1300.png</t>
  </si>
  <si>
    <t>perseus_cluster.png</t>
  </si>
  <si>
    <t>n1316.png</t>
  </si>
  <si>
    <t>n1333.png</t>
  </si>
  <si>
    <t>n1360.png</t>
  </si>
  <si>
    <t>vdb14.png</t>
  </si>
  <si>
    <t>vdb15.png</t>
  </si>
  <si>
    <t>n1365.png</t>
  </si>
  <si>
    <t>n1398.png</t>
  </si>
  <si>
    <t>n1407-dss.png</t>
  </si>
  <si>
    <t>n1433.png</t>
  </si>
  <si>
    <t>ic348.png</t>
  </si>
  <si>
    <t>ic342.png</t>
  </si>
  <si>
    <t>pleiades.png</t>
  </si>
  <si>
    <t>n1491.png</t>
  </si>
  <si>
    <t>barnard207.png</t>
  </si>
  <si>
    <t>n1501.png</t>
  </si>
  <si>
    <t>n1499.png</t>
  </si>
  <si>
    <t>n1514-vasey.png</t>
  </si>
  <si>
    <t>n1502.png</t>
  </si>
  <si>
    <t>n1532-darkskies.png</t>
  </si>
  <si>
    <t>n1535.png</t>
  </si>
  <si>
    <t>n1549-dss.png</t>
  </si>
  <si>
    <t>n1566.png</t>
  </si>
  <si>
    <t>lbn782.png</t>
  </si>
  <si>
    <t>n1555.png</t>
  </si>
  <si>
    <t>n1530.png</t>
  </si>
  <si>
    <t>n1579.png</t>
  </si>
  <si>
    <t>n1569.png</t>
  </si>
  <si>
    <t>sh2-239.png</t>
  </si>
  <si>
    <t>n1560-dss.png</t>
  </si>
  <si>
    <t>n1624.png</t>
  </si>
  <si>
    <t>barnard22.png</t>
  </si>
  <si>
    <t>n1672.png</t>
  </si>
  <si>
    <t>sh2-216.png</t>
  </si>
  <si>
    <t>n1792.png</t>
  </si>
  <si>
    <t>n1788.png</t>
  </si>
  <si>
    <t>n1808.png</t>
  </si>
  <si>
    <t>ic2118-1.png</t>
  </si>
  <si>
    <t>ic2118-2.png</t>
  </si>
  <si>
    <t>n1851.png</t>
  </si>
  <si>
    <t>ic405.png</t>
  </si>
  <si>
    <t>sh2-263.png</t>
  </si>
  <si>
    <t>m79.png</t>
  </si>
  <si>
    <t>ic418.png</t>
  </si>
  <si>
    <t>m38.png</t>
  </si>
  <si>
    <t>n1978.png</t>
  </si>
  <si>
    <t>ic410.png</t>
  </si>
  <si>
    <t>n1931.png</t>
  </si>
  <si>
    <t>m1dumont.png</t>
  </si>
  <si>
    <t>m36.png</t>
  </si>
  <si>
    <t>ic423.png</t>
  </si>
  <si>
    <t>n2022.png</t>
  </si>
  <si>
    <t>n1961-vasey.png</t>
  </si>
  <si>
    <t>ic434.png</t>
  </si>
  <si>
    <t>sh2-235.png</t>
  </si>
  <si>
    <t>m42.png</t>
  </si>
  <si>
    <t>m78.png</t>
  </si>
  <si>
    <t>sh2-240.png</t>
  </si>
  <si>
    <t>m37.png</t>
  </si>
  <si>
    <t>sh2-264.png</t>
  </si>
  <si>
    <t>ldn1622.png</t>
  </si>
  <si>
    <t>n2158.png</t>
  </si>
  <si>
    <t>m35.png</t>
  </si>
  <si>
    <t>sh2-247.png</t>
  </si>
  <si>
    <t>n2174-vasey.png</t>
  </si>
  <si>
    <t>n2210.png</t>
  </si>
  <si>
    <t>sh2-261.png</t>
  </si>
  <si>
    <t>n2170.png</t>
  </si>
  <si>
    <t>ic2162.png</t>
  </si>
  <si>
    <t>n2207.png</t>
  </si>
  <si>
    <t>red_rectangle.png</t>
  </si>
  <si>
    <t>n2146-vasey.png</t>
  </si>
  <si>
    <t>ic443.png</t>
  </si>
  <si>
    <t>ic2169.png</t>
  </si>
  <si>
    <t>n2244.png</t>
  </si>
  <si>
    <t>sh2-280.png</t>
  </si>
  <si>
    <t>n2261.png</t>
  </si>
  <si>
    <t>sh2-282.png</t>
  </si>
  <si>
    <t>m41.png</t>
  </si>
  <si>
    <t>sh2-284.png</t>
  </si>
  <si>
    <t>n2264.png</t>
  </si>
  <si>
    <t>n2282.png</t>
  </si>
  <si>
    <t>n2298-dss.png</t>
  </si>
  <si>
    <t>sh2-308.png</t>
  </si>
  <si>
    <t>m50.png</t>
  </si>
  <si>
    <t>n2346.png</t>
  </si>
  <si>
    <t>sh2-301.png</t>
  </si>
  <si>
    <t>ic2177.png</t>
  </si>
  <si>
    <t>u3697.png</t>
  </si>
  <si>
    <t>n2359.png</t>
  </si>
  <si>
    <t>n2362.png</t>
  </si>
  <si>
    <t>n2371-vasey.png</t>
  </si>
  <si>
    <t>n2366.png</t>
  </si>
  <si>
    <t>n2392-vasey.png</t>
  </si>
  <si>
    <t>Medusa-vasey.png</t>
  </si>
  <si>
    <t>n2300.png</t>
  </si>
  <si>
    <t>n2434.png</t>
  </si>
  <si>
    <t>m47-trev.png</t>
  </si>
  <si>
    <t>n2419.png</t>
  </si>
  <si>
    <t>n2442.png</t>
  </si>
  <si>
    <t>n2403-vasey.png</t>
  </si>
  <si>
    <t>m46.png</t>
  </si>
  <si>
    <t>n2440.png</t>
  </si>
  <si>
    <t>calabash.png</t>
  </si>
  <si>
    <t>m93.png</t>
  </si>
  <si>
    <t>n2477.png</t>
  </si>
  <si>
    <t>n2467.png</t>
  </si>
  <si>
    <t>ic2220.png</t>
  </si>
  <si>
    <t>Jones-Emberson1-vasey.png</t>
  </si>
  <si>
    <t>n2506-vasey.png</t>
  </si>
  <si>
    <t>n2516-dss.png</t>
  </si>
  <si>
    <t>n2547.png</t>
  </si>
  <si>
    <t>m48.png</t>
  </si>
  <si>
    <t>u4305.png</t>
  </si>
  <si>
    <t>n2579.png</t>
  </si>
  <si>
    <t>rcw29.png</t>
  </si>
  <si>
    <t>n2613.png</t>
  </si>
  <si>
    <t>n2623.png</t>
  </si>
  <si>
    <t>m44.png</t>
  </si>
  <si>
    <t>ic2395.png</t>
  </si>
  <si>
    <t>m67.png</t>
  </si>
  <si>
    <t>n2681.png</t>
  </si>
  <si>
    <t>n2683.png</t>
  </si>
  <si>
    <t>abell31.png</t>
  </si>
  <si>
    <t>n2685-vasey.png</t>
  </si>
  <si>
    <t>rcw32.png</t>
  </si>
  <si>
    <t>n2655-vasey.png</t>
  </si>
  <si>
    <t>n2736.png</t>
  </si>
  <si>
    <t>rcw38.png</t>
  </si>
  <si>
    <t>n2775.png</t>
  </si>
  <si>
    <t>n2768.png</t>
  </si>
  <si>
    <t>n2808.png</t>
  </si>
  <si>
    <t>n2818.png</t>
  </si>
  <si>
    <t>n2867.png</t>
  </si>
  <si>
    <t>n2805-vasey.png</t>
  </si>
  <si>
    <t>n2841-vasey.png</t>
  </si>
  <si>
    <t>n2899.png</t>
  </si>
  <si>
    <t>n2903oleg.png</t>
  </si>
  <si>
    <t>n2936.png</t>
  </si>
  <si>
    <t>abell33.png</t>
  </si>
  <si>
    <t>frosty_leo.png</t>
  </si>
  <si>
    <t>n2997.png</t>
  </si>
  <si>
    <t>n2976-sdss.png</t>
  </si>
  <si>
    <t>n2985.png</t>
  </si>
  <si>
    <t>m82-vasey.png</t>
  </si>
  <si>
    <t>m81.png</t>
  </si>
  <si>
    <t>u5373.png</t>
  </si>
  <si>
    <t>n3079-vasey.png</t>
  </si>
  <si>
    <t>n3077.png</t>
  </si>
  <si>
    <t>n3109.png</t>
  </si>
  <si>
    <t>n3115.png</t>
  </si>
  <si>
    <t>n3132.png</t>
  </si>
  <si>
    <t>n3114.png</t>
  </si>
  <si>
    <t>u5470.png</t>
  </si>
  <si>
    <t>n3195.png</t>
  </si>
  <si>
    <t>p29653.png</t>
  </si>
  <si>
    <t>n3166-vasey.png</t>
  </si>
  <si>
    <t>n3211.png</t>
  </si>
  <si>
    <t>n3180.png</t>
  </si>
  <si>
    <t>n3190oleg.png</t>
  </si>
  <si>
    <t>n3201.png</t>
  </si>
  <si>
    <t>n3199.png</t>
  </si>
  <si>
    <t>n3198-sdss.png</t>
  </si>
  <si>
    <t>n3227.png</t>
  </si>
  <si>
    <t>n3242.png</t>
  </si>
  <si>
    <t>rcw49.png</t>
  </si>
  <si>
    <t>ic2574.png</t>
  </si>
  <si>
    <t>n3293.png</t>
  </si>
  <si>
    <t>n3314.png</t>
  </si>
  <si>
    <t>hydra_cluster.png</t>
  </si>
  <si>
    <t>n3310-vasey.png</t>
  </si>
  <si>
    <t>rcw53.png</t>
  </si>
  <si>
    <t>n3344-vasey.png</t>
  </si>
  <si>
    <t>m95.png</t>
  </si>
  <si>
    <t>m96-vasey.png</t>
  </si>
  <si>
    <t>n3359-vasey.png</t>
  </si>
  <si>
    <t>m105-vasey.png</t>
  </si>
  <si>
    <t>n3486.png</t>
  </si>
  <si>
    <t>n3504-vasey.png</t>
  </si>
  <si>
    <t>p33423.png</t>
  </si>
  <si>
    <t>n3503.png</t>
  </si>
  <si>
    <t>n3521-vasey.png</t>
  </si>
  <si>
    <t>n3532.png</t>
  </si>
  <si>
    <t>rcw58.png</t>
  </si>
  <si>
    <t>n3561.png</t>
  </si>
  <si>
    <t>m108.png</t>
  </si>
  <si>
    <t>n3572.png</t>
  </si>
  <si>
    <t>u6253.png</t>
  </si>
  <si>
    <t>m97dumont.png</t>
  </si>
  <si>
    <t>n3603.png</t>
  </si>
  <si>
    <t>m65.png</t>
  </si>
  <si>
    <t>n3621.png</t>
  </si>
  <si>
    <t>m66.png</t>
  </si>
  <si>
    <t>n3626-sdss.png</t>
  </si>
  <si>
    <t>n3640.png</t>
  </si>
  <si>
    <t>n3628.png</t>
  </si>
  <si>
    <t>n3690h.png</t>
  </si>
  <si>
    <t>n3699.png</t>
  </si>
  <si>
    <t>ic2631.png</t>
  </si>
  <si>
    <t>n3726.png</t>
  </si>
  <si>
    <t>n3718oleg.png</t>
  </si>
  <si>
    <t>n3766.png</t>
  </si>
  <si>
    <t>n3750.png</t>
  </si>
  <si>
    <t>n3786.png</t>
  </si>
  <si>
    <t>n3808.png</t>
  </si>
  <si>
    <t>ic2944.png</t>
  </si>
  <si>
    <t>wilds.png</t>
  </si>
  <si>
    <t>leo_cluster.png</t>
  </si>
  <si>
    <t>n3893.png</t>
  </si>
  <si>
    <t>n3918.png</t>
  </si>
  <si>
    <t>n3923-dss.png</t>
  </si>
  <si>
    <t>n3938-vasey.png</t>
  </si>
  <si>
    <t>n3953.png</t>
  </si>
  <si>
    <t>m109.png</t>
  </si>
  <si>
    <t>n4038-9.png</t>
  </si>
  <si>
    <t>n4096.png</t>
  </si>
  <si>
    <t>n4147.png</t>
  </si>
  <si>
    <t>n4151-vasey.png</t>
  </si>
  <si>
    <t>n4157.png</t>
  </si>
  <si>
    <t>n4170.png</t>
  </si>
  <si>
    <t>m98.png</t>
  </si>
  <si>
    <t>n4228.png</t>
  </si>
  <si>
    <t>n4216.png</t>
  </si>
  <si>
    <t>n4244.png</t>
  </si>
  <si>
    <t>m99.png</t>
  </si>
  <si>
    <t>n4236.png</t>
  </si>
  <si>
    <t>m106-vasey.png</t>
  </si>
  <si>
    <t>n4274-dss.png</t>
  </si>
  <si>
    <t>m61.png</t>
  </si>
  <si>
    <t>n4298.png</t>
  </si>
  <si>
    <t>m100.png</t>
  </si>
  <si>
    <t>n4361.png</t>
  </si>
  <si>
    <t>m85.png</t>
  </si>
  <si>
    <t>n4394-dss.png</t>
  </si>
  <si>
    <t>n4395.png</t>
  </si>
  <si>
    <t>n4414.png</t>
  </si>
  <si>
    <t>n4449.png</t>
  </si>
  <si>
    <t>n4450.png</t>
  </si>
  <si>
    <t>m49.png</t>
  </si>
  <si>
    <t>n4490.png</t>
  </si>
  <si>
    <t>n4494.png</t>
  </si>
  <si>
    <t>virgo_cluster.png</t>
  </si>
  <si>
    <t>m88.png</t>
  </si>
  <si>
    <t>n4517.png</t>
  </si>
  <si>
    <t>ic3568.png</t>
  </si>
  <si>
    <t>n4372.png</t>
  </si>
  <si>
    <t>n4526.png</t>
  </si>
  <si>
    <t>n4527.png</t>
  </si>
  <si>
    <t>n4535-vasey.png</t>
  </si>
  <si>
    <t>m91.png</t>
  </si>
  <si>
    <t>m89.png</t>
  </si>
  <si>
    <t>n4559-vasey.png</t>
  </si>
  <si>
    <t>n4565.png</t>
  </si>
  <si>
    <t>n4567.png</t>
  </si>
  <si>
    <t>m90.png</t>
  </si>
  <si>
    <t>1,2x1,2'</t>
  </si>
  <si>
    <t>Global Cluster</t>
  </si>
  <si>
    <t>Spheroidal Galaxy</t>
  </si>
  <si>
    <t>Wechselwirkendes Galaxienpaar</t>
  </si>
  <si>
    <t>Monkeyhead Emissionsneb.</t>
  </si>
  <si>
    <r>
      <rPr>
        <b/>
        <sz val="11"/>
        <color theme="1"/>
        <rFont val="Calibri"/>
        <family val="2"/>
        <scheme val="minor"/>
      </rPr>
      <t>H-alpha</t>
    </r>
    <r>
      <rPr>
        <sz val="11"/>
        <color theme="1"/>
        <rFont val="Calibri"/>
        <family val="2"/>
        <scheme val="minor"/>
      </rPr>
      <t xml:space="preserve">, </t>
    </r>
    <r>
      <rPr>
        <b/>
        <sz val="11"/>
        <color theme="1"/>
        <rFont val="Calibri"/>
        <family val="2"/>
        <scheme val="minor"/>
      </rPr>
      <t>[O III]</t>
    </r>
    <r>
      <rPr>
        <sz val="11"/>
        <color theme="1"/>
        <rFont val="Calibri"/>
        <family val="2"/>
        <scheme val="minor"/>
      </rPr>
      <t xml:space="preserve">  und </t>
    </r>
    <r>
      <rPr>
        <b/>
        <sz val="11"/>
        <color theme="1"/>
        <rFont val="Calibri"/>
        <family val="2"/>
        <scheme val="minor"/>
      </rPr>
      <t>[S II]</t>
    </r>
    <r>
      <rPr>
        <sz val="11"/>
        <color theme="1"/>
        <rFont val="Calibri"/>
        <family val="2"/>
        <scheme val="minor"/>
      </rPr>
      <t xml:space="preserve"> </t>
    </r>
  </si>
  <si>
    <t>Galaxie im Herkules-Cluster</t>
  </si>
  <si>
    <t>Herkules Galaxienhaufen</t>
  </si>
  <si>
    <t>eof</t>
  </si>
  <si>
    <t>Column for Pictures</t>
  </si>
  <si>
    <t>My optimal Setup</t>
  </si>
  <si>
    <t>Do not change something in the table or in the structure of the table ! Do not move fields because the field-numbers are fix in the macros !</t>
  </si>
  <si>
    <t>Inputs only in the fields with yellow background in the first 7 lines of the sheet and in the Fields in column AE-AH, where you can write your optimal setup. (I do not use his….)</t>
  </si>
  <si>
    <t>In the fields with pink background the transit-times for the date in field AC7 were calculated. When the program starts, the field AC7 becomes filled with the actual date.</t>
  </si>
  <si>
    <t>To show the picture of an object, click on the green field in column "C". The field becomes orange. When you click another field, the field becomes resetted to green.</t>
  </si>
  <si>
    <t>The picture-size can be changed by changing the width of column AN.</t>
  </si>
  <si>
    <t>Executing the Filter-Function, you can hide lines.</t>
  </si>
  <si>
    <t>Filter 1 : In the Database of Stellarium, there are many objects, which are allways below horizon at your location. Makes no sense to show them. Or you want to see only objects above a special altitude.</t>
  </si>
  <si>
    <t>Filter 2 : Here you can hide all lines with objects, which are too small for your equipment. The value has to put in in arcseconds and is compared with the first size-value e.g.   Size = 12,7x4,5   then it is 12,7 which is compared.</t>
  </si>
  <si>
    <t>Filter 3 : Here you can hide all lines with objects, with transit-times, which are too far away from midnight (00:00). Enter here a value of hours, e.g.  "3", so only objects with transit-time between  midnight +/- 3 hours become displayed.</t>
  </si>
  <si>
    <t>Use the button "Show all lines"   to show all lines, even the lines, which are hidden by the filters. You can keep the filter-values in the fields. They become activated only by clicking the Button .</t>
  </si>
  <si>
    <t>When you are deepdown in the table and want to go to the head, press "Strg" + "PgUp"  two times afteranother.</t>
  </si>
  <si>
    <t>Location</t>
  </si>
  <si>
    <t>Latitude:</t>
  </si>
  <si>
    <t>Longitude( east= + /west= - )</t>
  </si>
  <si>
    <t>Path to the pictures from Stellarium</t>
  </si>
  <si>
    <t xml:space="preserve">  Transit at  0:00 +/- hours</t>
  </si>
  <si>
    <t>Date of observation</t>
  </si>
  <si>
    <t>Transit at midnight</t>
  </si>
  <si>
    <t>Date</t>
  </si>
  <si>
    <t>Type</t>
  </si>
  <si>
    <t>Transit at</t>
  </si>
  <si>
    <t>Default settings</t>
  </si>
  <si>
    <r>
      <t xml:space="preserve">With the Key </t>
    </r>
    <r>
      <rPr>
        <b/>
        <sz val="11"/>
        <color theme="1"/>
        <rFont val="Calibri"/>
        <family val="2"/>
        <scheme val="minor"/>
      </rPr>
      <t>F9</t>
    </r>
    <r>
      <rPr>
        <sz val="11"/>
        <color theme="1"/>
        <rFont val="Calibri"/>
        <family val="2"/>
        <scheme val="minor"/>
      </rPr>
      <t xml:space="preserve"> on your keyboard, you can activate a search-Function. To find the object NGC7331 it is only necessary to search "7331" (as long as there is no other field with this text before). When the object is found, the object is shown in the upper line of the screen.</t>
    </r>
  </si>
  <si>
    <t>C:\Programme\Stellarium\nebulae\default\</t>
  </si>
  <si>
    <t>Filter</t>
  </si>
  <si>
    <t>Path to Stellarium pictures in Windows usually : C:\Programme\Stellarium\nebulae\default\</t>
  </si>
  <si>
    <t>3.35</t>
  </si>
  <si>
    <t>removed the conditional farmattings in Alt-column; changed the text in the filter-buttons</t>
  </si>
  <si>
    <t>3.36</t>
  </si>
  <si>
    <t>changes</t>
  </si>
  <si>
    <t>version</t>
  </si>
  <si>
    <t>Changed the text in field A2 , included changelog</t>
  </si>
  <si>
    <t>macOS</t>
  </si>
  <si>
    <t>Windows</t>
  </si>
  <si>
    <t>Path</t>
  </si>
  <si>
    <t>/Applications/Stellarium.app/Contents/Resources/nebulae/default/</t>
  </si>
  <si>
    <t>3.37</t>
  </si>
  <si>
    <t>Added OS detection to select path to Stellarium pictures from the settings.</t>
  </si>
  <si>
    <t>Filter input mask corrected   :  Size is arcmin (not arcsec)</t>
  </si>
  <si>
    <t>3.38</t>
  </si>
  <si>
    <t xml:space="preserve"> Objectsize &gt; as         [ arcmin ] </t>
  </si>
  <si>
    <t xml:space="preserve">  Altitude &gt; als                  [ deg ]</t>
  </si>
  <si>
    <r>
      <t xml:space="preserve">  Was wann und wo aufnehmen v 3.38                               Help and Comments in Page "Help"
                                                                                                 Click on </t>
    </r>
    <r>
      <rPr>
        <b/>
        <sz val="12"/>
        <color rgb="FFFF0000"/>
        <rFont val="Calibri"/>
        <family val="2"/>
        <scheme val="minor"/>
      </rPr>
      <t>any field</t>
    </r>
    <r>
      <rPr>
        <b/>
        <sz val="12"/>
        <color theme="1"/>
        <rFont val="Calibri"/>
        <family val="2"/>
        <scheme val="minor"/>
      </rPr>
      <t xml:space="preserve"> in a line  to show the picture of the object</t>
    </r>
  </si>
  <si>
    <t>3.40</t>
  </si>
  <si>
    <t>Remote control of Stellarium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</si>
</sst>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h:mm;@"/>
    <numFmt numFmtId="166" formatCode="[$-F400]h:mm:ss\ AM/PM"/>
    <numFmt numFmtId="167" formatCode="#,##0.000"/>
  </numFmts>
  <fonts count="17" x14ac:knownFonts="1">
    <font>
      <sz val="11"/>
      <color theme="1"/>
      <name val="Calibri"/>
      <family val="2"/>
      <scheme val="minor"/>
    </font>
    <font>
      <b/>
      <sz val="11"/>
      <color theme="1"/>
      <name val="Calibri"/>
      <family val="2"/>
      <scheme val="minor"/>
    </font>
    <font>
      <b/>
      <sz val="11"/>
      <color rgb="FFFF0000"/>
      <name val="Calibri"/>
      <family val="2"/>
      <scheme val="minor"/>
    </font>
    <font>
      <sz val="12"/>
      <color theme="1"/>
      <name val="Calibri"/>
      <family val="2"/>
      <scheme val="minor"/>
    </font>
    <font>
      <b/>
      <sz val="12"/>
      <color theme="1"/>
      <name val="Calibri"/>
      <family val="2"/>
      <scheme val="minor"/>
    </font>
    <font>
      <sz val="11"/>
      <color theme="0"/>
      <name val="Calibri"/>
      <family val="2"/>
      <scheme val="minor"/>
    </font>
    <font>
      <sz val="11"/>
      <color rgb="FF00B050"/>
      <name val="Calibri"/>
      <family val="2"/>
      <scheme val="minor"/>
    </font>
    <font>
      <sz val="11"/>
      <color rgb="FFFFA500"/>
      <name val="Calibri"/>
      <family val="2"/>
      <scheme val="minor"/>
    </font>
    <font>
      <sz val="11"/>
      <color rgb="FFFFFFFF"/>
      <name val="Calibri"/>
      <family val="2"/>
      <scheme val="minor"/>
    </font>
    <font>
      <b/>
      <sz val="12"/>
      <color rgb="FF000000"/>
      <name val="Calibri"/>
      <family val="2"/>
    </font>
    <font>
      <b/>
      <sz val="12"/>
      <color rgb="FFFF0000"/>
      <name val="Calibri"/>
      <family val="2"/>
    </font>
    <font>
      <b/>
      <sz val="14"/>
      <color theme="1"/>
      <name val="Calibri"/>
      <family val="2"/>
      <scheme val="minor"/>
    </font>
    <font>
      <b/>
      <sz val="14"/>
      <color rgb="FFFF0000"/>
      <name val="Calibri"/>
      <family val="2"/>
      <scheme val="minor"/>
    </font>
    <font>
      <b/>
      <sz val="11"/>
      <name val="Calibri"/>
      <family val="2"/>
      <scheme val="minor"/>
    </font>
    <font>
      <sz val="10"/>
      <color theme="1"/>
      <name val="Calibri"/>
      <family val="2"/>
      <scheme val="minor"/>
    </font>
    <font>
      <sz val="12"/>
      <color rgb="FF3F3F76"/>
      <name val="Calibri"/>
      <family val="2"/>
      <scheme val="minor"/>
    </font>
    <font>
      <b/>
      <sz val="12"/>
      <color rgb="FFFF0000"/>
      <name val="Calibri"/>
      <family val="2"/>
      <scheme val="minor"/>
    </font>
  </fonts>
  <fills count="16">
    <fill>
      <patternFill patternType="none"/>
    </fill>
    <fill>
      <patternFill patternType="gray125"/>
    </fill>
    <fill>
      <patternFill patternType="solid">
        <fgColor theme="4" tint="0.59999389629810485"/>
        <bgColor indexed="64"/>
      </patternFill>
    </fill>
    <fill>
      <patternFill patternType="solid">
        <fgColor theme="7"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FFFCC"/>
        <bgColor indexed="64"/>
      </patternFill>
    </fill>
    <fill>
      <patternFill patternType="solid">
        <fgColor theme="9" tint="0.79998168889431442"/>
        <bgColor indexed="64"/>
      </patternFill>
    </fill>
    <fill>
      <patternFill patternType="solid">
        <fgColor rgb="FFFFCCFF"/>
        <bgColor indexed="64"/>
      </patternFill>
    </fill>
    <fill>
      <patternFill patternType="solid">
        <fgColor rgb="FF00B050"/>
        <bgColor indexed="64"/>
      </patternFill>
    </fill>
    <fill>
      <patternFill patternType="solid">
        <fgColor rgb="FFFFA500"/>
        <bgColor indexed="64"/>
      </patternFill>
    </fill>
    <fill>
      <patternFill patternType="solid">
        <fgColor rgb="FFFFFFFF"/>
        <bgColor indexed="64"/>
      </patternFill>
    </fill>
    <fill>
      <patternFill patternType="solid">
        <fgColor theme="0" tint="-0.14999847407452621"/>
        <bgColor indexed="64"/>
      </patternFill>
    </fill>
    <fill>
      <patternFill patternType="solid">
        <fgColor rgb="FFFFFFD1"/>
        <bgColor indexed="64"/>
      </patternFill>
    </fill>
    <fill>
      <patternFill patternType="solid">
        <fgColor rgb="FFFFCC99"/>
      </patternFill>
    </fill>
    <fill>
      <patternFill patternType="solid">
        <fgColor rgb="FFC8E6FF"/>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s>
  <cellStyleXfs count="2">
    <xf numFmtId="0" fontId="0" fillId="0" borderId="0"/>
    <xf numFmtId="0" fontId="15" fillId="14" borderId="52" applyNumberFormat="0" applyAlignment="0" applyProtection="0"/>
  </cellStyleXfs>
  <cellXfs count="220">
    <xf numFmtId="0" fontId="0" fillId="0" borderId="0" xfId="0"/>
    <xf numFmtId="0" fontId="0" fillId="0" borderId="0" xfId="0"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2" borderId="7" xfId="0" applyFill="1"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0" fillId="2" borderId="8"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2" borderId="3" xfId="0" applyFill="1" applyBorder="1" applyAlignment="1">
      <alignment horizontal="center"/>
    </xf>
    <xf numFmtId="0" fontId="0" fillId="0" borderId="4" xfId="0" applyBorder="1" applyAlignment="1">
      <alignment horizontal="center"/>
    </xf>
    <xf numFmtId="0" fontId="0" fillId="0" borderId="3" xfId="0" applyBorder="1" applyAlignment="1">
      <alignment horizontal="center"/>
    </xf>
    <xf numFmtId="0" fontId="0" fillId="2"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2" borderId="5" xfId="0" applyFill="1"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2" borderId="6" xfId="0" applyFill="1" applyBorder="1" applyAlignment="1">
      <alignment horizontal="center"/>
    </xf>
    <xf numFmtId="0" fontId="0" fillId="3" borderId="2"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0" fontId="0" fillId="0" borderId="1" xfId="0" applyBorder="1" applyAlignment="1">
      <alignment horizontal="center"/>
    </xf>
    <xf numFmtId="164" fontId="2" fillId="3" borderId="14" xfId="0" applyNumberFormat="1" applyFont="1" applyFill="1" applyBorder="1" applyAlignment="1">
      <alignment horizontal="center"/>
    </xf>
    <xf numFmtId="164" fontId="2" fillId="0" borderId="0" xfId="0" applyNumberFormat="1" applyFont="1" applyAlignment="1">
      <alignment horizontal="center"/>
    </xf>
    <xf numFmtId="164" fontId="2" fillId="3" borderId="3" xfId="0" applyNumberFormat="1" applyFont="1" applyFill="1" applyBorder="1" applyAlignment="1">
      <alignment horizontal="center"/>
    </xf>
    <xf numFmtId="164" fontId="2" fillId="3" borderId="4" xfId="0" applyNumberFormat="1" applyFont="1" applyFill="1" applyBorder="1" applyAlignment="1">
      <alignment horizontal="center"/>
    </xf>
    <xf numFmtId="164" fontId="2" fillId="2" borderId="3" xfId="0" applyNumberFormat="1" applyFont="1" applyFill="1" applyBorder="1" applyAlignment="1">
      <alignment horizontal="center"/>
    </xf>
    <xf numFmtId="164" fontId="2" fillId="0" borderId="4" xfId="0" applyNumberFormat="1" applyFont="1" applyBorder="1" applyAlignment="1">
      <alignment horizontal="center"/>
    </xf>
    <xf numFmtId="164" fontId="2" fillId="0" borderId="3" xfId="0" applyNumberFormat="1" applyFont="1" applyBorder="1" applyAlignment="1">
      <alignment horizontal="center"/>
    </xf>
    <xf numFmtId="164" fontId="2" fillId="2" borderId="4" xfId="0" applyNumberFormat="1" applyFont="1" applyFill="1" applyBorder="1" applyAlignment="1">
      <alignment horizontal="center"/>
    </xf>
    <xf numFmtId="0" fontId="0" fillId="0" borderId="0" xfId="0" applyAlignment="1">
      <alignment horizontal="left"/>
    </xf>
    <xf numFmtId="0" fontId="0" fillId="0" borderId="16" xfId="0" applyBorder="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0" borderId="27" xfId="0" applyBorder="1" applyAlignment="1">
      <alignment horizontal="center"/>
    </xf>
    <xf numFmtId="0" fontId="0" fillId="0" borderId="2" xfId="0" applyBorder="1" applyAlignment="1">
      <alignment horizontal="center"/>
    </xf>
    <xf numFmtId="0" fontId="0" fillId="0" borderId="22" xfId="0" applyBorder="1" applyAlignment="1">
      <alignment horizontal="center"/>
    </xf>
    <xf numFmtId="14" fontId="0" fillId="0" borderId="0" xfId="0" applyNumberFormat="1" applyAlignment="1">
      <alignment horizontal="center"/>
    </xf>
    <xf numFmtId="0" fontId="0" fillId="0" borderId="24" xfId="0" applyBorder="1" applyAlignment="1">
      <alignment horizontal="center"/>
    </xf>
    <xf numFmtId="0" fontId="0" fillId="0" borderId="28" xfId="0" applyBorder="1" applyAlignment="1">
      <alignment horizontal="center"/>
    </xf>
    <xf numFmtId="1" fontId="0" fillId="0" borderId="0" xfId="0" applyNumberFormat="1" applyAlignment="1">
      <alignment horizontal="center"/>
    </xf>
    <xf numFmtId="14" fontId="0" fillId="0" borderId="2" xfId="0" applyNumberFormat="1" applyBorder="1" applyAlignment="1">
      <alignment horizontal="center"/>
    </xf>
    <xf numFmtId="2" fontId="0" fillId="0" borderId="0" xfId="0" applyNumberFormat="1" applyAlignment="1">
      <alignment horizontal="center"/>
    </xf>
    <xf numFmtId="14" fontId="0" fillId="0" borderId="11" xfId="0" applyNumberFormat="1" applyBorder="1" applyAlignment="1">
      <alignment horizontal="center"/>
    </xf>
    <xf numFmtId="14" fontId="0" fillId="0" borderId="29" xfId="0" applyNumberFormat="1" applyBorder="1" applyAlignment="1">
      <alignment horizontal="center"/>
    </xf>
    <xf numFmtId="2" fontId="0" fillId="0" borderId="1" xfId="0" applyNumberFormat="1" applyBorder="1" applyAlignment="1">
      <alignment horizontal="center"/>
    </xf>
    <xf numFmtId="166" fontId="0" fillId="0" borderId="0" xfId="0" applyNumberFormat="1" applyAlignment="1">
      <alignment horizontal="center"/>
    </xf>
    <xf numFmtId="1" fontId="0" fillId="5" borderId="0" xfId="0" applyNumberFormat="1" applyFill="1" applyAlignment="1">
      <alignment horizontal="center"/>
    </xf>
    <xf numFmtId="165" fontId="0" fillId="5" borderId="14" xfId="0" applyNumberFormat="1" applyFill="1" applyBorder="1" applyAlignment="1">
      <alignment horizontal="center"/>
    </xf>
    <xf numFmtId="2" fontId="0" fillId="4" borderId="0" xfId="0" applyNumberFormat="1" applyFill="1" applyAlignment="1">
      <alignment horizontal="center"/>
    </xf>
    <xf numFmtId="0" fontId="0" fillId="6" borderId="17" xfId="0" applyFill="1" applyBorder="1" applyAlignment="1">
      <alignment horizontal="center"/>
    </xf>
    <xf numFmtId="0" fontId="0" fillId="6" borderId="3" xfId="0" applyFill="1" applyBorder="1" applyAlignment="1">
      <alignment horizontal="center"/>
    </xf>
    <xf numFmtId="0" fontId="0" fillId="6" borderId="41" xfId="0" applyFill="1" applyBorder="1" applyAlignment="1">
      <alignment horizontal="center"/>
    </xf>
    <xf numFmtId="0" fontId="0" fillId="6" borderId="39" xfId="0" applyFill="1" applyBorder="1" applyAlignment="1">
      <alignment horizontal="center"/>
    </xf>
    <xf numFmtId="0" fontId="0" fillId="6" borderId="5" xfId="0" applyFill="1" applyBorder="1" applyAlignment="1">
      <alignment horizontal="center"/>
    </xf>
    <xf numFmtId="0" fontId="0" fillId="6" borderId="42" xfId="0" applyFill="1" applyBorder="1" applyAlignment="1">
      <alignment horizontal="center"/>
    </xf>
    <xf numFmtId="0" fontId="0" fillId="6" borderId="40" xfId="0" applyFill="1" applyBorder="1" applyAlignment="1">
      <alignment horizontal="center"/>
    </xf>
    <xf numFmtId="0" fontId="0" fillId="0" borderId="0" xfId="0" applyAlignment="1">
      <alignment vertical="center"/>
    </xf>
    <xf numFmtId="0" fontId="0" fillId="6" borderId="37" xfId="0" applyFill="1" applyBorder="1" applyAlignment="1">
      <alignment horizontal="left"/>
    </xf>
    <xf numFmtId="0" fontId="0" fillId="6" borderId="38" xfId="0" applyFill="1" applyBorder="1" applyAlignment="1">
      <alignment horizontal="left"/>
    </xf>
    <xf numFmtId="0" fontId="0" fillId="6" borderId="19" xfId="0" applyFill="1" applyBorder="1" applyAlignment="1">
      <alignment horizontal="center"/>
    </xf>
    <xf numFmtId="0" fontId="0" fillId="6" borderId="24" xfId="0" applyFill="1" applyBorder="1" applyAlignment="1">
      <alignment horizontal="center"/>
    </xf>
    <xf numFmtId="0" fontId="0" fillId="6" borderId="4" xfId="0" applyFill="1" applyBorder="1" applyAlignment="1">
      <alignment horizontal="center"/>
    </xf>
    <xf numFmtId="0" fontId="0" fillId="6" borderId="25" xfId="0" applyFill="1" applyBorder="1" applyAlignment="1">
      <alignment horizontal="center"/>
    </xf>
    <xf numFmtId="0" fontId="0" fillId="6" borderId="6" xfId="0" applyFill="1" applyBorder="1" applyAlignment="1">
      <alignment horizontal="center"/>
    </xf>
    <xf numFmtId="0" fontId="0" fillId="0" borderId="31" xfId="0" applyBorder="1" applyAlignment="1">
      <alignment horizontal="center"/>
    </xf>
    <xf numFmtId="14" fontId="0" fillId="6" borderId="2" xfId="0" applyNumberFormat="1" applyFill="1" applyBorder="1" applyAlignment="1">
      <alignment horizontal="center"/>
    </xf>
    <xf numFmtId="0" fontId="0" fillId="6" borderId="18" xfId="0" applyFill="1" applyBorder="1" applyAlignment="1">
      <alignment horizontal="center"/>
    </xf>
    <xf numFmtId="0" fontId="0" fillId="6" borderId="1" xfId="0" applyFill="1" applyBorder="1" applyAlignment="1">
      <alignment horizontal="center"/>
    </xf>
    <xf numFmtId="0" fontId="0" fillId="6" borderId="20" xfId="0" applyFill="1" applyBorder="1" applyAlignment="1">
      <alignment horizontal="center"/>
    </xf>
    <xf numFmtId="14" fontId="0" fillId="7" borderId="3" xfId="0" applyNumberFormat="1" applyFill="1" applyBorder="1" applyAlignment="1">
      <alignment horizontal="center"/>
    </xf>
    <xf numFmtId="0" fontId="0" fillId="7" borderId="1" xfId="0" applyFill="1" applyBorder="1" applyAlignment="1">
      <alignment horizontal="center"/>
    </xf>
    <xf numFmtId="1" fontId="0" fillId="7" borderId="1" xfId="0" applyNumberFormat="1" applyFill="1" applyBorder="1" applyAlignment="1">
      <alignment horizontal="center"/>
    </xf>
    <xf numFmtId="1" fontId="0" fillId="7" borderId="4" xfId="0" applyNumberFormat="1" applyFill="1" applyBorder="1" applyAlignment="1">
      <alignment horizontal="center"/>
    </xf>
    <xf numFmtId="14" fontId="0" fillId="7" borderId="5" xfId="0" applyNumberFormat="1" applyFill="1" applyBorder="1" applyAlignment="1">
      <alignment horizontal="center"/>
    </xf>
    <xf numFmtId="0" fontId="0" fillId="7" borderId="20" xfId="0" applyFill="1" applyBorder="1" applyAlignment="1">
      <alignment horizontal="center"/>
    </xf>
    <xf numFmtId="1" fontId="0" fillId="7" borderId="20" xfId="0" applyNumberFormat="1" applyFill="1" applyBorder="1" applyAlignment="1">
      <alignment horizontal="center"/>
    </xf>
    <xf numFmtId="1" fontId="0" fillId="7" borderId="6" xfId="0" applyNumberFormat="1" applyFill="1" applyBorder="1" applyAlignment="1">
      <alignment horizontal="center"/>
    </xf>
    <xf numFmtId="0" fontId="0" fillId="6" borderId="1" xfId="0" applyFill="1" applyBorder="1" applyAlignment="1">
      <alignment horizontal="left"/>
    </xf>
    <xf numFmtId="165" fontId="0" fillId="8" borderId="14" xfId="0" applyNumberFormat="1" applyFill="1" applyBorder="1" applyAlignment="1">
      <alignment horizontal="center"/>
    </xf>
    <xf numFmtId="0" fontId="0" fillId="6" borderId="43" xfId="0" applyFill="1" applyBorder="1" applyAlignment="1">
      <alignment horizontal="left"/>
    </xf>
    <xf numFmtId="0" fontId="0" fillId="0" borderId="26" xfId="0" applyBorder="1" applyAlignment="1">
      <alignment horizontal="center"/>
    </xf>
    <xf numFmtId="0" fontId="5" fillId="0" borderId="0" xfId="0" applyFont="1" applyAlignment="1">
      <alignment horizontal="left"/>
    </xf>
    <xf numFmtId="0" fontId="5" fillId="6" borderId="37" xfId="0" applyFont="1" applyFill="1" applyBorder="1" applyAlignment="1">
      <alignment horizontal="left"/>
    </xf>
    <xf numFmtId="0" fontId="5" fillId="0" borderId="0" xfId="0" applyFont="1" applyAlignment="1">
      <alignment horizontal="center"/>
    </xf>
    <xf numFmtId="0" fontId="6" fillId="9" borderId="43" xfId="0" applyFont="1" applyFill="1" applyBorder="1" applyAlignment="1">
      <alignment horizontal="left"/>
    </xf>
    <xf numFmtId="0" fontId="7" fillId="10" borderId="37" xfId="0" applyFont="1" applyFill="1" applyBorder="1" applyAlignment="1">
      <alignment horizontal="left"/>
    </xf>
    <xf numFmtId="0" fontId="8" fillId="11" borderId="0" xfId="0" applyFont="1" applyFill="1" applyAlignment="1">
      <alignment horizontal="center"/>
    </xf>
    <xf numFmtId="0" fontId="6" fillId="9" borderId="0" xfId="0" applyFont="1" applyFill="1" applyAlignment="1">
      <alignment horizontal="center"/>
    </xf>
    <xf numFmtId="0" fontId="0" fillId="0" borderId="0" xfId="0" applyAlignment="1">
      <alignment wrapText="1"/>
    </xf>
    <xf numFmtId="0" fontId="0" fillId="0" borderId="0" xfId="0" applyAlignment="1">
      <alignment vertical="center" wrapText="1"/>
    </xf>
    <xf numFmtId="1" fontId="0" fillId="0" borderId="0" xfId="0" applyNumberFormat="1"/>
    <xf numFmtId="0" fontId="0" fillId="0" borderId="47" xfId="0" applyBorder="1" applyAlignment="1">
      <alignment horizontal="center"/>
    </xf>
    <xf numFmtId="0" fontId="3" fillId="0" borderId="0" xfId="0" applyFont="1" applyAlignment="1">
      <alignment vertical="top" wrapText="1"/>
    </xf>
    <xf numFmtId="0" fontId="0" fillId="6" borderId="6" xfId="0" applyFill="1" applyBorder="1" applyAlignment="1">
      <alignment horizontal="center" vertical="center"/>
    </xf>
    <xf numFmtId="0" fontId="0" fillId="0" borderId="12" xfId="0" applyBorder="1" applyAlignment="1">
      <alignment horizontal="center"/>
    </xf>
    <xf numFmtId="0" fontId="0" fillId="0" borderId="14" xfId="0" applyBorder="1" applyAlignment="1">
      <alignment horizontal="center"/>
    </xf>
    <xf numFmtId="0" fontId="0" fillId="0" borderId="15" xfId="0" applyBorder="1" applyAlignment="1">
      <alignment horizontal="center" vertical="center"/>
    </xf>
    <xf numFmtId="0" fontId="0" fillId="0" borderId="17" xfId="0" applyBorder="1" applyAlignment="1">
      <alignment horizontal="center"/>
    </xf>
    <xf numFmtId="167" fontId="0" fillId="6" borderId="6" xfId="0" applyNumberFormat="1" applyFill="1" applyBorder="1" applyAlignment="1">
      <alignment horizontal="center"/>
    </xf>
    <xf numFmtId="0" fontId="12" fillId="0" borderId="0" xfId="0" applyFont="1"/>
    <xf numFmtId="0" fontId="13" fillId="0" borderId="0" xfId="0" applyFont="1" applyAlignment="1">
      <alignment horizontal="center"/>
    </xf>
    <xf numFmtId="0" fontId="11" fillId="12" borderId="0" xfId="0" applyFont="1" applyFill="1" applyAlignment="1">
      <alignment horizontal="center" vertical="center" wrapText="1"/>
    </xf>
    <xf numFmtId="0" fontId="0" fillId="0" borderId="30" xfId="0" applyBorder="1" applyAlignment="1">
      <alignment wrapText="1"/>
    </xf>
    <xf numFmtId="0" fontId="6" fillId="13" borderId="12" xfId="0" applyFont="1" applyFill="1" applyBorder="1" applyAlignment="1">
      <alignment horizontal="left"/>
    </xf>
    <xf numFmtId="0" fontId="0" fillId="13" borderId="46" xfId="0" applyFill="1" applyBorder="1" applyAlignment="1">
      <alignment horizontal="left"/>
    </xf>
    <xf numFmtId="0" fontId="0" fillId="13" borderId="28" xfId="0" applyFill="1" applyBorder="1" applyAlignment="1">
      <alignment horizontal="center"/>
    </xf>
    <xf numFmtId="2" fontId="0" fillId="13" borderId="1" xfId="0" applyNumberFormat="1" applyFill="1" applyBorder="1" applyAlignment="1">
      <alignment horizontal="center"/>
    </xf>
    <xf numFmtId="0" fontId="0" fillId="13" borderId="24" xfId="0" applyFill="1" applyBorder="1" applyAlignment="1">
      <alignment horizontal="center"/>
    </xf>
    <xf numFmtId="14" fontId="0" fillId="13" borderId="29" xfId="0" applyNumberFormat="1" applyFill="1" applyBorder="1" applyAlignment="1">
      <alignment horizontal="center"/>
    </xf>
    <xf numFmtId="14" fontId="0" fillId="13" borderId="0" xfId="0" applyNumberFormat="1" applyFill="1" applyAlignment="1">
      <alignment horizontal="center"/>
    </xf>
    <xf numFmtId="1" fontId="0" fillId="13" borderId="0" xfId="0" applyNumberFormat="1" applyFill="1" applyAlignment="1">
      <alignment horizontal="center"/>
    </xf>
    <xf numFmtId="0" fontId="0" fillId="13" borderId="0" xfId="0" applyFill="1" applyAlignment="1">
      <alignment horizontal="center"/>
    </xf>
    <xf numFmtId="2" fontId="0" fillId="13" borderId="0" xfId="0" applyNumberFormat="1" applyFill="1" applyAlignment="1">
      <alignment horizontal="center"/>
    </xf>
    <xf numFmtId="165" fontId="0" fillId="13" borderId="14" xfId="0" applyNumberFormat="1" applyFill="1" applyBorder="1" applyAlignment="1">
      <alignment horizontal="center"/>
    </xf>
    <xf numFmtId="0" fontId="0" fillId="13" borderId="3" xfId="0" applyFill="1" applyBorder="1" applyAlignment="1">
      <alignment horizontal="left"/>
    </xf>
    <xf numFmtId="0" fontId="0" fillId="13" borderId="4" xfId="0" applyFill="1" applyBorder="1" applyAlignment="1">
      <alignment horizontal="left"/>
    </xf>
    <xf numFmtId="0" fontId="0" fillId="13" borderId="41" xfId="0" applyFill="1" applyBorder="1" applyAlignment="1">
      <alignment horizontal="left"/>
    </xf>
    <xf numFmtId="0" fontId="0" fillId="13" borderId="3" xfId="0" applyFill="1" applyBorder="1" applyAlignment="1">
      <alignment horizontal="center"/>
    </xf>
    <xf numFmtId="0" fontId="0" fillId="13" borderId="41" xfId="0" applyFill="1" applyBorder="1" applyAlignment="1">
      <alignment horizontal="center"/>
    </xf>
    <xf numFmtId="0" fontId="0" fillId="13" borderId="39" xfId="0" applyFill="1" applyBorder="1" applyAlignment="1">
      <alignment horizontal="center"/>
    </xf>
    <xf numFmtId="0" fontId="0" fillId="13" borderId="4" xfId="0" applyFill="1" applyBorder="1" applyAlignment="1">
      <alignment horizontal="center"/>
    </xf>
    <xf numFmtId="14" fontId="0" fillId="13" borderId="3" xfId="0" applyNumberFormat="1" applyFill="1" applyBorder="1" applyAlignment="1">
      <alignment horizontal="center"/>
    </xf>
    <xf numFmtId="0" fontId="0" fillId="13" borderId="1" xfId="0" applyFill="1" applyBorder="1" applyAlignment="1">
      <alignment horizontal="center"/>
    </xf>
    <xf numFmtId="1" fontId="0" fillId="13" borderId="1" xfId="0" applyNumberFormat="1" applyFill="1" applyBorder="1" applyAlignment="1">
      <alignment horizontal="center"/>
    </xf>
    <xf numFmtId="1" fontId="0" fillId="13" borderId="4" xfId="0" applyNumberFormat="1" applyFill="1" applyBorder="1" applyAlignment="1">
      <alignment horizontal="center"/>
    </xf>
    <xf numFmtId="0" fontId="0" fillId="13" borderId="41" xfId="0" applyFill="1" applyBorder="1"/>
    <xf numFmtId="0" fontId="7" fillId="13" borderId="12" xfId="0" applyFont="1" applyFill="1" applyBorder="1" applyAlignment="1">
      <alignment horizontal="left"/>
    </xf>
    <xf numFmtId="0" fontId="0" fillId="0" borderId="21" xfId="0" applyBorder="1" applyAlignment="1">
      <alignment horizontal="center"/>
    </xf>
    <xf numFmtId="0" fontId="0" fillId="13" borderId="5" xfId="0" applyFill="1" applyBorder="1" applyAlignment="1">
      <alignment horizontal="left"/>
    </xf>
    <xf numFmtId="0" fontId="0" fillId="13" borderId="6" xfId="0" applyFill="1" applyBorder="1" applyAlignment="1">
      <alignment horizontal="left"/>
    </xf>
    <xf numFmtId="0" fontId="6" fillId="13" borderId="2" xfId="0" applyFont="1" applyFill="1" applyBorder="1" applyAlignment="1">
      <alignment horizontal="left"/>
    </xf>
    <xf numFmtId="0" fontId="0" fillId="13" borderId="42" xfId="0" applyFill="1" applyBorder="1" applyAlignment="1">
      <alignment horizontal="left"/>
    </xf>
    <xf numFmtId="0" fontId="0" fillId="13" borderId="45" xfId="0" applyFill="1" applyBorder="1" applyAlignment="1">
      <alignment horizontal="left"/>
    </xf>
    <xf numFmtId="0" fontId="0" fillId="13" borderId="44" xfId="0" applyFill="1" applyBorder="1" applyAlignment="1">
      <alignment horizontal="left"/>
    </xf>
    <xf numFmtId="0" fontId="5" fillId="13" borderId="44" xfId="0" applyFont="1" applyFill="1" applyBorder="1" applyAlignment="1">
      <alignment horizontal="left"/>
    </xf>
    <xf numFmtId="0" fontId="0" fillId="13" borderId="0" xfId="0" applyFill="1" applyAlignment="1">
      <alignment horizontal="left"/>
    </xf>
    <xf numFmtId="0" fontId="14" fillId="0" borderId="0" xfId="0" applyFont="1" applyAlignment="1">
      <alignment vertical="center" wrapText="1"/>
    </xf>
    <xf numFmtId="0" fontId="14" fillId="0" borderId="0" xfId="0" applyFont="1" applyAlignment="1">
      <alignment horizontal="center"/>
    </xf>
    <xf numFmtId="49" fontId="0" fillId="0" borderId="0" xfId="0" applyNumberFormat="1"/>
    <xf numFmtId="0" fontId="0" fillId="13" borderId="0" xfId="0" applyFill="1"/>
    <xf numFmtId="49" fontId="0" fillId="13" borderId="0" xfId="0" applyNumberFormat="1" applyFill="1"/>
    <xf numFmtId="0" fontId="0" fillId="0" borderId="1" xfId="0" applyBorder="1"/>
    <xf numFmtId="0" fontId="15" fillId="14" borderId="1" xfId="1" applyBorder="1" applyAlignment="1"/>
    <xf numFmtId="0" fontId="0" fillId="13" borderId="17" xfId="0" applyFill="1" applyBorder="1" applyAlignment="1">
      <alignment horizontal="left"/>
    </xf>
    <xf numFmtId="0" fontId="0" fillId="13" borderId="19" xfId="0" applyFill="1" applyBorder="1" applyAlignment="1">
      <alignment horizontal="left"/>
    </xf>
    <xf numFmtId="0" fontId="0" fillId="13" borderId="29" xfId="0" applyFill="1" applyBorder="1" applyAlignment="1">
      <alignment horizontal="left"/>
    </xf>
    <xf numFmtId="0" fontId="0" fillId="13" borderId="17" xfId="0" applyFill="1" applyBorder="1" applyAlignment="1">
      <alignment horizontal="center"/>
    </xf>
    <xf numFmtId="0" fontId="0" fillId="13" borderId="29" xfId="0" applyFill="1" applyBorder="1" applyAlignment="1">
      <alignment horizontal="center"/>
    </xf>
    <xf numFmtId="0" fontId="0" fillId="13" borderId="23" xfId="0" applyFill="1" applyBorder="1" applyAlignment="1">
      <alignment horizontal="center"/>
    </xf>
    <xf numFmtId="0" fontId="0" fillId="13" borderId="19" xfId="0" applyFill="1" applyBorder="1" applyAlignment="1">
      <alignment horizontal="center"/>
    </xf>
    <xf numFmtId="14" fontId="0" fillId="13" borderId="17" xfId="0" applyNumberFormat="1" applyFill="1" applyBorder="1" applyAlignment="1">
      <alignment horizontal="center"/>
    </xf>
    <xf numFmtId="0" fontId="0" fillId="13" borderId="18" xfId="0" applyFill="1" applyBorder="1" applyAlignment="1">
      <alignment horizontal="center"/>
    </xf>
    <xf numFmtId="1" fontId="0" fillId="13" borderId="18" xfId="0" applyNumberFormat="1" applyFill="1" applyBorder="1" applyAlignment="1">
      <alignment horizontal="center"/>
    </xf>
    <xf numFmtId="1" fontId="0" fillId="13" borderId="19" xfId="0" applyNumberFormat="1" applyFill="1" applyBorder="1" applyAlignment="1">
      <alignment horizontal="center"/>
    </xf>
    <xf numFmtId="165" fontId="0" fillId="13" borderId="12" xfId="0" applyNumberFormat="1" applyFill="1" applyBorder="1" applyAlignment="1">
      <alignment horizontal="center"/>
    </xf>
    <xf numFmtId="0" fontId="4" fillId="12" borderId="0" xfId="0" applyFont="1" applyFill="1" applyAlignment="1">
      <alignment horizontal="left" vertical="top" wrapText="1"/>
    </xf>
    <xf numFmtId="0" fontId="3" fillId="12" borderId="0" xfId="0" applyFont="1" applyFill="1" applyAlignment="1">
      <alignment horizontal="left" vertical="top" wrapText="1"/>
    </xf>
    <xf numFmtId="0" fontId="11" fillId="0" borderId="26" xfId="0" applyFont="1" applyBorder="1" applyAlignment="1">
      <alignment horizontal="center"/>
    </xf>
    <xf numFmtId="0" fontId="11" fillId="0" borderId="11" xfId="0" applyFont="1" applyBorder="1" applyAlignment="1">
      <alignment horizontal="center"/>
    </xf>
    <xf numFmtId="0" fontId="11" fillId="0" borderId="27" xfId="0" applyFont="1" applyBorder="1" applyAlignment="1">
      <alignment horizontal="center"/>
    </xf>
    <xf numFmtId="0" fontId="0" fillId="0" borderId="29" xfId="0" applyBorder="1" applyAlignment="1">
      <alignment horizontal="left"/>
    </xf>
    <xf numFmtId="0" fontId="0" fillId="0" borderId="23" xfId="0" applyBorder="1" applyAlignment="1">
      <alignment horizontal="left"/>
    </xf>
    <xf numFmtId="0" fontId="0" fillId="0" borderId="42" xfId="0" applyBorder="1" applyAlignment="1">
      <alignment horizontal="left" vertical="center"/>
    </xf>
    <xf numFmtId="0" fontId="0" fillId="0" borderId="25" xfId="0" applyBorder="1" applyAlignment="1">
      <alignment horizontal="left" vertical="center"/>
    </xf>
    <xf numFmtId="0" fontId="0" fillId="0" borderId="49" xfId="0" applyBorder="1" applyAlignment="1">
      <alignment horizontal="left"/>
    </xf>
    <xf numFmtId="0" fontId="0" fillId="0" borderId="41" xfId="0" applyBorder="1" applyAlignment="1">
      <alignment horizontal="left"/>
    </xf>
    <xf numFmtId="0" fontId="0" fillId="0" borderId="24" xfId="0" applyBorder="1" applyAlignment="1">
      <alignment horizontal="left"/>
    </xf>
    <xf numFmtId="0" fontId="0" fillId="0" borderId="27" xfId="0" applyBorder="1" applyAlignment="1">
      <alignment horizontal="center"/>
    </xf>
    <xf numFmtId="166" fontId="0" fillId="0" borderId="50" xfId="0" applyNumberFormat="1" applyBorder="1" applyAlignment="1">
      <alignment horizontal="center" wrapText="1"/>
    </xf>
    <xf numFmtId="166" fontId="0" fillId="0" borderId="51" xfId="0" applyNumberFormat="1" applyBorder="1" applyAlignment="1">
      <alignment horizontal="center" wrapText="1"/>
    </xf>
    <xf numFmtId="0" fontId="1" fillId="0" borderId="48" xfId="0" applyFont="1" applyBorder="1" applyAlignment="1">
      <alignment horizontal="center"/>
    </xf>
    <xf numFmtId="0" fontId="1" fillId="0" borderId="28" xfId="0" applyFont="1" applyBorder="1" applyAlignment="1">
      <alignment horizontal="center"/>
    </xf>
    <xf numFmtId="0" fontId="0" fillId="0" borderId="35" xfId="0" applyBorder="1" applyAlignment="1">
      <alignment horizontal="left"/>
    </xf>
    <xf numFmtId="0" fontId="0" fillId="0" borderId="36" xfId="0" applyBorder="1" applyAlignment="1">
      <alignment horizontal="left"/>
    </xf>
    <xf numFmtId="0" fontId="1" fillId="0" borderId="26" xfId="0" applyFont="1" applyBorder="1" applyAlignment="1">
      <alignment horizontal="center"/>
    </xf>
    <xf numFmtId="0" fontId="1" fillId="0" borderId="27" xfId="0" applyFont="1" applyBorder="1" applyAlignment="1">
      <alignment horizontal="center"/>
    </xf>
    <xf numFmtId="0" fontId="0" fillId="0" borderId="32" xfId="0" applyBorder="1" applyAlignment="1">
      <alignment horizontal="center" vertical="center" wrapText="1"/>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0" xfId="0" applyBorder="1" applyAlignment="1">
      <alignment horizontal="center" vertical="center"/>
    </xf>
    <xf numFmtId="0" fontId="0" fillId="0" borderId="36" xfId="0" applyBorder="1" applyAlignment="1">
      <alignment horizontal="center" vertical="center"/>
    </xf>
    <xf numFmtId="0" fontId="0" fillId="0" borderId="26" xfId="0" applyBorder="1" applyAlignment="1">
      <alignment horizontal="center"/>
    </xf>
    <xf numFmtId="0" fontId="1" fillId="0" borderId="11" xfId="0" applyFont="1" applyBorder="1" applyAlignment="1">
      <alignment horizontal="center"/>
    </xf>
    <xf numFmtId="0" fontId="13" fillId="0" borderId="0" xfId="0" quotePrefix="1" applyFont="1" applyAlignment="1">
      <alignment horizontal="center"/>
    </xf>
    <xf numFmtId="0" fontId="2" fillId="0" borderId="0" xfId="0" applyFont="1" applyAlignment="1">
      <alignment horizontal="center"/>
    </xf>
    <xf numFmtId="0" fontId="0" fillId="0" borderId="26"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1" fillId="0" borderId="9" xfId="0" applyFont="1" applyBorder="1" applyAlignment="1">
      <alignment horizontal="center"/>
    </xf>
    <xf numFmtId="0" fontId="1" fillId="0" borderId="10" xfId="0" applyFont="1" applyBorder="1" applyAlignment="1">
      <alignment horizontal="center"/>
    </xf>
    <xf numFmtId="0" fontId="0" fillId="0" borderId="21" xfId="0" applyFill="1" applyBorder="1" applyAlignment="1">
      <alignment horizontal="center"/>
    </xf>
    <xf numFmtId="0" fontId="0" fillId="0" borderId="0" xfId="0" applyFill="1" applyAlignment="1">
      <alignment horizontal="center"/>
    </xf>
    <xf numFmtId="0" fontId="0" fillId="15" borderId="3" xfId="0" applyFill="1" applyBorder="1" applyAlignment="1">
      <alignment horizontal="left"/>
    </xf>
    <xf numFmtId="0" fontId="0" fillId="15" borderId="4" xfId="0" applyFill="1" applyBorder="1" applyAlignment="1">
      <alignment horizontal="left"/>
    </xf>
    <xf numFmtId="0" fontId="6" fillId="15" borderId="12" xfId="0" applyFont="1" applyFill="1" applyBorder="1" applyAlignment="1">
      <alignment horizontal="left"/>
    </xf>
    <xf numFmtId="0" fontId="0" fillId="15" borderId="41" xfId="0" applyFill="1" applyBorder="1" applyAlignment="1">
      <alignment horizontal="left"/>
    </xf>
    <xf numFmtId="0" fontId="0" fillId="15" borderId="46" xfId="0" applyFill="1" applyBorder="1" applyAlignment="1">
      <alignment horizontal="left"/>
    </xf>
    <xf numFmtId="0" fontId="0" fillId="15" borderId="3" xfId="0" applyFill="1" applyBorder="1" applyAlignment="1">
      <alignment horizontal="center"/>
    </xf>
    <xf numFmtId="0" fontId="0" fillId="15" borderId="41" xfId="0" applyFill="1" applyBorder="1" applyAlignment="1">
      <alignment horizontal="center"/>
    </xf>
    <xf numFmtId="0" fontId="0" fillId="15" borderId="39" xfId="0" applyFill="1" applyBorder="1" applyAlignment="1">
      <alignment horizontal="center"/>
    </xf>
    <xf numFmtId="0" fontId="0" fillId="15" borderId="24" xfId="0" applyFill="1" applyBorder="1" applyAlignment="1">
      <alignment horizontal="center"/>
    </xf>
    <xf numFmtId="0" fontId="0" fillId="15" borderId="4" xfId="0" applyFill="1" applyBorder="1" applyAlignment="1">
      <alignment horizontal="center"/>
    </xf>
    <xf numFmtId="0" fontId="0" fillId="15" borderId="28" xfId="0" applyFill="1" applyBorder="1" applyAlignment="1">
      <alignment horizontal="center"/>
    </xf>
    <xf numFmtId="2" fontId="0" fillId="15" borderId="1" xfId="0" applyNumberFormat="1" applyFill="1" applyBorder="1" applyAlignment="1">
      <alignment horizontal="center"/>
    </xf>
    <xf numFmtId="14" fontId="0" fillId="15" borderId="29" xfId="0" applyNumberFormat="1" applyFill="1" applyBorder="1" applyAlignment="1">
      <alignment horizontal="center"/>
    </xf>
    <xf numFmtId="14" fontId="0" fillId="15" borderId="0" xfId="0" applyNumberFormat="1" applyFill="1" applyAlignment="1">
      <alignment horizontal="center"/>
    </xf>
    <xf numFmtId="1" fontId="0" fillId="15" borderId="0" xfId="0" applyNumberFormat="1" applyFill="1" applyAlignment="1">
      <alignment horizontal="center"/>
    </xf>
    <xf numFmtId="14" fontId="0" fillId="15" borderId="3" xfId="0" applyNumberFormat="1" applyFill="1" applyBorder="1" applyAlignment="1">
      <alignment horizontal="center"/>
    </xf>
    <xf numFmtId="0" fontId="0" fillId="15" borderId="1" xfId="0" applyFill="1" applyBorder="1" applyAlignment="1">
      <alignment horizontal="center"/>
    </xf>
    <xf numFmtId="1" fontId="0" fillId="15" borderId="1" xfId="0" applyNumberFormat="1" applyFill="1" applyBorder="1" applyAlignment="1">
      <alignment horizontal="center"/>
    </xf>
    <xf numFmtId="1" fontId="0" fillId="15" borderId="4" xfId="0" applyNumberFormat="1" applyFill="1" applyBorder="1" applyAlignment="1">
      <alignment horizontal="center"/>
    </xf>
    <xf numFmtId="0" fontId="0" fillId="15" borderId="0" xfId="0" applyFill="1" applyAlignment="1">
      <alignment horizontal="center"/>
    </xf>
    <xf numFmtId="165" fontId="0" fillId="15" borderId="14" xfId="0" applyNumberFormat="1" applyFill="1" applyBorder="1" applyAlignment="1">
      <alignment horizontal="center"/>
    </xf>
    <xf numFmtId="2" fontId="0" fillId="15" borderId="0" xfId="0" applyNumberFormat="1" applyFill="1" applyAlignment="1">
      <alignment horizontal="center"/>
    </xf>
  </cellXfs>
  <cellStyles count="2">
    <cellStyle name="Eingabe" xfId="1" builtinId="20"/>
    <cellStyle name="Standard" xfId="0" builtinId="0"/>
  </cellStyles>
  <dxfs count="4">
    <dxf>
      <fill>
        <patternFill>
          <bgColor theme="0" tint="-0.34998626667073579"/>
        </patternFill>
      </fill>
    </dxf>
    <dxf>
      <fill>
        <patternFill>
          <bgColor rgb="FFFFFF00"/>
        </patternFill>
      </fill>
    </dxf>
    <dxf>
      <font>
        <color rgb="FF006100"/>
      </font>
      <fill>
        <patternFill>
          <bgColor rgb="FFC6EFCE"/>
        </patternFill>
      </fill>
    </dxf>
    <dxf>
      <fill>
        <patternFill>
          <bgColor rgb="FF92D050"/>
        </patternFill>
      </fill>
    </dxf>
  </dxfs>
  <tableStyles count="0" defaultTableStyle="TableStyleMedium2" defaultPivotStyle="PivotStyleLight16"/>
  <colors>
    <mruColors>
      <color rgb="FFFFFFCC"/>
      <color rgb="FFFFCCFF"/>
      <color rgb="FFFF99CC"/>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35</xdr:col>
      <xdr:colOff>0</xdr:colOff>
      <xdr:row>6</xdr:row>
      <xdr:rowOff>88900</xdr:rowOff>
    </xdr:from>
    <xdr:to>
      <xdr:col>37</xdr:col>
      <xdr:colOff>0</xdr:colOff>
      <xdr:row>141</xdr:row>
      <xdr:rowOff>25400</xdr:rowOff>
    </xdr:to>
    <xdr:sp macro="" textlink="">
      <xdr:nvSpPr>
        <xdr:cNvPr id="2" name="imgViewer">
          <a:extLst>
            <a:ext uri="{FF2B5EF4-FFF2-40B4-BE49-F238E27FC236}">
              <a16:creationId xmlns:a16="http://schemas.microsoft.com/office/drawing/2014/main" id="{00000000-0008-0000-0000-000002000000}"/>
            </a:ext>
          </a:extLst>
        </xdr:cNvPr>
        <xdr:cNvSpPr/>
      </xdr:nvSpPr>
      <xdr:spPr>
        <a:xfrm>
          <a:off x="13296900" y="1524000"/>
          <a:ext cx="3594100" cy="3594100"/>
        </a:xfrm>
        <a:prstGeom prst="rect">
          <a:avLst/>
        </a:prstGeom>
        <a:blipFill>
          <a:blip xmlns:r="http://schemas.openxmlformats.org/officeDocument/2006/relationships" r:embed="rId1"/>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35</xdr:col>
      <xdr:colOff>0</xdr:colOff>
      <xdr:row>141</xdr:row>
      <xdr:rowOff>88900</xdr:rowOff>
    </xdr:from>
    <xdr:ext cx="3594100" cy="733425"/>
    <xdr:sp macro="" textlink="">
      <xdr:nvSpPr>
        <xdr:cNvPr id="4" name="txtBildname">
          <a:extLst>
            <a:ext uri="{FF2B5EF4-FFF2-40B4-BE49-F238E27FC236}">
              <a16:creationId xmlns:a16="http://schemas.microsoft.com/office/drawing/2014/main" id="{00000000-0008-0000-0000-000004000000}"/>
            </a:ext>
          </a:extLst>
        </xdr:cNvPr>
        <xdr:cNvSpPr txBox="1"/>
      </xdr:nvSpPr>
      <xdr:spPr>
        <a:xfrm>
          <a:off x="13296900" y="5181600"/>
          <a:ext cx="3594100" cy="733425"/>
        </a:xfrm>
        <a:prstGeom prst="rect">
          <a:avLst/>
        </a:prstGeom>
        <a:solidFill>
          <a:schemeClr val="accent1">
            <a:lumMod val="40000"/>
            <a:lumOff val="60000"/>
          </a:schemeClr>
        </a:solidFill>
        <a:ln w="254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de-DE" sz="1000" b="1"/>
            <a:t>M94 / NGC4736 (Crocs Auge Galaxie )
</a:t>
          </a:r>
        </a:p>
        <a:p>
          <a:pPr algn="l"/>
          <a:r>
            <a:rPr lang="de-DE" sz="1000" b="1"/>
            <a:t>Size: 11'x9' / mag: 13,4 / Time: 22:09
</a:t>
          </a:r>
        </a:p>
        <a:p>
          <a:pPr algn="l"/>
          <a:r>
            <a:rPr lang="de-DE" sz="1000" b="1"/>
            <a:t>Altitude (max) = 78,71° ( S )
</a:t>
          </a:r>
        </a:p>
        <a:p>
          <a:pPr algn="l"/>
          <a:endParaRPr lang="de-DE" sz="1000" b="1"/>
        </a:p>
      </xdr:txBody>
    </xdr:sp>
    <xdr:clientData/>
  </xdr:oneCellAnchor>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22</xdr:col>
          <xdr:colOff>0</xdr:colOff>
          <xdr:row>4</xdr:row>
          <xdr:rowOff>165100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200" b="1" i="0" u="none" strike="noStrike" baseline="0">
                  <a:solidFill>
                    <a:srgbClr val="FF0000"/>
                  </a:solidFill>
                  <a:latin typeface="Calibri" pitchFamily="2" charset="0"/>
                  <a:cs typeface="Calibri" pitchFamily="2" charset="0"/>
                </a:rPr>
                <a:t>Enable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12700</xdr:colOff>
          <xdr:row>5</xdr:row>
          <xdr:rowOff>50800</xdr:rowOff>
        </xdr:from>
        <xdr:to>
          <xdr:col>22</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200" b="1" i="0" u="none" strike="noStrike" baseline="0">
                  <a:solidFill>
                    <a:srgbClr val="000000"/>
                  </a:solidFill>
                  <a:latin typeface="Calibri" pitchFamily="2" charset="0"/>
                  <a:cs typeface="Calibri" pitchFamily="2" charset="0"/>
                </a:rPr>
                <a:t>Disable Filter</a:t>
              </a:r>
            </a:p>
          </xdr:txBody>
        </xdr:sp>
        <xdr:clientData fPrintsWithSheet="0"/>
      </xdr:twoCellAnchor>
    </mc:Choice>
    <mc:Fallback/>
  </mc:AlternateContent>
  <xdr:twoCellAnchor>
    <xdr:from>
      <xdr:col>2</xdr:col>
      <xdr:colOff>47625</xdr:colOff>
      <xdr:row>1</xdr:row>
      <xdr:rowOff>390525</xdr:rowOff>
    </xdr:from>
    <xdr:to>
      <xdr:col>2</xdr:col>
      <xdr:colOff>190500</xdr:colOff>
      <xdr:row>9</xdr:row>
      <xdr:rowOff>190500</xdr:rowOff>
    </xdr:to>
    <xdr:sp macro="" textlink="">
      <xdr:nvSpPr>
        <xdr:cNvPr id="3" name="Pfeil: nach unten 2">
          <a:extLst>
            <a:ext uri="{FF2B5EF4-FFF2-40B4-BE49-F238E27FC236}">
              <a16:creationId xmlns:a16="http://schemas.microsoft.com/office/drawing/2014/main" id="{00000000-0008-0000-0000-000003000000}"/>
            </a:ext>
          </a:extLst>
        </xdr:cNvPr>
        <xdr:cNvSpPr/>
      </xdr:nvSpPr>
      <xdr:spPr>
        <a:xfrm>
          <a:off x="3390900" y="581025"/>
          <a:ext cx="142875" cy="16764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ED464-070F-4846-A720-3A5D1C514B3C}">
  <sheetPr codeName="Tabelle2">
    <pageSetUpPr fitToPage="1"/>
  </sheetPr>
  <dimension ref="A1:AM912"/>
  <sheetViews>
    <sheetView tabSelected="1" zoomScaleNormal="100" workbookViewId="0">
      <selection activeCell="J29" sqref="J29"/>
    </sheetView>
  </sheetViews>
  <sheetFormatPr baseColWidth="10" defaultRowHeight="15" x14ac:dyDescent="0.2"/>
  <cols>
    <col min="1" max="1" width="25.83203125" style="34" customWidth="1"/>
    <col min="2" max="2" width="27.83203125" style="34" customWidth="1"/>
    <col min="3" max="3" width="3.6640625" style="86" hidden="1" customWidth="1"/>
    <col min="4" max="4" width="26.5" style="34" hidden="1" customWidth="1"/>
    <col min="5" max="5" width="1.33203125" style="34" hidden="1" customWidth="1"/>
    <col min="6" max="9" width="5.5" style="1" customWidth="1"/>
    <col min="10" max="10" width="10.6640625" style="1" customWidth="1"/>
    <col min="11" max="11" width="5.1640625" style="1" customWidth="1"/>
    <col min="12" max="12" width="1.6640625" style="1" customWidth="1"/>
    <col min="13" max="13" width="8.83203125" style="1" hidden="1" customWidth="1"/>
    <col min="14" max="14" width="8.6640625" style="46" hidden="1" customWidth="1"/>
    <col min="15" max="15" width="7.83203125" style="1" hidden="1" customWidth="1"/>
    <col min="16" max="17" width="11" style="1" hidden="1" customWidth="1"/>
    <col min="18" max="18" width="9.6640625" style="1" hidden="1" customWidth="1"/>
    <col min="19" max="19" width="9.33203125" style="1" hidden="1" customWidth="1"/>
    <col min="20" max="20" width="11.33203125" style="1" customWidth="1"/>
    <col min="21" max="21" width="4.5" style="1" customWidth="1"/>
    <col min="22" max="22" width="7.33203125" style="1" customWidth="1"/>
    <col min="23" max="23" width="5.33203125" style="1" customWidth="1"/>
    <col min="24" max="24" width="2" style="1" customWidth="1"/>
    <col min="25" max="25" width="8.1640625" style="1" hidden="1" customWidth="1"/>
    <col min="26" max="26" width="10.6640625" style="1" hidden="1" customWidth="1"/>
    <col min="27" max="27" width="2.1640625" style="1" hidden="1" customWidth="1"/>
    <col min="28" max="28" width="11" style="50" hidden="1" customWidth="1"/>
    <col min="29" max="29" width="12.1640625" style="50" customWidth="1"/>
    <col min="30" max="30" width="2.5" style="1" customWidth="1"/>
    <col min="31" max="31" width="9.5" style="1" customWidth="1"/>
    <col min="32" max="32" width="5.6640625" style="1" customWidth="1"/>
    <col min="33" max="33" width="7.5" style="1" customWidth="1"/>
    <col min="34" max="34" width="11.5" style="1" customWidth="1"/>
    <col min="35" max="35" width="2" customWidth="1"/>
    <col min="36" max="36" width="13" hidden="1" customWidth="1"/>
    <col min="37" max="37" width="47.1640625" customWidth="1"/>
    <col min="38" max="38" width="7.5" customWidth="1"/>
    <col min="39" max="39" width="11.6640625" customWidth="1"/>
    <col min="40" max="41" width="7.5" customWidth="1"/>
  </cols>
  <sheetData>
    <row r="1" spans="1:39" ht="15" customHeight="1" x14ac:dyDescent="0.2"/>
    <row r="2" spans="1:39" ht="32.25" customHeight="1" x14ac:dyDescent="0.2">
      <c r="A2" s="160" t="s">
        <v>2137</v>
      </c>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61"/>
      <c r="AD2" s="161"/>
      <c r="AE2" s="161"/>
      <c r="AF2" s="161"/>
      <c r="AG2" s="161"/>
      <c r="AH2" s="161"/>
      <c r="AI2" s="97"/>
      <c r="AK2" s="106" t="s">
        <v>2093</v>
      </c>
    </row>
    <row r="3" spans="1:39" ht="16.5" customHeight="1" thickBot="1" x14ac:dyDescent="0.25">
      <c r="A3" s="97"/>
      <c r="B3" s="97"/>
      <c r="C3" s="97"/>
      <c r="D3" s="97"/>
      <c r="E3" s="97"/>
      <c r="F3" s="97"/>
      <c r="G3" s="97"/>
      <c r="H3" s="97"/>
      <c r="I3" s="97"/>
      <c r="J3" s="97"/>
      <c r="K3" s="97"/>
      <c r="L3" s="97"/>
      <c r="M3" s="97"/>
      <c r="N3" s="97"/>
      <c r="O3" s="97"/>
      <c r="P3" s="97"/>
      <c r="Q3" s="97"/>
      <c r="R3" s="97"/>
      <c r="S3" s="97"/>
      <c r="T3" s="97"/>
      <c r="U3" s="97"/>
      <c r="V3" s="97"/>
      <c r="W3" s="97"/>
      <c r="X3" s="97"/>
      <c r="Y3" s="97"/>
      <c r="Z3" s="97"/>
      <c r="AA3" s="97"/>
      <c r="AB3" s="97"/>
      <c r="AC3" s="97"/>
      <c r="AD3" s="97"/>
      <c r="AE3" s="97"/>
      <c r="AF3" s="97"/>
      <c r="AG3" s="97"/>
      <c r="AH3" s="142"/>
      <c r="AI3" s="97"/>
      <c r="AK3" s="141"/>
    </row>
    <row r="4" spans="1:39" ht="18.75" customHeight="1" thickBot="1" x14ac:dyDescent="0.3">
      <c r="A4" s="162" t="s">
        <v>2116</v>
      </c>
      <c r="B4" s="172"/>
      <c r="F4" s="162" t="s">
        <v>2119</v>
      </c>
      <c r="G4" s="163"/>
      <c r="H4" s="163"/>
      <c r="I4" s="163"/>
      <c r="J4" s="163"/>
      <c r="K4" s="164"/>
      <c r="AC4" s="173" t="s">
        <v>2111</v>
      </c>
      <c r="AH4" s="142"/>
      <c r="AK4" s="1"/>
    </row>
    <row r="5" spans="1:39" ht="16" thickBot="1" x14ac:dyDescent="0.25">
      <c r="A5" s="179" t="s">
        <v>2106</v>
      </c>
      <c r="B5" s="180"/>
      <c r="C5" s="88"/>
      <c r="D5" s="1"/>
      <c r="F5" s="99">
        <v>1</v>
      </c>
      <c r="G5" s="165" t="s">
        <v>2135</v>
      </c>
      <c r="H5" s="165"/>
      <c r="I5" s="165"/>
      <c r="J5" s="166"/>
      <c r="K5" s="64">
        <v>10</v>
      </c>
      <c r="O5" s="61"/>
      <c r="P5" s="46"/>
      <c r="Q5" s="46"/>
      <c r="R5" s="46"/>
      <c r="S5" s="46"/>
      <c r="T5" s="94"/>
      <c r="U5" s="94"/>
      <c r="V5" s="94"/>
      <c r="W5" s="94"/>
      <c r="Z5" s="1" t="s">
        <v>86</v>
      </c>
      <c r="AB5" s="50">
        <v>1</v>
      </c>
      <c r="AC5" s="174"/>
    </row>
    <row r="6" spans="1:39" ht="16" thickBot="1" x14ac:dyDescent="0.25">
      <c r="A6" s="102" t="s">
        <v>2107</v>
      </c>
      <c r="B6" s="64">
        <v>52.22</v>
      </c>
      <c r="C6" s="88"/>
      <c r="D6" s="1"/>
      <c r="F6" s="100">
        <v>2</v>
      </c>
      <c r="G6" s="169" t="s">
        <v>2136</v>
      </c>
      <c r="H6" s="170"/>
      <c r="I6" s="170"/>
      <c r="J6" s="171"/>
      <c r="K6" s="66">
        <v>60</v>
      </c>
      <c r="O6" s="61"/>
      <c r="P6" s="46"/>
      <c r="Q6" s="46"/>
      <c r="R6" s="46"/>
      <c r="S6" s="46"/>
      <c r="T6" s="94"/>
      <c r="U6" s="94"/>
      <c r="V6" s="94"/>
      <c r="W6" s="94"/>
      <c r="Z6" s="1" t="s">
        <v>90</v>
      </c>
      <c r="AB6" s="53">
        <f>INT($AC$7)-DATE(2000,1,1)-0.5</f>
        <v>9637.5</v>
      </c>
    </row>
    <row r="7" spans="1:39" ht="15.75" customHeight="1" thickBot="1" x14ac:dyDescent="0.25">
      <c r="A7" s="18" t="s">
        <v>2108</v>
      </c>
      <c r="B7" s="103">
        <v>9.9499999999999993</v>
      </c>
      <c r="C7" s="88"/>
      <c r="D7" s="1"/>
      <c r="F7" s="101">
        <v>3</v>
      </c>
      <c r="G7" s="167" t="s">
        <v>2110</v>
      </c>
      <c r="H7" s="167"/>
      <c r="I7" s="167"/>
      <c r="J7" s="168"/>
      <c r="K7" s="98">
        <v>5</v>
      </c>
      <c r="T7" s="93"/>
      <c r="U7" s="93"/>
      <c r="V7" s="93"/>
      <c r="W7" s="93"/>
      <c r="Z7" s="1" t="s">
        <v>91</v>
      </c>
      <c r="AB7" s="53">
        <f>MOD(6.697374558+0.06570982441908*AB6,24)</f>
        <v>15.975807396883511</v>
      </c>
      <c r="AC7" s="70">
        <v>46164</v>
      </c>
    </row>
    <row r="8" spans="1:39" ht="17.25" customHeight="1" x14ac:dyDescent="0.2">
      <c r="A8" s="175" t="s">
        <v>2109</v>
      </c>
      <c r="B8" s="176"/>
      <c r="C8" s="88"/>
      <c r="D8" s="1"/>
      <c r="F8" s="182"/>
      <c r="G8" s="182"/>
      <c r="H8" s="182"/>
      <c r="I8" s="182"/>
      <c r="J8" s="182"/>
      <c r="K8" s="182"/>
      <c r="T8" s="93"/>
      <c r="U8" s="93"/>
      <c r="V8" s="93"/>
      <c r="W8" s="93"/>
      <c r="AB8" s="53"/>
      <c r="AC8" s="41"/>
      <c r="AE8" s="181" t="s">
        <v>2094</v>
      </c>
      <c r="AF8" s="182"/>
      <c r="AG8" s="182"/>
      <c r="AH8" s="183"/>
    </row>
    <row r="9" spans="1:39" ht="15.75" customHeight="1" thickBot="1" x14ac:dyDescent="0.25">
      <c r="A9" s="177" t="s">
        <v>2130</v>
      </c>
      <c r="B9" s="178"/>
      <c r="C9" s="189"/>
      <c r="D9" s="190"/>
      <c r="E9" s="190"/>
      <c r="F9" s="190"/>
      <c r="G9" s="190"/>
      <c r="H9" s="190"/>
      <c r="I9" s="190"/>
      <c r="J9" s="190"/>
      <c r="K9" s="190"/>
      <c r="T9" s="107"/>
      <c r="U9" s="107"/>
      <c r="V9" s="107"/>
      <c r="W9" s="107"/>
      <c r="AB9" s="53"/>
      <c r="AC9" s="41"/>
      <c r="AE9" s="184"/>
      <c r="AF9" s="185"/>
      <c r="AG9" s="185"/>
      <c r="AH9" s="186"/>
    </row>
    <row r="10" spans="1:39" s="1" customFormat="1" ht="17.25" customHeight="1" thickBot="1" x14ac:dyDescent="0.25">
      <c r="A10" s="188"/>
      <c r="B10" s="188"/>
      <c r="C10" s="105"/>
      <c r="E10" s="34"/>
      <c r="F10" s="187" t="s">
        <v>66</v>
      </c>
      <c r="G10" s="172"/>
      <c r="H10" s="187" t="s">
        <v>70</v>
      </c>
      <c r="I10" s="172"/>
      <c r="J10" s="40" t="s">
        <v>57</v>
      </c>
      <c r="K10" s="36" t="s">
        <v>84</v>
      </c>
      <c r="T10" s="191" t="s">
        <v>2112</v>
      </c>
      <c r="U10" s="192"/>
      <c r="V10" s="192"/>
      <c r="W10" s="193"/>
      <c r="Z10" s="1" t="s">
        <v>88</v>
      </c>
      <c r="AB10" s="53">
        <f>MOD(AB7+$B$7/15,24)</f>
        <v>16.639140730216845</v>
      </c>
      <c r="AC10" s="45">
        <f>AC7</f>
        <v>46164</v>
      </c>
    </row>
    <row r="11" spans="1:39" s="1" customFormat="1" ht="16" thickBot="1" x14ac:dyDescent="0.25">
      <c r="A11" s="85" t="s">
        <v>72</v>
      </c>
      <c r="B11" s="38" t="s">
        <v>2114</v>
      </c>
      <c r="C11" s="88"/>
      <c r="E11" s="34"/>
      <c r="F11" s="37" t="s">
        <v>68</v>
      </c>
      <c r="G11" s="69" t="s">
        <v>69</v>
      </c>
      <c r="H11" s="37" t="s">
        <v>68</v>
      </c>
      <c r="I11" s="36" t="s">
        <v>69</v>
      </c>
      <c r="J11" s="40" t="s">
        <v>85</v>
      </c>
      <c r="K11" s="36" t="s">
        <v>53</v>
      </c>
      <c r="L11" s="132"/>
      <c r="M11" s="38" t="s">
        <v>67</v>
      </c>
      <c r="N11" s="49" t="s">
        <v>44</v>
      </c>
      <c r="O11" s="40" t="s">
        <v>73</v>
      </c>
      <c r="P11" s="47" t="s">
        <v>75</v>
      </c>
      <c r="Q11" s="41" t="s">
        <v>78</v>
      </c>
      <c r="R11" s="41" t="s">
        <v>79</v>
      </c>
      <c r="S11" s="41" t="s">
        <v>80</v>
      </c>
      <c r="T11" s="45" t="s">
        <v>2113</v>
      </c>
      <c r="U11" s="37" t="s">
        <v>71</v>
      </c>
      <c r="V11" s="40"/>
      <c r="W11" s="38" t="s">
        <v>44</v>
      </c>
      <c r="Z11" s="1" t="s">
        <v>89</v>
      </c>
      <c r="AB11" s="53">
        <f>IF(AND($AC$7&gt;=DATE(YEAR($AC$7),3,31)-WEEKDAY(DATE(YEAR($AC$7),3,31),2),$AC$7&lt;DATE(YEAR($AC$7),10,31)-WEEKDAY(DATE(YEAR($AC$7),10,31),2)),2,1)</f>
        <v>2</v>
      </c>
      <c r="AC11" s="39" t="s">
        <v>2115</v>
      </c>
      <c r="AE11" s="37" t="s">
        <v>45</v>
      </c>
      <c r="AF11" s="35" t="s">
        <v>58</v>
      </c>
      <c r="AG11" s="35" t="s">
        <v>46</v>
      </c>
      <c r="AH11" s="36" t="s">
        <v>48</v>
      </c>
      <c r="AI11" s="96"/>
    </row>
    <row r="12" spans="1:39" ht="16" hidden="1" thickBot="1" x14ac:dyDescent="0.25">
      <c r="A12" s="148" t="s">
        <v>287</v>
      </c>
      <c r="B12" s="149" t="s">
        <v>1230</v>
      </c>
      <c r="C12" s="108" t="str">
        <f t="shared" ref="C12:C75" si="0">CONCATENATE(A$9&amp;D12)</f>
        <v>/Applications/Stellarium.app/Contents/Resources/nebulae/default/M58-vasey.png</v>
      </c>
      <c r="D12" s="150" t="s">
        <v>1444</v>
      </c>
      <c r="E12" s="109"/>
      <c r="F12" s="151">
        <v>12</v>
      </c>
      <c r="G12" s="152">
        <v>38</v>
      </c>
      <c r="H12" s="151">
        <v>11</v>
      </c>
      <c r="I12" s="110">
        <v>46</v>
      </c>
      <c r="J12" s="153" t="s">
        <v>752</v>
      </c>
      <c r="K12" s="154">
        <v>13.4</v>
      </c>
      <c r="L12" s="196"/>
      <c r="M12" s="110">
        <f t="shared" ref="M12:M75" si="1">H12+I12/60</f>
        <v>11.766666666666667</v>
      </c>
      <c r="N12" s="111">
        <f t="shared" ref="N12:N75" si="2">90-$B$6+M12</f>
        <v>49.546666666666667</v>
      </c>
      <c r="O12" s="112">
        <f t="shared" ref="O12:O75" si="3">F12+G12/60</f>
        <v>12.633333333333333</v>
      </c>
      <c r="P12" s="113">
        <f t="shared" ref="P12:P75" ca="1" si="4">DATE(YEAR(TODAY()),3,21)+MOD(O12-12-$B$7/15,24)*15.2184</f>
        <v>46466.785047999998</v>
      </c>
      <c r="Q12" s="114">
        <f t="shared" ref="Q12:Q75" ca="1" si="5">DATE(YEAR(TODAY()),3,21)+MOD(O12-12-$B$7/15,24)*15.2184+15</f>
        <v>46481.785047999998</v>
      </c>
      <c r="R12" s="114" t="b">
        <f t="shared" ref="R12:R74" ca="1" si="6">AND(Q12&gt;=DATE(YEAR(Q12),3,31)-WEEKDAY(DATE(YEAR(Q12),3,31),2),Q12&lt;DATE(YEAR(Q12),10,31)-WEEKDAY(DATE(YEAR(Q12),10,31),2))</f>
        <v>1</v>
      </c>
      <c r="S12" s="115">
        <f t="shared" ref="S12:S74" ca="1" si="7">IF(R12,15,0)</f>
        <v>15</v>
      </c>
      <c r="T12" s="155">
        <f t="shared" ref="T12:T74" ca="1" si="8">Q12+S12</f>
        <v>46496.785047999998</v>
      </c>
      <c r="U12" s="156" t="str">
        <f t="shared" ref="U12:U50" si="9">IF(N12&lt;90,"S","N")</f>
        <v>S</v>
      </c>
      <c r="V12" s="157">
        <f t="shared" ref="V12:V75" si="10">IF(90-B$6+M12&gt;90,180-90+B$6-M12,90-B$6+M12)</f>
        <v>49.546666666666667</v>
      </c>
      <c r="W12" s="158">
        <f t="shared" ref="W12:W74" si="11">IF(M12&lt;&gt;0,V12,"")</f>
        <v>49.546666666666667</v>
      </c>
      <c r="X12" s="197"/>
      <c r="Y12" s="115">
        <f t="shared" ref="Y12:Y74" ca="1" si="12">INT(IF(AC$7&gt;T12,AC$7-T12,AC$7+365-T12)+0.5)+S12</f>
        <v>47</v>
      </c>
      <c r="Z12" s="159">
        <f t="shared" ref="Z12:Z74" ca="1" si="13">$AB$5-Y12/365</f>
        <v>0.87123287671232874</v>
      </c>
      <c r="AA12" s="116"/>
      <c r="AB12" s="117">
        <f t="shared" ref="AB12:AB74" si="14">MOD(O12-AB$10,24)/1.00273790935</f>
        <v>19.939599786425976</v>
      </c>
      <c r="AC12" s="118">
        <f t="shared" ref="AC12:AC74" si="15">(IF(M12&lt;&gt;0,MOD(AB12+AB$11,24)/24,""))</f>
        <v>0.9141499911010823</v>
      </c>
      <c r="AE12" s="54"/>
      <c r="AF12" s="71"/>
      <c r="AG12" s="71"/>
      <c r="AH12" s="64"/>
      <c r="AJ12" t="s">
        <v>147</v>
      </c>
      <c r="AM12" s="34"/>
    </row>
    <row r="13" spans="1:39" ht="16" hidden="1" thickBot="1" x14ac:dyDescent="0.25">
      <c r="A13" s="119" t="s">
        <v>381</v>
      </c>
      <c r="B13" s="120" t="s">
        <v>1191</v>
      </c>
      <c r="C13" s="108" t="str">
        <f t="shared" si="0"/>
        <v>/Applications/Stellarium.app/Contents/Resources/nebulae/default/n4372-darkdoodad.png</v>
      </c>
      <c r="D13" s="121" t="s">
        <v>1445</v>
      </c>
      <c r="E13" s="109"/>
      <c r="F13" s="122">
        <v>12</v>
      </c>
      <c r="G13" s="123">
        <v>38</v>
      </c>
      <c r="H13" s="122">
        <v>-72</v>
      </c>
      <c r="I13" s="124">
        <v>6</v>
      </c>
      <c r="J13" s="112" t="s">
        <v>844</v>
      </c>
      <c r="K13" s="125">
        <v>14.6</v>
      </c>
      <c r="L13" s="196"/>
      <c r="M13" s="110">
        <f t="shared" si="1"/>
        <v>-71.900000000000006</v>
      </c>
      <c r="N13" s="111">
        <f t="shared" si="2"/>
        <v>-34.120000000000005</v>
      </c>
      <c r="O13" s="112">
        <f t="shared" si="3"/>
        <v>12.633333333333333</v>
      </c>
      <c r="P13" s="113">
        <f t="shared" ca="1" si="4"/>
        <v>46466.785047999998</v>
      </c>
      <c r="Q13" s="114">
        <f t="shared" ca="1" si="5"/>
        <v>46481.785047999998</v>
      </c>
      <c r="R13" s="114" t="b">
        <f t="shared" ca="1" si="6"/>
        <v>1</v>
      </c>
      <c r="S13" s="115">
        <f t="shared" ca="1" si="7"/>
        <v>15</v>
      </c>
      <c r="T13" s="126">
        <f t="shared" ca="1" si="8"/>
        <v>46496.785047999998</v>
      </c>
      <c r="U13" s="127" t="str">
        <f t="shared" si="9"/>
        <v>S</v>
      </c>
      <c r="V13" s="128">
        <f t="shared" si="10"/>
        <v>-34.120000000000005</v>
      </c>
      <c r="W13" s="129">
        <f t="shared" si="11"/>
        <v>-34.120000000000005</v>
      </c>
      <c r="X13" s="197"/>
      <c r="Y13" s="115">
        <f t="shared" ca="1" si="12"/>
        <v>47</v>
      </c>
      <c r="Z13" s="118">
        <f t="shared" ca="1" si="13"/>
        <v>0.87123287671232874</v>
      </c>
      <c r="AA13" s="116"/>
      <c r="AB13" s="117">
        <f t="shared" si="14"/>
        <v>19.939599786425976</v>
      </c>
      <c r="AC13" s="118">
        <f t="shared" si="15"/>
        <v>0.9141499911010823</v>
      </c>
      <c r="AE13" s="55"/>
      <c r="AF13" s="72"/>
      <c r="AG13" s="72"/>
      <c r="AH13" s="66"/>
      <c r="AJ13" t="s">
        <v>381</v>
      </c>
    </row>
    <row r="14" spans="1:39" ht="16" hidden="1" thickBot="1" x14ac:dyDescent="0.25">
      <c r="A14" s="119" t="s">
        <v>157</v>
      </c>
      <c r="B14" s="120" t="s">
        <v>1191</v>
      </c>
      <c r="C14" s="108" t="str">
        <f t="shared" si="0"/>
        <v>/Applications/Stellarium.app/Contents/Resources/nebulae/default/m68.png</v>
      </c>
      <c r="D14" s="121" t="s">
        <v>1446</v>
      </c>
      <c r="E14" s="109"/>
      <c r="F14" s="122">
        <v>12</v>
      </c>
      <c r="G14" s="123">
        <v>39</v>
      </c>
      <c r="H14" s="122">
        <v>-27</v>
      </c>
      <c r="I14" s="124">
        <v>9</v>
      </c>
      <c r="J14" s="112" t="s">
        <v>730</v>
      </c>
      <c r="K14" s="125">
        <v>13.7</v>
      </c>
      <c r="L14" s="196"/>
      <c r="M14" s="110">
        <f t="shared" si="1"/>
        <v>-26.85</v>
      </c>
      <c r="N14" s="111">
        <f t="shared" si="2"/>
        <v>10.93</v>
      </c>
      <c r="O14" s="112">
        <f t="shared" si="3"/>
        <v>12.65</v>
      </c>
      <c r="P14" s="113">
        <f t="shared" ca="1" si="4"/>
        <v>46467.038688000001</v>
      </c>
      <c r="Q14" s="114">
        <f t="shared" ca="1" si="5"/>
        <v>46482.038688000001</v>
      </c>
      <c r="R14" s="114" t="b">
        <f t="shared" ca="1" si="6"/>
        <v>1</v>
      </c>
      <c r="S14" s="115">
        <f t="shared" ca="1" si="7"/>
        <v>15</v>
      </c>
      <c r="T14" s="126">
        <f t="shared" ca="1" si="8"/>
        <v>46497.038688000001</v>
      </c>
      <c r="U14" s="127" t="str">
        <f t="shared" si="9"/>
        <v>S</v>
      </c>
      <c r="V14" s="128">
        <f t="shared" si="10"/>
        <v>10.93</v>
      </c>
      <c r="W14" s="129">
        <f t="shared" si="11"/>
        <v>10.93</v>
      </c>
      <c r="X14" s="197"/>
      <c r="Y14" s="115">
        <f t="shared" ca="1" si="12"/>
        <v>47</v>
      </c>
      <c r="Z14" s="118">
        <f t="shared" ca="1" si="13"/>
        <v>0.87123287671232874</v>
      </c>
      <c r="AA14" s="116"/>
      <c r="AB14" s="117">
        <f t="shared" si="14"/>
        <v>19.956220945864807</v>
      </c>
      <c r="AC14" s="118">
        <f t="shared" si="15"/>
        <v>0.91484253941103366</v>
      </c>
      <c r="AE14" s="55"/>
      <c r="AF14" s="72"/>
      <c r="AG14" s="72"/>
      <c r="AH14" s="66"/>
      <c r="AJ14" t="s">
        <v>157</v>
      </c>
    </row>
    <row r="15" spans="1:39" ht="16" hidden="1" thickBot="1" x14ac:dyDescent="0.25">
      <c r="A15" s="119" t="s">
        <v>191</v>
      </c>
      <c r="B15" s="120" t="s">
        <v>1259</v>
      </c>
      <c r="C15" s="108" t="str">
        <f t="shared" si="0"/>
        <v>/Applications/Stellarium.app/Contents/Resources/nebulae/default/m104.png</v>
      </c>
      <c r="D15" s="130" t="s">
        <v>1447</v>
      </c>
      <c r="E15" s="109"/>
      <c r="F15" s="122">
        <v>12</v>
      </c>
      <c r="G15" s="123">
        <v>40</v>
      </c>
      <c r="H15" s="122">
        <v>-12</v>
      </c>
      <c r="I15" s="124">
        <v>14</v>
      </c>
      <c r="J15" s="112" t="s">
        <v>782</v>
      </c>
      <c r="K15" s="125">
        <v>12</v>
      </c>
      <c r="L15" s="196"/>
      <c r="M15" s="110">
        <f t="shared" si="1"/>
        <v>-11.766666666666667</v>
      </c>
      <c r="N15" s="111">
        <f t="shared" si="2"/>
        <v>26.013333333333335</v>
      </c>
      <c r="O15" s="112">
        <f t="shared" si="3"/>
        <v>12.666666666666666</v>
      </c>
      <c r="P15" s="113">
        <f t="shared" ca="1" si="4"/>
        <v>46102.050728000002</v>
      </c>
      <c r="Q15" s="114">
        <f t="shared" ca="1" si="5"/>
        <v>46117.050728000002</v>
      </c>
      <c r="R15" s="114" t="b">
        <f t="shared" ca="1" si="6"/>
        <v>1</v>
      </c>
      <c r="S15" s="115">
        <f t="shared" ca="1" si="7"/>
        <v>15</v>
      </c>
      <c r="T15" s="126">
        <f t="shared" ca="1" si="8"/>
        <v>46132.050728000002</v>
      </c>
      <c r="U15" s="127" t="str">
        <f t="shared" si="9"/>
        <v>S</v>
      </c>
      <c r="V15" s="128">
        <f t="shared" si="10"/>
        <v>26.013333333333335</v>
      </c>
      <c r="W15" s="129">
        <f t="shared" si="11"/>
        <v>26.013333333333335</v>
      </c>
      <c r="X15" s="197"/>
      <c r="Y15" s="115">
        <f t="shared" ca="1" si="12"/>
        <v>47</v>
      </c>
      <c r="Z15" s="118">
        <f t="shared" ca="1" si="13"/>
        <v>0.87123287671232874</v>
      </c>
      <c r="AA15" s="116"/>
      <c r="AB15" s="117">
        <f t="shared" si="14"/>
        <v>19.972842105303638</v>
      </c>
      <c r="AC15" s="118">
        <f t="shared" si="15"/>
        <v>0.91553508772098491</v>
      </c>
      <c r="AE15" s="55"/>
      <c r="AF15" s="72"/>
      <c r="AG15" s="72"/>
      <c r="AH15" s="66"/>
      <c r="AJ15" t="s">
        <v>191</v>
      </c>
    </row>
    <row r="16" spans="1:39" ht="16" hidden="1" thickBot="1" x14ac:dyDescent="0.25">
      <c r="A16" s="119" t="s">
        <v>148</v>
      </c>
      <c r="B16" s="120" t="s">
        <v>1230</v>
      </c>
      <c r="C16" s="108" t="str">
        <f t="shared" si="0"/>
        <v>/Applications/Stellarium.app/Contents/Resources/nebulae/default/m59.png</v>
      </c>
      <c r="D16" s="121" t="s">
        <v>1448</v>
      </c>
      <c r="E16" s="109"/>
      <c r="F16" s="122">
        <v>12</v>
      </c>
      <c r="G16" s="123">
        <v>42</v>
      </c>
      <c r="H16" s="122">
        <v>11</v>
      </c>
      <c r="I16" s="124">
        <v>28</v>
      </c>
      <c r="J16" s="112" t="s">
        <v>753</v>
      </c>
      <c r="K16" s="125">
        <v>13</v>
      </c>
      <c r="L16" s="196"/>
      <c r="M16" s="110">
        <f t="shared" si="1"/>
        <v>11.466666666666667</v>
      </c>
      <c r="N16" s="111">
        <f t="shared" si="2"/>
        <v>49.24666666666667</v>
      </c>
      <c r="O16" s="112">
        <f t="shared" si="3"/>
        <v>12.7</v>
      </c>
      <c r="P16" s="113">
        <f t="shared" ca="1" si="4"/>
        <v>46102.558008</v>
      </c>
      <c r="Q16" s="114">
        <f t="shared" ca="1" si="5"/>
        <v>46117.558008</v>
      </c>
      <c r="R16" s="114" t="b">
        <f t="shared" ca="1" si="6"/>
        <v>1</v>
      </c>
      <c r="S16" s="115">
        <f t="shared" ca="1" si="7"/>
        <v>15</v>
      </c>
      <c r="T16" s="126">
        <f t="shared" ca="1" si="8"/>
        <v>46132.558008</v>
      </c>
      <c r="U16" s="127" t="str">
        <f t="shared" si="9"/>
        <v>S</v>
      </c>
      <c r="V16" s="128">
        <f t="shared" si="10"/>
        <v>49.24666666666667</v>
      </c>
      <c r="W16" s="129">
        <f t="shared" si="11"/>
        <v>49.24666666666667</v>
      </c>
      <c r="X16" s="197"/>
      <c r="Y16" s="115">
        <f t="shared" ca="1" si="12"/>
        <v>46</v>
      </c>
      <c r="Z16" s="118">
        <f t="shared" ca="1" si="13"/>
        <v>0.87397260273972599</v>
      </c>
      <c r="AA16" s="116"/>
      <c r="AB16" s="117">
        <f t="shared" si="14"/>
        <v>20.006084424181299</v>
      </c>
      <c r="AC16" s="118">
        <f t="shared" si="15"/>
        <v>0.91692018434088751</v>
      </c>
      <c r="AE16" s="55"/>
      <c r="AF16" s="72"/>
      <c r="AG16" s="72"/>
      <c r="AH16" s="66"/>
      <c r="AJ16" t="s">
        <v>148</v>
      </c>
    </row>
    <row r="17" spans="1:36" ht="16" thickBot="1" x14ac:dyDescent="0.25">
      <c r="A17" s="119" t="s">
        <v>395</v>
      </c>
      <c r="B17" s="120" t="s">
        <v>1305</v>
      </c>
      <c r="C17" s="108" t="str">
        <f t="shared" si="0"/>
        <v>/Applications/Stellarium.app/Contents/Resources/nebulae/default/n4631-vasey.png</v>
      </c>
      <c r="D17" s="121" t="s">
        <v>1449</v>
      </c>
      <c r="E17" s="109"/>
      <c r="F17" s="122">
        <v>12</v>
      </c>
      <c r="G17" s="123">
        <v>42</v>
      </c>
      <c r="H17" s="122">
        <v>32</v>
      </c>
      <c r="I17" s="124">
        <v>16</v>
      </c>
      <c r="J17" s="112" t="s">
        <v>961</v>
      </c>
      <c r="K17" s="125">
        <v>13.4</v>
      </c>
      <c r="L17" s="196"/>
      <c r="M17" s="110">
        <f t="shared" si="1"/>
        <v>32.266666666666666</v>
      </c>
      <c r="N17" s="111">
        <f t="shared" si="2"/>
        <v>70.046666666666667</v>
      </c>
      <c r="O17" s="112">
        <f t="shared" si="3"/>
        <v>12.7</v>
      </c>
      <c r="P17" s="113">
        <f t="shared" ca="1" si="4"/>
        <v>46102.558008</v>
      </c>
      <c r="Q17" s="114">
        <f t="shared" ca="1" si="5"/>
        <v>46117.558008</v>
      </c>
      <c r="R17" s="114" t="b">
        <f t="shared" ca="1" si="6"/>
        <v>1</v>
      </c>
      <c r="S17" s="115">
        <f t="shared" ca="1" si="7"/>
        <v>15</v>
      </c>
      <c r="T17" s="126">
        <f t="shared" ca="1" si="8"/>
        <v>46132.558008</v>
      </c>
      <c r="U17" s="127" t="str">
        <f t="shared" si="9"/>
        <v>S</v>
      </c>
      <c r="V17" s="128">
        <f t="shared" si="10"/>
        <v>70.046666666666667</v>
      </c>
      <c r="W17" s="129">
        <f t="shared" si="11"/>
        <v>70.046666666666667</v>
      </c>
      <c r="X17" s="197"/>
      <c r="Y17" s="115">
        <f t="shared" ca="1" si="12"/>
        <v>46</v>
      </c>
      <c r="Z17" s="118">
        <f t="shared" ca="1" si="13"/>
        <v>0.87397260273972599</v>
      </c>
      <c r="AA17" s="116"/>
      <c r="AB17" s="117">
        <f t="shared" si="14"/>
        <v>20.006084424181299</v>
      </c>
      <c r="AC17" s="118">
        <f t="shared" si="15"/>
        <v>0.91692018434088751</v>
      </c>
      <c r="AE17" s="55"/>
      <c r="AF17" s="72"/>
      <c r="AG17" s="72"/>
      <c r="AH17" s="66"/>
      <c r="AJ17" t="s">
        <v>395</v>
      </c>
    </row>
    <row r="18" spans="1:36" ht="16" hidden="1" thickBot="1" x14ac:dyDescent="0.25">
      <c r="A18" s="119" t="s">
        <v>396</v>
      </c>
      <c r="B18" s="120" t="s">
        <v>1303</v>
      </c>
      <c r="C18" s="131" t="str">
        <f t="shared" si="0"/>
        <v>/Applications/Stellarium.app/Contents/Resources/nebulae/default/n4636.png</v>
      </c>
      <c r="D18" s="121" t="s">
        <v>1450</v>
      </c>
      <c r="E18" s="109"/>
      <c r="F18" s="122">
        <v>12</v>
      </c>
      <c r="G18" s="123">
        <v>43</v>
      </c>
      <c r="H18" s="122">
        <v>2</v>
      </c>
      <c r="I18" s="124">
        <v>31</v>
      </c>
      <c r="J18" s="112" t="s">
        <v>962</v>
      </c>
      <c r="K18" s="125">
        <v>13.5</v>
      </c>
      <c r="L18" s="196"/>
      <c r="M18" s="110">
        <f t="shared" si="1"/>
        <v>2.5166666666666666</v>
      </c>
      <c r="N18" s="111">
        <f t="shared" si="2"/>
        <v>40.296666666666667</v>
      </c>
      <c r="O18" s="112">
        <f t="shared" si="3"/>
        <v>12.716666666666667</v>
      </c>
      <c r="P18" s="113">
        <f t="shared" ca="1" si="4"/>
        <v>46102.811648000003</v>
      </c>
      <c r="Q18" s="114">
        <f t="shared" ca="1" si="5"/>
        <v>46117.811648000003</v>
      </c>
      <c r="R18" s="114" t="b">
        <f t="shared" ca="1" si="6"/>
        <v>1</v>
      </c>
      <c r="S18" s="115">
        <f t="shared" ca="1" si="7"/>
        <v>15</v>
      </c>
      <c r="T18" s="126">
        <f t="shared" ca="1" si="8"/>
        <v>46132.811648000003</v>
      </c>
      <c r="U18" s="127" t="str">
        <f t="shared" si="9"/>
        <v>S</v>
      </c>
      <c r="V18" s="128">
        <f t="shared" si="10"/>
        <v>40.296666666666667</v>
      </c>
      <c r="W18" s="129">
        <f t="shared" si="11"/>
        <v>40.296666666666667</v>
      </c>
      <c r="X18" s="197"/>
      <c r="Y18" s="115">
        <f t="shared" ca="1" si="12"/>
        <v>46</v>
      </c>
      <c r="Z18" s="118">
        <f t="shared" ca="1" si="13"/>
        <v>0.87397260273972599</v>
      </c>
      <c r="AA18" s="116"/>
      <c r="AB18" s="117">
        <f t="shared" si="14"/>
        <v>20.022705583620134</v>
      </c>
      <c r="AC18" s="118">
        <f t="shared" si="15"/>
        <v>0.91761273265083887</v>
      </c>
      <c r="AE18" s="55"/>
      <c r="AF18" s="72"/>
      <c r="AG18" s="72"/>
      <c r="AH18" s="66"/>
      <c r="AJ18" t="s">
        <v>396</v>
      </c>
    </row>
    <row r="19" spans="1:36" ht="16" hidden="1" thickBot="1" x14ac:dyDescent="0.25">
      <c r="A19" s="119" t="s">
        <v>149</v>
      </c>
      <c r="B19" s="120" t="s">
        <v>1230</v>
      </c>
      <c r="C19" s="108" t="str">
        <f t="shared" si="0"/>
        <v>/Applications/Stellarium.app/Contents/Resources/nebulae/default/m60.png</v>
      </c>
      <c r="D19" s="121" t="s">
        <v>1451</v>
      </c>
      <c r="E19" s="109"/>
      <c r="F19" s="122">
        <v>12</v>
      </c>
      <c r="G19" s="123">
        <v>44</v>
      </c>
      <c r="H19" s="122">
        <v>11</v>
      </c>
      <c r="I19" s="124">
        <v>18</v>
      </c>
      <c r="J19" s="112" t="s">
        <v>754</v>
      </c>
      <c r="K19" s="125">
        <v>13.1</v>
      </c>
      <c r="L19" s="196"/>
      <c r="M19" s="110">
        <f t="shared" si="1"/>
        <v>11.3</v>
      </c>
      <c r="N19" s="111">
        <f t="shared" si="2"/>
        <v>49.08</v>
      </c>
      <c r="O19" s="112">
        <f t="shared" si="3"/>
        <v>12.733333333333333</v>
      </c>
      <c r="P19" s="113">
        <f t="shared" ca="1" si="4"/>
        <v>46103.065287999998</v>
      </c>
      <c r="Q19" s="114">
        <f t="shared" ca="1" si="5"/>
        <v>46118.065287999998</v>
      </c>
      <c r="R19" s="114" t="b">
        <f t="shared" ca="1" si="6"/>
        <v>1</v>
      </c>
      <c r="S19" s="115">
        <f t="shared" ca="1" si="7"/>
        <v>15</v>
      </c>
      <c r="T19" s="126">
        <f t="shared" ca="1" si="8"/>
        <v>46133.065287999998</v>
      </c>
      <c r="U19" s="127" t="str">
        <f t="shared" si="9"/>
        <v>S</v>
      </c>
      <c r="V19" s="128">
        <f t="shared" si="10"/>
        <v>49.08</v>
      </c>
      <c r="W19" s="129">
        <f t="shared" si="11"/>
        <v>49.08</v>
      </c>
      <c r="X19" s="197"/>
      <c r="Y19" s="115">
        <f t="shared" ca="1" si="12"/>
        <v>46</v>
      </c>
      <c r="Z19" s="118">
        <f t="shared" ca="1" si="13"/>
        <v>0.87397260273972599</v>
      </c>
      <c r="AA19" s="116"/>
      <c r="AB19" s="117">
        <f t="shared" si="14"/>
        <v>20.039326743058965</v>
      </c>
      <c r="AC19" s="118">
        <f t="shared" si="15"/>
        <v>0.91830528096079023</v>
      </c>
      <c r="AE19" s="55"/>
      <c r="AF19" s="72"/>
      <c r="AG19" s="72"/>
      <c r="AH19" s="66"/>
      <c r="AJ19" t="s">
        <v>149</v>
      </c>
    </row>
    <row r="20" spans="1:36" ht="16" hidden="1" thickBot="1" x14ac:dyDescent="0.25">
      <c r="A20" s="119" t="s">
        <v>397</v>
      </c>
      <c r="B20" s="120" t="s">
        <v>1303</v>
      </c>
      <c r="C20" s="108" t="str">
        <f t="shared" si="0"/>
        <v>/Applications/Stellarium.app/Contents/Resources/nebulae/default/n4651.png</v>
      </c>
      <c r="D20" s="121" t="s">
        <v>1452</v>
      </c>
      <c r="E20" s="109"/>
      <c r="F20" s="122">
        <v>12</v>
      </c>
      <c r="G20" s="123">
        <v>44</v>
      </c>
      <c r="H20" s="122">
        <v>16</v>
      </c>
      <c r="I20" s="124">
        <v>17</v>
      </c>
      <c r="J20" s="112" t="s">
        <v>963</v>
      </c>
      <c r="K20" s="125">
        <v>13.4</v>
      </c>
      <c r="L20" s="196"/>
      <c r="M20" s="110">
        <f t="shared" si="1"/>
        <v>16.283333333333335</v>
      </c>
      <c r="N20" s="111">
        <f t="shared" si="2"/>
        <v>54.063333333333333</v>
      </c>
      <c r="O20" s="112">
        <f t="shared" si="3"/>
        <v>12.733333333333333</v>
      </c>
      <c r="P20" s="113">
        <f t="shared" ca="1" si="4"/>
        <v>46103.065287999998</v>
      </c>
      <c r="Q20" s="114">
        <f t="shared" ca="1" si="5"/>
        <v>46118.065287999998</v>
      </c>
      <c r="R20" s="114" t="b">
        <f t="shared" ca="1" si="6"/>
        <v>1</v>
      </c>
      <c r="S20" s="115">
        <f t="shared" ca="1" si="7"/>
        <v>15</v>
      </c>
      <c r="T20" s="126">
        <f t="shared" ca="1" si="8"/>
        <v>46133.065287999998</v>
      </c>
      <c r="U20" s="127" t="str">
        <f t="shared" si="9"/>
        <v>S</v>
      </c>
      <c r="V20" s="128">
        <f t="shared" si="10"/>
        <v>54.063333333333333</v>
      </c>
      <c r="W20" s="129">
        <f t="shared" si="11"/>
        <v>54.063333333333333</v>
      </c>
      <c r="X20" s="197"/>
      <c r="Y20" s="115">
        <f t="shared" ca="1" si="12"/>
        <v>46</v>
      </c>
      <c r="Z20" s="118">
        <f t="shared" ca="1" si="13"/>
        <v>0.87397260273972599</v>
      </c>
      <c r="AA20" s="116"/>
      <c r="AB20" s="117">
        <f t="shared" si="14"/>
        <v>20.039326743058965</v>
      </c>
      <c r="AC20" s="118">
        <f t="shared" si="15"/>
        <v>0.91830528096079023</v>
      </c>
      <c r="AE20" s="55"/>
      <c r="AF20" s="72"/>
      <c r="AG20" s="72"/>
      <c r="AH20" s="66"/>
      <c r="AJ20" t="s">
        <v>397</v>
      </c>
    </row>
    <row r="21" spans="1:36" ht="16" thickBot="1" x14ac:dyDescent="0.25">
      <c r="A21" s="119" t="s">
        <v>398</v>
      </c>
      <c r="B21" s="120" t="s">
        <v>1302</v>
      </c>
      <c r="C21" s="108" t="str">
        <f t="shared" si="0"/>
        <v>/Applications/Stellarium.app/Contents/Resources/nebulae/default/n4656-vasey.png</v>
      </c>
      <c r="D21" s="121" t="s">
        <v>1453</v>
      </c>
      <c r="E21" s="109"/>
      <c r="F21" s="122">
        <v>12</v>
      </c>
      <c r="G21" s="123">
        <v>44</v>
      </c>
      <c r="H21" s="122">
        <v>31</v>
      </c>
      <c r="I21" s="124">
        <v>57</v>
      </c>
      <c r="J21" s="112" t="s">
        <v>964</v>
      </c>
      <c r="K21" s="125">
        <v>13.4</v>
      </c>
      <c r="L21" s="196"/>
      <c r="M21" s="110">
        <f t="shared" si="1"/>
        <v>31.95</v>
      </c>
      <c r="N21" s="111">
        <f t="shared" si="2"/>
        <v>69.73</v>
      </c>
      <c r="O21" s="112">
        <f t="shared" si="3"/>
        <v>12.733333333333333</v>
      </c>
      <c r="P21" s="113">
        <f t="shared" ca="1" si="4"/>
        <v>46103.065287999998</v>
      </c>
      <c r="Q21" s="114">
        <f t="shared" ca="1" si="5"/>
        <v>46118.065287999998</v>
      </c>
      <c r="R21" s="114" t="b">
        <f t="shared" ca="1" si="6"/>
        <v>1</v>
      </c>
      <c r="S21" s="115">
        <f t="shared" ca="1" si="7"/>
        <v>15</v>
      </c>
      <c r="T21" s="126">
        <f t="shared" ca="1" si="8"/>
        <v>46133.065287999998</v>
      </c>
      <c r="U21" s="127" t="str">
        <f t="shared" si="9"/>
        <v>S</v>
      </c>
      <c r="V21" s="128">
        <f t="shared" si="10"/>
        <v>69.73</v>
      </c>
      <c r="W21" s="129">
        <f t="shared" si="11"/>
        <v>69.73</v>
      </c>
      <c r="X21" s="197"/>
      <c r="Y21" s="115">
        <f t="shared" ca="1" si="12"/>
        <v>46</v>
      </c>
      <c r="Z21" s="118">
        <f t="shared" ca="1" si="13"/>
        <v>0.87397260273972599</v>
      </c>
      <c r="AA21" s="116"/>
      <c r="AB21" s="117">
        <f t="shared" si="14"/>
        <v>20.039326743058965</v>
      </c>
      <c r="AC21" s="118">
        <f t="shared" si="15"/>
        <v>0.91830528096079023</v>
      </c>
      <c r="AE21" s="55"/>
      <c r="AF21" s="72"/>
      <c r="AG21" s="72"/>
      <c r="AH21" s="66"/>
      <c r="AJ21" t="s">
        <v>398</v>
      </c>
    </row>
    <row r="22" spans="1:36" ht="16" hidden="1" thickBot="1" x14ac:dyDescent="0.25">
      <c r="A22" s="119" t="s">
        <v>685</v>
      </c>
      <c r="B22" s="120" t="s">
        <v>1423</v>
      </c>
      <c r="C22" s="108" t="str">
        <f t="shared" si="0"/>
        <v>/Applications/Stellarium.app/Contents/Resources/nebulae/default/p3074547.png</v>
      </c>
      <c r="D22" s="121" t="s">
        <v>1454</v>
      </c>
      <c r="E22" s="109"/>
      <c r="F22" s="122">
        <v>12</v>
      </c>
      <c r="G22" s="123">
        <v>44</v>
      </c>
      <c r="H22" s="122">
        <v>-55</v>
      </c>
      <c r="I22" s="124">
        <v>27</v>
      </c>
      <c r="J22" s="112" t="s">
        <v>1164</v>
      </c>
      <c r="K22" s="125">
        <v>13.5</v>
      </c>
      <c r="L22" s="196"/>
      <c r="M22" s="110">
        <f t="shared" si="1"/>
        <v>-54.55</v>
      </c>
      <c r="N22" s="111">
        <f t="shared" si="2"/>
        <v>-16.769999999999996</v>
      </c>
      <c r="O22" s="112">
        <f t="shared" si="3"/>
        <v>12.733333333333333</v>
      </c>
      <c r="P22" s="113">
        <f t="shared" ca="1" si="4"/>
        <v>46103.065287999998</v>
      </c>
      <c r="Q22" s="114">
        <f t="shared" ca="1" si="5"/>
        <v>46118.065287999998</v>
      </c>
      <c r="R22" s="114" t="b">
        <f t="shared" ca="1" si="6"/>
        <v>1</v>
      </c>
      <c r="S22" s="115">
        <f t="shared" ca="1" si="7"/>
        <v>15</v>
      </c>
      <c r="T22" s="126">
        <f t="shared" ca="1" si="8"/>
        <v>46133.065287999998</v>
      </c>
      <c r="U22" s="127" t="str">
        <f t="shared" si="9"/>
        <v>S</v>
      </c>
      <c r="V22" s="128">
        <f t="shared" si="10"/>
        <v>-16.769999999999996</v>
      </c>
      <c r="W22" s="129">
        <f t="shared" si="11"/>
        <v>-16.769999999999996</v>
      </c>
      <c r="X22" s="197"/>
      <c r="Y22" s="115">
        <f t="shared" ca="1" si="12"/>
        <v>46</v>
      </c>
      <c r="Z22" s="118">
        <f t="shared" ca="1" si="13"/>
        <v>0.87397260273972599</v>
      </c>
      <c r="AA22" s="116"/>
      <c r="AB22" s="117">
        <f t="shared" si="14"/>
        <v>20.039326743058965</v>
      </c>
      <c r="AC22" s="118">
        <f t="shared" si="15"/>
        <v>0.91830528096079023</v>
      </c>
      <c r="AE22" s="55"/>
      <c r="AF22" s="72"/>
      <c r="AG22" s="72"/>
      <c r="AH22" s="66"/>
      <c r="AJ22" t="s">
        <v>685</v>
      </c>
    </row>
    <row r="23" spans="1:36" ht="16" hidden="1" thickBot="1" x14ac:dyDescent="0.25">
      <c r="A23" s="119" t="s">
        <v>399</v>
      </c>
      <c r="B23" s="120" t="s">
        <v>1302</v>
      </c>
      <c r="C23" s="108" t="str">
        <f t="shared" si="0"/>
        <v>/Applications/Stellarium.app/Contents/Resources/nebulae/default/n4664.png</v>
      </c>
      <c r="D23" s="121" t="s">
        <v>1455</v>
      </c>
      <c r="E23" s="109"/>
      <c r="F23" s="122">
        <v>12</v>
      </c>
      <c r="G23" s="123">
        <v>45</v>
      </c>
      <c r="H23" s="122">
        <v>3</v>
      </c>
      <c r="I23" s="124">
        <v>0</v>
      </c>
      <c r="J23" s="112" t="s">
        <v>965</v>
      </c>
      <c r="K23" s="125">
        <v>13.4</v>
      </c>
      <c r="L23" s="196"/>
      <c r="M23" s="110">
        <f t="shared" si="1"/>
        <v>3</v>
      </c>
      <c r="N23" s="111">
        <f t="shared" si="2"/>
        <v>40.78</v>
      </c>
      <c r="O23" s="112">
        <f t="shared" si="3"/>
        <v>12.75</v>
      </c>
      <c r="P23" s="113">
        <f t="shared" ca="1" si="4"/>
        <v>46103.318928000001</v>
      </c>
      <c r="Q23" s="114">
        <f t="shared" ca="1" si="5"/>
        <v>46118.318928000001</v>
      </c>
      <c r="R23" s="114" t="b">
        <f t="shared" ca="1" si="6"/>
        <v>1</v>
      </c>
      <c r="S23" s="115">
        <f t="shared" ca="1" si="7"/>
        <v>15</v>
      </c>
      <c r="T23" s="126">
        <f t="shared" ca="1" si="8"/>
        <v>46133.318928000001</v>
      </c>
      <c r="U23" s="127" t="str">
        <f t="shared" si="9"/>
        <v>S</v>
      </c>
      <c r="V23" s="128">
        <f t="shared" si="10"/>
        <v>40.78</v>
      </c>
      <c r="W23" s="129">
        <f t="shared" si="11"/>
        <v>40.78</v>
      </c>
      <c r="X23" s="197"/>
      <c r="Y23" s="115">
        <f t="shared" ca="1" si="12"/>
        <v>46</v>
      </c>
      <c r="Z23" s="118">
        <f t="shared" ca="1" si="13"/>
        <v>0.87397260273972599</v>
      </c>
      <c r="AA23" s="116"/>
      <c r="AB23" s="117">
        <f t="shared" si="14"/>
        <v>20.055947902497795</v>
      </c>
      <c r="AC23" s="118">
        <f t="shared" si="15"/>
        <v>0.91899782927074147</v>
      </c>
      <c r="AE23" s="55"/>
      <c r="AF23" s="72"/>
      <c r="AG23" s="72"/>
      <c r="AH23" s="66"/>
      <c r="AJ23" t="s">
        <v>399</v>
      </c>
    </row>
    <row r="24" spans="1:36" ht="16" hidden="1" thickBot="1" x14ac:dyDescent="0.25">
      <c r="A24" s="119" t="s">
        <v>400</v>
      </c>
      <c r="B24" s="120" t="s">
        <v>1272</v>
      </c>
      <c r="C24" s="108" t="str">
        <f t="shared" si="0"/>
        <v>/Applications/Stellarium.app/Contents/Resources/nebulae/default/n4666.png</v>
      </c>
      <c r="D24" s="121" t="s">
        <v>1456</v>
      </c>
      <c r="E24" s="109"/>
      <c r="F24" s="122">
        <v>12</v>
      </c>
      <c r="G24" s="123">
        <v>45</v>
      </c>
      <c r="H24" s="122">
        <v>-1</v>
      </c>
      <c r="I24" s="124">
        <v>26</v>
      </c>
      <c r="J24" s="112" t="s">
        <v>966</v>
      </c>
      <c r="K24" s="125">
        <v>13.6</v>
      </c>
      <c r="L24" s="196"/>
      <c r="M24" s="110">
        <f t="shared" si="1"/>
        <v>-0.56666666666666665</v>
      </c>
      <c r="N24" s="111">
        <f t="shared" si="2"/>
        <v>37.213333333333331</v>
      </c>
      <c r="O24" s="112">
        <f t="shared" si="3"/>
        <v>12.75</v>
      </c>
      <c r="P24" s="113">
        <f t="shared" ca="1" si="4"/>
        <v>46103.318928000001</v>
      </c>
      <c r="Q24" s="114">
        <f t="shared" ca="1" si="5"/>
        <v>46118.318928000001</v>
      </c>
      <c r="R24" s="114" t="b">
        <f t="shared" ca="1" si="6"/>
        <v>1</v>
      </c>
      <c r="S24" s="115">
        <f t="shared" ca="1" si="7"/>
        <v>15</v>
      </c>
      <c r="T24" s="126">
        <f t="shared" ca="1" si="8"/>
        <v>46133.318928000001</v>
      </c>
      <c r="U24" s="127" t="str">
        <f t="shared" si="9"/>
        <v>S</v>
      </c>
      <c r="V24" s="128">
        <f t="shared" si="10"/>
        <v>37.213333333333331</v>
      </c>
      <c r="W24" s="129">
        <f t="shared" si="11"/>
        <v>37.213333333333331</v>
      </c>
      <c r="X24" s="197"/>
      <c r="Y24" s="115">
        <f t="shared" ca="1" si="12"/>
        <v>46</v>
      </c>
      <c r="Z24" s="118">
        <f t="shared" ca="1" si="13"/>
        <v>0.87397260273972599</v>
      </c>
      <c r="AA24" s="116"/>
      <c r="AB24" s="117">
        <f t="shared" si="14"/>
        <v>20.055947902497795</v>
      </c>
      <c r="AC24" s="118">
        <f t="shared" si="15"/>
        <v>0.91899782927074147</v>
      </c>
      <c r="AE24" s="55"/>
      <c r="AF24" s="72"/>
      <c r="AG24" s="72"/>
      <c r="AH24" s="66"/>
      <c r="AJ24" t="s">
        <v>400</v>
      </c>
    </row>
    <row r="25" spans="1:36" ht="16" hidden="1" thickBot="1" x14ac:dyDescent="0.25">
      <c r="A25" s="119" t="s">
        <v>401</v>
      </c>
      <c r="B25" s="120" t="s">
        <v>1306</v>
      </c>
      <c r="C25" s="108" t="str">
        <f t="shared" si="0"/>
        <v>/Applications/Stellarium.app/Contents/Resources/nebulae/default/n4676.png</v>
      </c>
      <c r="D25" s="121" t="s">
        <v>1457</v>
      </c>
      <c r="E25" s="109"/>
      <c r="F25" s="122">
        <v>12</v>
      </c>
      <c r="G25" s="123">
        <v>46</v>
      </c>
      <c r="H25" s="122">
        <v>30</v>
      </c>
      <c r="I25" s="124">
        <v>41</v>
      </c>
      <c r="J25" s="112" t="s">
        <v>967</v>
      </c>
      <c r="K25" s="125">
        <v>14.5</v>
      </c>
      <c r="L25" s="196"/>
      <c r="M25" s="110">
        <f t="shared" si="1"/>
        <v>30.683333333333334</v>
      </c>
      <c r="N25" s="111">
        <f t="shared" si="2"/>
        <v>68.463333333333338</v>
      </c>
      <c r="O25" s="112">
        <f t="shared" si="3"/>
        <v>12.766666666666667</v>
      </c>
      <c r="P25" s="113">
        <f t="shared" ca="1" si="4"/>
        <v>46103.572568000003</v>
      </c>
      <c r="Q25" s="114">
        <f t="shared" ca="1" si="5"/>
        <v>46118.572568000003</v>
      </c>
      <c r="R25" s="114" t="b">
        <f t="shared" ca="1" si="6"/>
        <v>1</v>
      </c>
      <c r="S25" s="115">
        <f t="shared" ca="1" si="7"/>
        <v>15</v>
      </c>
      <c r="T25" s="126">
        <f t="shared" ca="1" si="8"/>
        <v>46133.572568000003</v>
      </c>
      <c r="U25" s="127" t="str">
        <f t="shared" si="9"/>
        <v>S</v>
      </c>
      <c r="V25" s="128">
        <f t="shared" si="10"/>
        <v>68.463333333333338</v>
      </c>
      <c r="W25" s="129">
        <f t="shared" si="11"/>
        <v>68.463333333333338</v>
      </c>
      <c r="X25" s="197"/>
      <c r="Y25" s="115">
        <f t="shared" ca="1" si="12"/>
        <v>45</v>
      </c>
      <c r="Z25" s="118">
        <f t="shared" ca="1" si="13"/>
        <v>0.87671232876712324</v>
      </c>
      <c r="AA25" s="116"/>
      <c r="AB25" s="117">
        <f t="shared" si="14"/>
        <v>20.072569061936626</v>
      </c>
      <c r="AC25" s="118">
        <f t="shared" si="15"/>
        <v>0.91969037758069272</v>
      </c>
      <c r="AE25" s="55"/>
      <c r="AF25" s="72"/>
      <c r="AG25" s="72"/>
      <c r="AH25" s="66"/>
      <c r="AJ25" t="s">
        <v>401</v>
      </c>
    </row>
    <row r="26" spans="1:36" ht="16" hidden="1" thickBot="1" x14ac:dyDescent="0.25">
      <c r="A26" s="119" t="s">
        <v>402</v>
      </c>
      <c r="B26" s="120" t="s">
        <v>1302</v>
      </c>
      <c r="C26" s="108" t="str">
        <f t="shared" si="0"/>
        <v>/Applications/Stellarium.app/Contents/Resources/nebulae/default/n4697.png</v>
      </c>
      <c r="D26" s="121" t="s">
        <v>1458</v>
      </c>
      <c r="E26" s="109"/>
      <c r="F26" s="122">
        <v>12</v>
      </c>
      <c r="G26" s="123">
        <v>49</v>
      </c>
      <c r="H26" s="122">
        <v>-6</v>
      </c>
      <c r="I26" s="124">
        <v>4</v>
      </c>
      <c r="J26" s="112" t="s">
        <v>968</v>
      </c>
      <c r="K26" s="125">
        <v>14</v>
      </c>
      <c r="L26" s="196"/>
      <c r="M26" s="110">
        <f t="shared" si="1"/>
        <v>-5.9333333333333336</v>
      </c>
      <c r="N26" s="111">
        <f t="shared" si="2"/>
        <v>31.846666666666668</v>
      </c>
      <c r="O26" s="112">
        <f t="shared" si="3"/>
        <v>12.816666666666666</v>
      </c>
      <c r="P26" s="113">
        <f t="shared" ca="1" si="4"/>
        <v>46104.333487999997</v>
      </c>
      <c r="Q26" s="114">
        <f t="shared" ca="1" si="5"/>
        <v>46119.333487999997</v>
      </c>
      <c r="R26" s="114" t="b">
        <f t="shared" ca="1" si="6"/>
        <v>1</v>
      </c>
      <c r="S26" s="115">
        <f t="shared" ca="1" si="7"/>
        <v>15</v>
      </c>
      <c r="T26" s="126">
        <f t="shared" ca="1" si="8"/>
        <v>46134.333487999997</v>
      </c>
      <c r="U26" s="127" t="str">
        <f t="shared" si="9"/>
        <v>S</v>
      </c>
      <c r="V26" s="128">
        <f t="shared" si="10"/>
        <v>31.846666666666668</v>
      </c>
      <c r="W26" s="129">
        <f t="shared" si="11"/>
        <v>31.846666666666668</v>
      </c>
      <c r="X26" s="197"/>
      <c r="Y26" s="115">
        <f t="shared" ca="1" si="12"/>
        <v>45</v>
      </c>
      <c r="Z26" s="118">
        <f t="shared" ca="1" si="13"/>
        <v>0.87671232876712324</v>
      </c>
      <c r="AA26" s="116"/>
      <c r="AB26" s="117">
        <f t="shared" si="14"/>
        <v>20.122432540253119</v>
      </c>
      <c r="AC26" s="118">
        <f t="shared" si="15"/>
        <v>0.92176802251054657</v>
      </c>
      <c r="AE26" s="55"/>
      <c r="AF26" s="72"/>
      <c r="AG26" s="72"/>
      <c r="AH26" s="66"/>
      <c r="AJ26" t="s">
        <v>402</v>
      </c>
    </row>
    <row r="27" spans="1:36" ht="16" hidden="1" thickBot="1" x14ac:dyDescent="0.25">
      <c r="A27" s="119" t="s">
        <v>403</v>
      </c>
      <c r="B27" s="120" t="s">
        <v>1272</v>
      </c>
      <c r="C27" s="108" t="str">
        <f t="shared" si="0"/>
        <v>/Applications/Stellarium.app/Contents/Resources/nebulae/default/n4699.png</v>
      </c>
      <c r="D27" s="121" t="s">
        <v>1459</v>
      </c>
      <c r="E27" s="109"/>
      <c r="F27" s="122">
        <v>12</v>
      </c>
      <c r="G27" s="123">
        <v>49</v>
      </c>
      <c r="H27" s="122">
        <v>-9</v>
      </c>
      <c r="I27" s="124">
        <v>18</v>
      </c>
      <c r="J27" s="112" t="s">
        <v>969</v>
      </c>
      <c r="K27" s="125">
        <v>14</v>
      </c>
      <c r="L27" s="196"/>
      <c r="M27" s="110">
        <f t="shared" si="1"/>
        <v>-8.6999999999999993</v>
      </c>
      <c r="N27" s="111">
        <f t="shared" si="2"/>
        <v>29.080000000000002</v>
      </c>
      <c r="O27" s="112">
        <f t="shared" si="3"/>
        <v>12.816666666666666</v>
      </c>
      <c r="P27" s="113">
        <f t="shared" ca="1" si="4"/>
        <v>46104.333487999997</v>
      </c>
      <c r="Q27" s="114">
        <f t="shared" ca="1" si="5"/>
        <v>46119.333487999997</v>
      </c>
      <c r="R27" s="114" t="b">
        <f t="shared" ca="1" si="6"/>
        <v>1</v>
      </c>
      <c r="S27" s="115">
        <f t="shared" ca="1" si="7"/>
        <v>15</v>
      </c>
      <c r="T27" s="126">
        <f t="shared" ca="1" si="8"/>
        <v>46134.333487999997</v>
      </c>
      <c r="U27" s="127" t="str">
        <f t="shared" si="9"/>
        <v>S</v>
      </c>
      <c r="V27" s="128">
        <f t="shared" si="10"/>
        <v>29.080000000000002</v>
      </c>
      <c r="W27" s="129">
        <f t="shared" si="11"/>
        <v>29.080000000000002</v>
      </c>
      <c r="X27" s="197"/>
      <c r="Y27" s="115">
        <f t="shared" ca="1" si="12"/>
        <v>45</v>
      </c>
      <c r="Z27" s="118">
        <f t="shared" ca="1" si="13"/>
        <v>0.87671232876712324</v>
      </c>
      <c r="AA27" s="116"/>
      <c r="AB27" s="117">
        <f t="shared" si="14"/>
        <v>20.122432540253119</v>
      </c>
      <c r="AC27" s="118">
        <f t="shared" si="15"/>
        <v>0.92176802251054657</v>
      </c>
      <c r="AE27" s="55"/>
      <c r="AF27" s="72"/>
      <c r="AG27" s="72"/>
      <c r="AH27" s="66"/>
      <c r="AJ27" t="s">
        <v>403</v>
      </c>
    </row>
    <row r="28" spans="1:36" ht="16" thickBot="1" x14ac:dyDescent="0.25">
      <c r="A28" s="119" t="s">
        <v>404</v>
      </c>
      <c r="B28" s="120" t="s">
        <v>1272</v>
      </c>
      <c r="C28" s="108" t="str">
        <f t="shared" si="0"/>
        <v>/Applications/Stellarium.app/Contents/Resources/nebulae/default/n4725.png</v>
      </c>
      <c r="D28" s="121" t="s">
        <v>1460</v>
      </c>
      <c r="E28" s="109"/>
      <c r="F28" s="122">
        <v>12</v>
      </c>
      <c r="G28" s="123">
        <v>50</v>
      </c>
      <c r="H28" s="122">
        <v>25</v>
      </c>
      <c r="I28" s="124">
        <v>24</v>
      </c>
      <c r="J28" s="112" t="s">
        <v>970</v>
      </c>
      <c r="K28" s="125">
        <v>13.5</v>
      </c>
      <c r="L28" s="196"/>
      <c r="M28" s="110">
        <f t="shared" si="1"/>
        <v>25.4</v>
      </c>
      <c r="N28" s="111">
        <f t="shared" si="2"/>
        <v>63.18</v>
      </c>
      <c r="O28" s="112">
        <f t="shared" si="3"/>
        <v>12.833333333333334</v>
      </c>
      <c r="P28" s="113">
        <f t="shared" ca="1" si="4"/>
        <v>46104.587127999999</v>
      </c>
      <c r="Q28" s="114">
        <f t="shared" ca="1" si="5"/>
        <v>46119.587127999999</v>
      </c>
      <c r="R28" s="114" t="b">
        <f t="shared" ca="1" si="6"/>
        <v>1</v>
      </c>
      <c r="S28" s="115">
        <f t="shared" ca="1" si="7"/>
        <v>15</v>
      </c>
      <c r="T28" s="126">
        <f t="shared" ca="1" si="8"/>
        <v>46134.587127999999</v>
      </c>
      <c r="U28" s="127" t="str">
        <f t="shared" si="9"/>
        <v>S</v>
      </c>
      <c r="V28" s="128">
        <f t="shared" si="10"/>
        <v>63.18</v>
      </c>
      <c r="W28" s="129">
        <f t="shared" si="11"/>
        <v>63.18</v>
      </c>
      <c r="X28" s="197"/>
      <c r="Y28" s="115">
        <f t="shared" ca="1" si="12"/>
        <v>44</v>
      </c>
      <c r="Z28" s="118">
        <f t="shared" ca="1" si="13"/>
        <v>0.8794520547945206</v>
      </c>
      <c r="AA28" s="116"/>
      <c r="AB28" s="117">
        <f t="shared" si="14"/>
        <v>20.139053699691953</v>
      </c>
      <c r="AC28" s="118">
        <f t="shared" si="15"/>
        <v>0.92246057082049804</v>
      </c>
      <c r="AE28" s="55"/>
      <c r="AF28" s="72"/>
      <c r="AG28" s="72"/>
      <c r="AH28" s="66"/>
      <c r="AJ28" t="s">
        <v>404</v>
      </c>
    </row>
    <row r="29" spans="1:36" ht="16" thickBot="1" x14ac:dyDescent="0.25">
      <c r="A29" s="198" t="s">
        <v>181</v>
      </c>
      <c r="B29" s="199" t="s">
        <v>1250</v>
      </c>
      <c r="C29" s="200" t="str">
        <f t="shared" si="0"/>
        <v>/Applications/Stellarium.app/Contents/Resources/nebulae/default/m94.png</v>
      </c>
      <c r="D29" s="201" t="s">
        <v>1461</v>
      </c>
      <c r="E29" s="202"/>
      <c r="F29" s="203">
        <v>12</v>
      </c>
      <c r="G29" s="204">
        <v>51</v>
      </c>
      <c r="H29" s="203">
        <v>40</v>
      </c>
      <c r="I29" s="205">
        <v>56</v>
      </c>
      <c r="J29" s="206" t="s">
        <v>775</v>
      </c>
      <c r="K29" s="207">
        <v>13.4</v>
      </c>
      <c r="L29" s="196"/>
      <c r="M29" s="208">
        <f t="shared" si="1"/>
        <v>40.93333333333333</v>
      </c>
      <c r="N29" s="209">
        <f t="shared" si="2"/>
        <v>78.713333333333338</v>
      </c>
      <c r="O29" s="206">
        <f t="shared" si="3"/>
        <v>12.85</v>
      </c>
      <c r="P29" s="210">
        <f t="shared" ca="1" si="4"/>
        <v>46104.840768000002</v>
      </c>
      <c r="Q29" s="211">
        <f t="shared" ca="1" si="5"/>
        <v>46119.840768000002</v>
      </c>
      <c r="R29" s="211" t="b">
        <f t="shared" ca="1" si="6"/>
        <v>1</v>
      </c>
      <c r="S29" s="212">
        <f t="shared" ca="1" si="7"/>
        <v>15</v>
      </c>
      <c r="T29" s="213">
        <f t="shared" ca="1" si="8"/>
        <v>46134.840768000002</v>
      </c>
      <c r="U29" s="214" t="str">
        <f t="shared" si="9"/>
        <v>S</v>
      </c>
      <c r="V29" s="215">
        <f t="shared" si="10"/>
        <v>78.713333333333338</v>
      </c>
      <c r="W29" s="216">
        <f t="shared" si="11"/>
        <v>78.713333333333338</v>
      </c>
      <c r="X29" s="197"/>
      <c r="Y29" s="212">
        <f t="shared" ca="1" si="12"/>
        <v>44</v>
      </c>
      <c r="Z29" s="218">
        <f t="shared" ca="1" si="13"/>
        <v>0.8794520547945206</v>
      </c>
      <c r="AA29" s="217"/>
      <c r="AB29" s="219">
        <f t="shared" si="14"/>
        <v>20.155674859130784</v>
      </c>
      <c r="AC29" s="218">
        <f t="shared" si="15"/>
        <v>0.92315311913044928</v>
      </c>
      <c r="AE29" s="55"/>
      <c r="AF29" s="72"/>
      <c r="AG29" s="72"/>
      <c r="AH29" s="66"/>
      <c r="AJ29" t="s">
        <v>181</v>
      </c>
    </row>
    <row r="30" spans="1:36" ht="16" hidden="1" thickBot="1" x14ac:dyDescent="0.25">
      <c r="A30" s="119" t="s">
        <v>405</v>
      </c>
      <c r="B30" s="120" t="s">
        <v>1302</v>
      </c>
      <c r="C30" s="108" t="str">
        <f t="shared" si="0"/>
        <v>/Applications/Stellarium.app/Contents/Resources/nebulae/default/n4753.png</v>
      </c>
      <c r="D30" s="121" t="s">
        <v>1462</v>
      </c>
      <c r="E30" s="109"/>
      <c r="F30" s="122">
        <v>12</v>
      </c>
      <c r="G30" s="123">
        <v>52</v>
      </c>
      <c r="H30" s="122">
        <v>-2</v>
      </c>
      <c r="I30" s="124">
        <v>42</v>
      </c>
      <c r="J30" s="112" t="s">
        <v>971</v>
      </c>
      <c r="K30" s="125">
        <v>13.1</v>
      </c>
      <c r="L30" s="196"/>
      <c r="M30" s="110">
        <f t="shared" si="1"/>
        <v>-1.3</v>
      </c>
      <c r="N30" s="111">
        <f t="shared" si="2"/>
        <v>36.480000000000004</v>
      </c>
      <c r="O30" s="112">
        <f t="shared" si="3"/>
        <v>12.866666666666667</v>
      </c>
      <c r="P30" s="113">
        <f t="shared" ca="1" si="4"/>
        <v>46105.094407999997</v>
      </c>
      <c r="Q30" s="114">
        <f t="shared" ca="1" si="5"/>
        <v>46120.094407999997</v>
      </c>
      <c r="R30" s="114" t="b">
        <f t="shared" ca="1" si="6"/>
        <v>1</v>
      </c>
      <c r="S30" s="115">
        <f t="shared" ca="1" si="7"/>
        <v>15</v>
      </c>
      <c r="T30" s="126">
        <f t="shared" ca="1" si="8"/>
        <v>46135.094407999997</v>
      </c>
      <c r="U30" s="127" t="str">
        <f t="shared" si="9"/>
        <v>S</v>
      </c>
      <c r="V30" s="128">
        <f t="shared" si="10"/>
        <v>36.480000000000004</v>
      </c>
      <c r="W30" s="129">
        <f t="shared" si="11"/>
        <v>36.480000000000004</v>
      </c>
      <c r="X30" s="197"/>
      <c r="Y30" s="115">
        <f t="shared" ca="1" si="12"/>
        <v>44</v>
      </c>
      <c r="Z30" s="118">
        <f t="shared" ca="1" si="13"/>
        <v>0.8794520547945206</v>
      </c>
      <c r="AA30" s="116"/>
      <c r="AB30" s="117">
        <f t="shared" si="14"/>
        <v>20.172296018569615</v>
      </c>
      <c r="AC30" s="118">
        <f t="shared" si="15"/>
        <v>0.92384566744040064</v>
      </c>
      <c r="AE30" s="55"/>
      <c r="AF30" s="72"/>
      <c r="AG30" s="72"/>
      <c r="AH30" s="66"/>
      <c r="AJ30" t="s">
        <v>405</v>
      </c>
    </row>
    <row r="31" spans="1:36" ht="16" hidden="1" thickBot="1" x14ac:dyDescent="0.25">
      <c r="A31" s="119" t="s">
        <v>407</v>
      </c>
      <c r="B31" s="120" t="s">
        <v>1272</v>
      </c>
      <c r="C31" s="108" t="str">
        <f t="shared" si="0"/>
        <v>/Applications/Stellarium.app/Contents/Resources/nebulae/default/n4762.png</v>
      </c>
      <c r="D31" s="121" t="s">
        <v>1463</v>
      </c>
      <c r="E31" s="109"/>
      <c r="F31" s="122">
        <v>12</v>
      </c>
      <c r="G31" s="123">
        <v>53</v>
      </c>
      <c r="H31" s="122">
        <v>11</v>
      </c>
      <c r="I31" s="124">
        <v>8</v>
      </c>
      <c r="J31" s="112" t="s">
        <v>973</v>
      </c>
      <c r="K31" s="125">
        <v>13.1</v>
      </c>
      <c r="L31" s="196"/>
      <c r="M31" s="110">
        <f t="shared" si="1"/>
        <v>11.133333333333333</v>
      </c>
      <c r="N31" s="111">
        <f t="shared" si="2"/>
        <v>48.913333333333334</v>
      </c>
      <c r="O31" s="112">
        <f t="shared" si="3"/>
        <v>12.883333333333333</v>
      </c>
      <c r="P31" s="113">
        <f t="shared" ca="1" si="4"/>
        <v>46105.348048</v>
      </c>
      <c r="Q31" s="114">
        <f t="shared" ca="1" si="5"/>
        <v>46120.348048</v>
      </c>
      <c r="R31" s="114" t="b">
        <f t="shared" ca="1" si="6"/>
        <v>1</v>
      </c>
      <c r="S31" s="115">
        <f t="shared" ca="1" si="7"/>
        <v>15</v>
      </c>
      <c r="T31" s="126">
        <f t="shared" ca="1" si="8"/>
        <v>46135.348048</v>
      </c>
      <c r="U31" s="127" t="str">
        <f t="shared" si="9"/>
        <v>S</v>
      </c>
      <c r="V31" s="128">
        <f t="shared" si="10"/>
        <v>48.913333333333334</v>
      </c>
      <c r="W31" s="129">
        <f t="shared" si="11"/>
        <v>48.913333333333334</v>
      </c>
      <c r="X31" s="197"/>
      <c r="Y31" s="115">
        <f t="shared" ca="1" si="12"/>
        <v>44</v>
      </c>
      <c r="Z31" s="118">
        <f t="shared" ca="1" si="13"/>
        <v>0.8794520547945206</v>
      </c>
      <c r="AA31" s="116"/>
      <c r="AB31" s="117">
        <f t="shared" si="14"/>
        <v>20.188917178008445</v>
      </c>
      <c r="AC31" s="118">
        <f t="shared" si="15"/>
        <v>0.92453821575035189</v>
      </c>
      <c r="AE31" s="55"/>
      <c r="AF31" s="72"/>
      <c r="AG31" s="72"/>
      <c r="AH31" s="66"/>
      <c r="AJ31" t="s">
        <v>407</v>
      </c>
    </row>
    <row r="32" spans="1:36" ht="16" hidden="1" thickBot="1" x14ac:dyDescent="0.25">
      <c r="A32" s="119" t="s">
        <v>406</v>
      </c>
      <c r="B32" s="120" t="s">
        <v>1307</v>
      </c>
      <c r="C32" s="108" t="str">
        <f t="shared" si="0"/>
        <v>/Applications/Stellarium.app/Contents/Resources/nebulae/default/n4755.png</v>
      </c>
      <c r="D32" s="121" t="s">
        <v>1464</v>
      </c>
      <c r="E32" s="109"/>
      <c r="F32" s="122">
        <v>12</v>
      </c>
      <c r="G32" s="123">
        <v>54</v>
      </c>
      <c r="H32" s="122">
        <v>-61</v>
      </c>
      <c r="I32" s="124">
        <v>34</v>
      </c>
      <c r="J32" s="112" t="s">
        <v>972</v>
      </c>
      <c r="K32" s="125">
        <v>14.5</v>
      </c>
      <c r="L32" s="196"/>
      <c r="M32" s="110">
        <f t="shared" si="1"/>
        <v>-60.43333333333333</v>
      </c>
      <c r="N32" s="111">
        <f t="shared" si="2"/>
        <v>-22.653333333333329</v>
      </c>
      <c r="O32" s="112">
        <f t="shared" si="3"/>
        <v>12.9</v>
      </c>
      <c r="P32" s="113">
        <f t="shared" ca="1" si="4"/>
        <v>46105.601688000002</v>
      </c>
      <c r="Q32" s="114">
        <f t="shared" ca="1" si="5"/>
        <v>46120.601688000002</v>
      </c>
      <c r="R32" s="114" t="b">
        <f t="shared" ca="1" si="6"/>
        <v>1</v>
      </c>
      <c r="S32" s="115">
        <f t="shared" ca="1" si="7"/>
        <v>15</v>
      </c>
      <c r="T32" s="126">
        <f t="shared" ca="1" si="8"/>
        <v>46135.601688000002</v>
      </c>
      <c r="U32" s="127" t="str">
        <f t="shared" si="9"/>
        <v>S</v>
      </c>
      <c r="V32" s="128">
        <f t="shared" si="10"/>
        <v>-22.653333333333329</v>
      </c>
      <c r="W32" s="129">
        <f t="shared" si="11"/>
        <v>-22.653333333333329</v>
      </c>
      <c r="X32" s="197"/>
      <c r="Y32" s="115">
        <f t="shared" ca="1" si="12"/>
        <v>43</v>
      </c>
      <c r="Z32" s="118">
        <f t="shared" ca="1" si="13"/>
        <v>0.88219178082191785</v>
      </c>
      <c r="AA32" s="116"/>
      <c r="AB32" s="117">
        <f t="shared" si="14"/>
        <v>20.205538337447276</v>
      </c>
      <c r="AC32" s="118">
        <f t="shared" si="15"/>
        <v>0.92523076406030313</v>
      </c>
      <c r="AE32" s="55"/>
      <c r="AF32" s="72"/>
      <c r="AG32" s="72"/>
      <c r="AH32" s="66"/>
      <c r="AJ32" t="s">
        <v>406</v>
      </c>
    </row>
    <row r="33" spans="1:39" ht="16" hidden="1" thickBot="1" x14ac:dyDescent="0.25">
      <c r="A33" s="119" t="s">
        <v>644</v>
      </c>
      <c r="B33" s="120" t="s">
        <v>1277</v>
      </c>
      <c r="C33" s="108" t="str">
        <f t="shared" si="0"/>
        <v>/Applications/Stellarium.app/Contents/Resources/nebulae/default/sh2-313.png</v>
      </c>
      <c r="D33" s="121" t="s">
        <v>1465</v>
      </c>
      <c r="E33" s="109"/>
      <c r="F33" s="122">
        <v>12</v>
      </c>
      <c r="G33" s="123">
        <v>54</v>
      </c>
      <c r="H33" s="122">
        <v>-24</v>
      </c>
      <c r="I33" s="124">
        <v>57</v>
      </c>
      <c r="J33" s="112" t="s">
        <v>726</v>
      </c>
      <c r="K33" s="125">
        <v>13.5</v>
      </c>
      <c r="L33" s="196"/>
      <c r="M33" s="110">
        <f t="shared" si="1"/>
        <v>-23.05</v>
      </c>
      <c r="N33" s="111">
        <f t="shared" si="2"/>
        <v>14.73</v>
      </c>
      <c r="O33" s="112">
        <f t="shared" si="3"/>
        <v>12.9</v>
      </c>
      <c r="P33" s="113">
        <f t="shared" ca="1" si="4"/>
        <v>46105.601688000002</v>
      </c>
      <c r="Q33" s="114">
        <f t="shared" ca="1" si="5"/>
        <v>46120.601688000002</v>
      </c>
      <c r="R33" s="114" t="b">
        <f t="shared" ca="1" si="6"/>
        <v>1</v>
      </c>
      <c r="S33" s="115">
        <f t="shared" ca="1" si="7"/>
        <v>15</v>
      </c>
      <c r="T33" s="126">
        <f t="shared" ca="1" si="8"/>
        <v>46135.601688000002</v>
      </c>
      <c r="U33" s="127" t="str">
        <f t="shared" si="9"/>
        <v>S</v>
      </c>
      <c r="V33" s="128">
        <f t="shared" si="10"/>
        <v>14.73</v>
      </c>
      <c r="W33" s="129">
        <f t="shared" si="11"/>
        <v>14.73</v>
      </c>
      <c r="X33" s="197"/>
      <c r="Y33" s="115">
        <f t="shared" ca="1" si="12"/>
        <v>43</v>
      </c>
      <c r="Z33" s="118">
        <f t="shared" ca="1" si="13"/>
        <v>0.88219178082191785</v>
      </c>
      <c r="AA33" s="116"/>
      <c r="AB33" s="117">
        <f t="shared" si="14"/>
        <v>20.205538337447276</v>
      </c>
      <c r="AC33" s="118">
        <f t="shared" si="15"/>
        <v>0.92523076406030313</v>
      </c>
      <c r="AE33" s="55"/>
      <c r="AF33" s="72"/>
      <c r="AG33" s="72"/>
      <c r="AH33" s="66"/>
      <c r="AJ33" t="s">
        <v>644</v>
      </c>
    </row>
    <row r="34" spans="1:39" ht="16" hidden="1" thickBot="1" x14ac:dyDescent="0.25">
      <c r="A34" s="119" t="s">
        <v>153</v>
      </c>
      <c r="B34" s="120" t="s">
        <v>1234</v>
      </c>
      <c r="C34" s="108" t="str">
        <f t="shared" si="0"/>
        <v>/Applications/Stellarium.app/Contents/Resources/nebulae/default/m64.png</v>
      </c>
      <c r="D34" s="121" t="s">
        <v>1466</v>
      </c>
      <c r="E34" s="109"/>
      <c r="F34" s="122">
        <v>12</v>
      </c>
      <c r="G34" s="123">
        <v>57</v>
      </c>
      <c r="H34" s="122">
        <v>21</v>
      </c>
      <c r="I34" s="124">
        <v>35</v>
      </c>
      <c r="J34" s="112" t="s">
        <v>757</v>
      </c>
      <c r="K34" s="125">
        <v>13.4</v>
      </c>
      <c r="L34" s="196"/>
      <c r="M34" s="110">
        <f t="shared" si="1"/>
        <v>21.583333333333332</v>
      </c>
      <c r="N34" s="111">
        <f t="shared" si="2"/>
        <v>59.36333333333333</v>
      </c>
      <c r="O34" s="112">
        <f t="shared" si="3"/>
        <v>12.95</v>
      </c>
      <c r="P34" s="113">
        <f t="shared" ca="1" si="4"/>
        <v>46106.362608000003</v>
      </c>
      <c r="Q34" s="114">
        <f t="shared" ca="1" si="5"/>
        <v>46121.362608000003</v>
      </c>
      <c r="R34" s="114" t="b">
        <f t="shared" ca="1" si="6"/>
        <v>1</v>
      </c>
      <c r="S34" s="115">
        <f t="shared" ca="1" si="7"/>
        <v>15</v>
      </c>
      <c r="T34" s="126">
        <f t="shared" ca="1" si="8"/>
        <v>46136.362608000003</v>
      </c>
      <c r="U34" s="127" t="str">
        <f t="shared" si="9"/>
        <v>S</v>
      </c>
      <c r="V34" s="128">
        <f t="shared" si="10"/>
        <v>59.36333333333333</v>
      </c>
      <c r="W34" s="129">
        <f t="shared" si="11"/>
        <v>59.36333333333333</v>
      </c>
      <c r="X34" s="197"/>
      <c r="Y34" s="115">
        <f t="shared" ca="1" si="12"/>
        <v>43</v>
      </c>
      <c r="Z34" s="118">
        <f t="shared" ca="1" si="13"/>
        <v>0.88219178082191785</v>
      </c>
      <c r="AA34" s="116"/>
      <c r="AB34" s="117">
        <f t="shared" si="14"/>
        <v>20.255401815763769</v>
      </c>
      <c r="AC34" s="118">
        <f t="shared" si="15"/>
        <v>0.92730840899015698</v>
      </c>
      <c r="AE34" s="55"/>
      <c r="AF34" s="72"/>
      <c r="AG34" s="72"/>
      <c r="AH34" s="66"/>
      <c r="AJ34" t="s">
        <v>153</v>
      </c>
    </row>
    <row r="35" spans="1:39" ht="16" hidden="1" thickBot="1" x14ac:dyDescent="0.25">
      <c r="A35" s="119" t="s">
        <v>408</v>
      </c>
      <c r="B35" s="120" t="s">
        <v>1191</v>
      </c>
      <c r="C35" s="108" t="str">
        <f t="shared" si="0"/>
        <v>/Applications/Stellarium.app/Contents/Resources/nebulae/default/n4833.png</v>
      </c>
      <c r="D35" s="121" t="s">
        <v>1467</v>
      </c>
      <c r="E35" s="109"/>
      <c r="F35" s="122">
        <v>13</v>
      </c>
      <c r="G35" s="123">
        <v>1</v>
      </c>
      <c r="H35" s="122">
        <v>-72</v>
      </c>
      <c r="I35" s="124">
        <v>58</v>
      </c>
      <c r="J35" s="112" t="s">
        <v>884</v>
      </c>
      <c r="K35" s="125">
        <v>13.4</v>
      </c>
      <c r="L35" s="196"/>
      <c r="M35" s="110">
        <f t="shared" si="1"/>
        <v>-71.033333333333331</v>
      </c>
      <c r="N35" s="111">
        <f t="shared" si="2"/>
        <v>-33.25333333333333</v>
      </c>
      <c r="O35" s="112">
        <f t="shared" si="3"/>
        <v>13.016666666666667</v>
      </c>
      <c r="P35" s="113">
        <f t="shared" ca="1" si="4"/>
        <v>46107.377167999999</v>
      </c>
      <c r="Q35" s="114">
        <f t="shared" ca="1" si="5"/>
        <v>46122.377167999999</v>
      </c>
      <c r="R35" s="114" t="b">
        <f t="shared" ca="1" si="6"/>
        <v>1</v>
      </c>
      <c r="S35" s="115">
        <f t="shared" ca="1" si="7"/>
        <v>15</v>
      </c>
      <c r="T35" s="126">
        <f t="shared" ca="1" si="8"/>
        <v>46137.377167999999</v>
      </c>
      <c r="U35" s="127" t="str">
        <f t="shared" si="9"/>
        <v>S</v>
      </c>
      <c r="V35" s="128">
        <f t="shared" si="10"/>
        <v>-33.25333333333333</v>
      </c>
      <c r="W35" s="129">
        <f t="shared" si="11"/>
        <v>-33.25333333333333</v>
      </c>
      <c r="X35" s="197"/>
      <c r="Y35" s="115">
        <f t="shared" ca="1" si="12"/>
        <v>42</v>
      </c>
      <c r="Z35" s="118">
        <f t="shared" ca="1" si="13"/>
        <v>0.8849315068493151</v>
      </c>
      <c r="AA35" s="116"/>
      <c r="AB35" s="117">
        <f t="shared" si="14"/>
        <v>20.321886453519095</v>
      </c>
      <c r="AC35" s="118">
        <f t="shared" si="15"/>
        <v>0.9300786022299623</v>
      </c>
      <c r="AE35" s="55"/>
      <c r="AF35" s="72"/>
      <c r="AG35" s="72"/>
      <c r="AH35" s="66"/>
      <c r="AJ35" t="s">
        <v>408</v>
      </c>
    </row>
    <row r="36" spans="1:39" ht="16" thickBot="1" x14ac:dyDescent="0.25">
      <c r="A36" s="119" t="s">
        <v>714</v>
      </c>
      <c r="B36" s="120" t="s">
        <v>1442</v>
      </c>
      <c r="C36" s="108" t="str">
        <f t="shared" si="0"/>
        <v>/Applications/Stellarium.app/Contents/Resources/nebulae/default/coma_cluster.png</v>
      </c>
      <c r="D36" s="121" t="s">
        <v>1468</v>
      </c>
      <c r="E36" s="109"/>
      <c r="F36" s="122">
        <v>13</v>
      </c>
      <c r="G36" s="123">
        <v>2</v>
      </c>
      <c r="H36" s="122">
        <v>27</v>
      </c>
      <c r="I36" s="124">
        <v>24</v>
      </c>
      <c r="J36" s="112" t="s">
        <v>1187</v>
      </c>
      <c r="K36" s="125">
        <v>13.4</v>
      </c>
      <c r="L36" s="196"/>
      <c r="M36" s="110">
        <f t="shared" si="1"/>
        <v>27.4</v>
      </c>
      <c r="N36" s="111">
        <f t="shared" si="2"/>
        <v>65.180000000000007</v>
      </c>
      <c r="O36" s="112">
        <f t="shared" si="3"/>
        <v>13.033333333333333</v>
      </c>
      <c r="P36" s="113">
        <f t="shared" ca="1" si="4"/>
        <v>46107.630808000002</v>
      </c>
      <c r="Q36" s="114">
        <f t="shared" ca="1" si="5"/>
        <v>46122.630808000002</v>
      </c>
      <c r="R36" s="114" t="b">
        <f t="shared" ca="1" si="6"/>
        <v>1</v>
      </c>
      <c r="S36" s="115">
        <f t="shared" ca="1" si="7"/>
        <v>15</v>
      </c>
      <c r="T36" s="126">
        <f t="shared" ca="1" si="8"/>
        <v>46137.630808000002</v>
      </c>
      <c r="U36" s="127" t="str">
        <f t="shared" si="9"/>
        <v>S</v>
      </c>
      <c r="V36" s="128">
        <f t="shared" si="10"/>
        <v>65.180000000000007</v>
      </c>
      <c r="W36" s="129">
        <f t="shared" si="11"/>
        <v>65.180000000000007</v>
      </c>
      <c r="X36" s="197"/>
      <c r="Y36" s="115">
        <f t="shared" ca="1" si="12"/>
        <v>41</v>
      </c>
      <c r="Z36" s="118">
        <f t="shared" ca="1" si="13"/>
        <v>0.88767123287671235</v>
      </c>
      <c r="AA36" s="116"/>
      <c r="AB36" s="117">
        <f t="shared" si="14"/>
        <v>20.338507612957923</v>
      </c>
      <c r="AC36" s="118">
        <f t="shared" si="15"/>
        <v>0.93077115053991344</v>
      </c>
      <c r="AE36" s="55"/>
      <c r="AF36" s="72"/>
      <c r="AG36" s="72"/>
      <c r="AH36" s="66"/>
      <c r="AJ36" t="s">
        <v>714</v>
      </c>
    </row>
    <row r="37" spans="1:39" ht="16" hidden="1" thickBot="1" x14ac:dyDescent="0.25">
      <c r="A37" s="119" t="s">
        <v>409</v>
      </c>
      <c r="B37" s="120" t="s">
        <v>1272</v>
      </c>
      <c r="C37" s="108" t="str">
        <f t="shared" si="0"/>
        <v>/Applications/Stellarium.app/Contents/Resources/nebulae/default/n4945.png</v>
      </c>
      <c r="D37" s="121" t="s">
        <v>1469</v>
      </c>
      <c r="E37" s="109"/>
      <c r="F37" s="122">
        <v>13</v>
      </c>
      <c r="G37" s="123">
        <v>6</v>
      </c>
      <c r="H37" s="122">
        <v>-50</v>
      </c>
      <c r="I37" s="124">
        <v>20</v>
      </c>
      <c r="J37" s="112" t="s">
        <v>974</v>
      </c>
      <c r="K37" s="125">
        <v>14.2</v>
      </c>
      <c r="L37" s="196"/>
      <c r="M37" s="110">
        <f t="shared" si="1"/>
        <v>-49.666666666666664</v>
      </c>
      <c r="N37" s="111">
        <f t="shared" si="2"/>
        <v>-11.886666666666663</v>
      </c>
      <c r="O37" s="112">
        <f t="shared" si="3"/>
        <v>13.1</v>
      </c>
      <c r="P37" s="113">
        <f t="shared" ca="1" si="4"/>
        <v>46108.645367999998</v>
      </c>
      <c r="Q37" s="114">
        <f t="shared" ca="1" si="5"/>
        <v>46123.645367999998</v>
      </c>
      <c r="R37" s="114" t="b">
        <f t="shared" ca="1" si="6"/>
        <v>1</v>
      </c>
      <c r="S37" s="115">
        <f t="shared" ca="1" si="7"/>
        <v>15</v>
      </c>
      <c r="T37" s="126">
        <f t="shared" ca="1" si="8"/>
        <v>46138.645367999998</v>
      </c>
      <c r="U37" s="127" t="str">
        <f t="shared" si="9"/>
        <v>S</v>
      </c>
      <c r="V37" s="128">
        <f t="shared" si="10"/>
        <v>-11.886666666666663</v>
      </c>
      <c r="W37" s="129">
        <f t="shared" si="11"/>
        <v>-11.886666666666663</v>
      </c>
      <c r="X37" s="197"/>
      <c r="Y37" s="115">
        <f t="shared" ca="1" si="12"/>
        <v>40</v>
      </c>
      <c r="Z37" s="118">
        <f t="shared" ca="1" si="13"/>
        <v>0.8904109589041096</v>
      </c>
      <c r="AA37" s="116"/>
      <c r="AB37" s="117">
        <f t="shared" si="14"/>
        <v>20.404992250713253</v>
      </c>
      <c r="AC37" s="118">
        <f t="shared" si="15"/>
        <v>0.93354134377971887</v>
      </c>
      <c r="AE37" s="55"/>
      <c r="AF37" s="72"/>
      <c r="AG37" s="72"/>
      <c r="AH37" s="66"/>
      <c r="AJ37" t="s">
        <v>409</v>
      </c>
    </row>
    <row r="38" spans="1:39" ht="16" hidden="1" thickBot="1" x14ac:dyDescent="0.25">
      <c r="A38" s="119" t="s">
        <v>410</v>
      </c>
      <c r="B38" s="120" t="s">
        <v>1302</v>
      </c>
      <c r="C38" s="108" t="str">
        <f t="shared" si="0"/>
        <v>/Applications/Stellarium.app/Contents/Resources/nebulae/default/n4976.png</v>
      </c>
      <c r="D38" s="121" t="s">
        <v>1470</v>
      </c>
      <c r="E38" s="109"/>
      <c r="F38" s="122">
        <v>13</v>
      </c>
      <c r="G38" s="123">
        <v>9</v>
      </c>
      <c r="H38" s="122">
        <v>-50</v>
      </c>
      <c r="I38" s="124">
        <v>25</v>
      </c>
      <c r="J38" s="112" t="s">
        <v>975</v>
      </c>
      <c r="K38" s="125">
        <v>13.2</v>
      </c>
      <c r="L38" s="196"/>
      <c r="M38" s="110">
        <f t="shared" si="1"/>
        <v>-49.583333333333336</v>
      </c>
      <c r="N38" s="111">
        <f t="shared" si="2"/>
        <v>-11.803333333333335</v>
      </c>
      <c r="O38" s="112">
        <f t="shared" si="3"/>
        <v>13.15</v>
      </c>
      <c r="P38" s="113">
        <f t="shared" ca="1" si="4"/>
        <v>46109.406287999998</v>
      </c>
      <c r="Q38" s="114">
        <f t="shared" ca="1" si="5"/>
        <v>46124.406287999998</v>
      </c>
      <c r="R38" s="114" t="b">
        <f t="shared" ca="1" si="6"/>
        <v>1</v>
      </c>
      <c r="S38" s="115">
        <f t="shared" ca="1" si="7"/>
        <v>15</v>
      </c>
      <c r="T38" s="126">
        <f t="shared" ca="1" si="8"/>
        <v>46139.406287999998</v>
      </c>
      <c r="U38" s="127" t="str">
        <f t="shared" si="9"/>
        <v>S</v>
      </c>
      <c r="V38" s="128">
        <f t="shared" si="10"/>
        <v>-11.803333333333335</v>
      </c>
      <c r="W38" s="129">
        <f t="shared" si="11"/>
        <v>-11.803333333333335</v>
      </c>
      <c r="X38" s="197"/>
      <c r="Y38" s="115">
        <f t="shared" ca="1" si="12"/>
        <v>40</v>
      </c>
      <c r="Z38" s="118">
        <f t="shared" ca="1" si="13"/>
        <v>0.8904109589041096</v>
      </c>
      <c r="AA38" s="116"/>
      <c r="AB38" s="117">
        <f t="shared" si="14"/>
        <v>20.454855729029742</v>
      </c>
      <c r="AC38" s="118">
        <f t="shared" si="15"/>
        <v>0.93561898870957261</v>
      </c>
      <c r="AE38" s="55"/>
      <c r="AF38" s="72"/>
      <c r="AG38" s="72"/>
      <c r="AH38" s="66"/>
      <c r="AJ38" t="s">
        <v>410</v>
      </c>
    </row>
    <row r="39" spans="1:39" ht="16" hidden="1" thickBot="1" x14ac:dyDescent="0.25">
      <c r="A39" s="119" t="s">
        <v>411</v>
      </c>
      <c r="B39" s="120" t="s">
        <v>1269</v>
      </c>
      <c r="C39" s="108" t="str">
        <f t="shared" si="0"/>
        <v>/Applications/Stellarium.app/Contents/Resources/nebulae/default/n5005.png</v>
      </c>
      <c r="D39" s="121" t="s">
        <v>1471</v>
      </c>
      <c r="E39" s="109"/>
      <c r="F39" s="122">
        <v>13</v>
      </c>
      <c r="G39" s="123">
        <v>11</v>
      </c>
      <c r="H39" s="122">
        <v>37</v>
      </c>
      <c r="I39" s="124">
        <v>4</v>
      </c>
      <c r="J39" s="112" t="s">
        <v>976</v>
      </c>
      <c r="K39" s="125">
        <v>13.5</v>
      </c>
      <c r="L39" s="196"/>
      <c r="M39" s="110">
        <f t="shared" si="1"/>
        <v>37.06666666666667</v>
      </c>
      <c r="N39" s="111">
        <f t="shared" si="2"/>
        <v>74.846666666666664</v>
      </c>
      <c r="O39" s="112">
        <f t="shared" si="3"/>
        <v>13.183333333333334</v>
      </c>
      <c r="P39" s="113">
        <f t="shared" ca="1" si="4"/>
        <v>46109.913568000004</v>
      </c>
      <c r="Q39" s="114">
        <f t="shared" ca="1" si="5"/>
        <v>46124.913568000004</v>
      </c>
      <c r="R39" s="114" t="b">
        <f t="shared" ca="1" si="6"/>
        <v>1</v>
      </c>
      <c r="S39" s="115">
        <f t="shared" ca="1" si="7"/>
        <v>15</v>
      </c>
      <c r="T39" s="126">
        <f t="shared" ca="1" si="8"/>
        <v>46139.913568000004</v>
      </c>
      <c r="U39" s="127" t="str">
        <f t="shared" si="9"/>
        <v>S</v>
      </c>
      <c r="V39" s="128">
        <f t="shared" si="10"/>
        <v>74.846666666666664</v>
      </c>
      <c r="W39" s="129">
        <f t="shared" si="11"/>
        <v>74.846666666666664</v>
      </c>
      <c r="X39" s="197"/>
      <c r="Y39" s="115">
        <f t="shared" ca="1" si="12"/>
        <v>39</v>
      </c>
      <c r="Z39" s="118">
        <f t="shared" ca="1" si="13"/>
        <v>0.89315068493150684</v>
      </c>
      <c r="AA39" s="116"/>
      <c r="AB39" s="117">
        <f t="shared" si="14"/>
        <v>20.488098047907407</v>
      </c>
      <c r="AC39" s="118">
        <f t="shared" si="15"/>
        <v>0.93700408532947532</v>
      </c>
      <c r="AE39" s="55"/>
      <c r="AF39" s="72"/>
      <c r="AG39" s="72"/>
      <c r="AH39" s="66"/>
      <c r="AJ39" t="s">
        <v>411</v>
      </c>
    </row>
    <row r="40" spans="1:39" ht="16" hidden="1" thickBot="1" x14ac:dyDescent="0.25">
      <c r="A40" s="119" t="s">
        <v>142</v>
      </c>
      <c r="B40" s="120" t="s">
        <v>1191</v>
      </c>
      <c r="C40" s="108" t="str">
        <f t="shared" si="0"/>
        <v>/Applications/Stellarium.app/Contents/Resources/nebulae/default/m53.png</v>
      </c>
      <c r="D40" s="121" t="s">
        <v>1472</v>
      </c>
      <c r="E40" s="109"/>
      <c r="F40" s="122">
        <v>13</v>
      </c>
      <c r="G40" s="123">
        <v>13</v>
      </c>
      <c r="H40" s="122">
        <v>18</v>
      </c>
      <c r="I40" s="124">
        <v>2</v>
      </c>
      <c r="J40" s="112" t="s">
        <v>56</v>
      </c>
      <c r="K40" s="125">
        <v>14.5</v>
      </c>
      <c r="L40" s="196"/>
      <c r="M40" s="110">
        <f t="shared" si="1"/>
        <v>18.033333333333335</v>
      </c>
      <c r="N40" s="111">
        <f t="shared" si="2"/>
        <v>55.813333333333333</v>
      </c>
      <c r="O40" s="112">
        <f t="shared" si="3"/>
        <v>13.216666666666667</v>
      </c>
      <c r="P40" s="113">
        <f t="shared" ca="1" si="4"/>
        <v>46110.420848000002</v>
      </c>
      <c r="Q40" s="114">
        <f t="shared" ca="1" si="5"/>
        <v>46125.420848000002</v>
      </c>
      <c r="R40" s="114" t="b">
        <f t="shared" ca="1" si="6"/>
        <v>1</v>
      </c>
      <c r="S40" s="115">
        <f t="shared" ca="1" si="7"/>
        <v>15</v>
      </c>
      <c r="T40" s="126">
        <f t="shared" ca="1" si="8"/>
        <v>46140.420848000002</v>
      </c>
      <c r="U40" s="127" t="str">
        <f t="shared" si="9"/>
        <v>S</v>
      </c>
      <c r="V40" s="128">
        <f t="shared" si="10"/>
        <v>55.813333333333333</v>
      </c>
      <c r="W40" s="129">
        <f t="shared" si="11"/>
        <v>55.813333333333333</v>
      </c>
      <c r="X40" s="197"/>
      <c r="Y40" s="115">
        <f t="shared" ca="1" si="12"/>
        <v>39</v>
      </c>
      <c r="Z40" s="118">
        <f t="shared" ca="1" si="13"/>
        <v>0.89315068493150684</v>
      </c>
      <c r="AA40" s="116"/>
      <c r="AB40" s="117">
        <f t="shared" si="14"/>
        <v>20.521340366785072</v>
      </c>
      <c r="AC40" s="118">
        <f t="shared" si="15"/>
        <v>0.93838918194937804</v>
      </c>
      <c r="AE40" s="55"/>
      <c r="AF40" s="72"/>
      <c r="AG40" s="72"/>
      <c r="AH40" s="66"/>
      <c r="AJ40" t="s">
        <v>142</v>
      </c>
    </row>
    <row r="41" spans="1:39" ht="16" thickBot="1" x14ac:dyDescent="0.25">
      <c r="A41" s="119" t="s">
        <v>412</v>
      </c>
      <c r="B41" s="120" t="s">
        <v>1269</v>
      </c>
      <c r="C41" s="108" t="str">
        <f t="shared" si="0"/>
        <v>/Applications/Stellarium.app/Contents/Resources/nebulae/default/n5033-vasey.png</v>
      </c>
      <c r="D41" s="121" t="s">
        <v>1473</v>
      </c>
      <c r="E41" s="109"/>
      <c r="F41" s="122">
        <v>13</v>
      </c>
      <c r="G41" s="123">
        <v>14</v>
      </c>
      <c r="H41" s="122">
        <v>36</v>
      </c>
      <c r="I41" s="124">
        <v>29</v>
      </c>
      <c r="J41" s="112" t="s">
        <v>977</v>
      </c>
      <c r="K41" s="125">
        <v>13.4</v>
      </c>
      <c r="L41" s="196"/>
      <c r="M41" s="110">
        <f t="shared" si="1"/>
        <v>36.483333333333334</v>
      </c>
      <c r="N41" s="111">
        <f t="shared" si="2"/>
        <v>74.263333333333335</v>
      </c>
      <c r="O41" s="112">
        <f t="shared" si="3"/>
        <v>13.233333333333333</v>
      </c>
      <c r="P41" s="113">
        <f t="shared" ca="1" si="4"/>
        <v>46110.674487999997</v>
      </c>
      <c r="Q41" s="114">
        <f t="shared" ca="1" si="5"/>
        <v>46125.674487999997</v>
      </c>
      <c r="R41" s="114" t="b">
        <f t="shared" ca="1" si="6"/>
        <v>1</v>
      </c>
      <c r="S41" s="115">
        <f t="shared" ca="1" si="7"/>
        <v>15</v>
      </c>
      <c r="T41" s="126">
        <f t="shared" ca="1" si="8"/>
        <v>46140.674487999997</v>
      </c>
      <c r="U41" s="127" t="str">
        <f t="shared" si="9"/>
        <v>S</v>
      </c>
      <c r="V41" s="128">
        <f t="shared" si="10"/>
        <v>74.263333333333335</v>
      </c>
      <c r="W41" s="129">
        <f t="shared" si="11"/>
        <v>74.263333333333335</v>
      </c>
      <c r="X41" s="197"/>
      <c r="Y41" s="115">
        <f t="shared" ca="1" si="12"/>
        <v>38</v>
      </c>
      <c r="Z41" s="118">
        <f t="shared" ca="1" si="13"/>
        <v>0.89589041095890409</v>
      </c>
      <c r="AA41" s="116"/>
      <c r="AB41" s="117">
        <f t="shared" si="14"/>
        <v>20.537961526223903</v>
      </c>
      <c r="AC41" s="118">
        <f t="shared" si="15"/>
        <v>0.93908173025932928</v>
      </c>
      <c r="AE41" s="55"/>
      <c r="AF41" s="72"/>
      <c r="AG41" s="72"/>
      <c r="AH41" s="66"/>
      <c r="AJ41" t="s">
        <v>412</v>
      </c>
    </row>
    <row r="42" spans="1:39" ht="16" hidden="1" thickBot="1" x14ac:dyDescent="0.25">
      <c r="A42" s="119" t="s">
        <v>668</v>
      </c>
      <c r="B42" s="120" t="s">
        <v>1415</v>
      </c>
      <c r="C42" s="108" t="str">
        <f t="shared" si="0"/>
        <v>/Applications/Stellarium.app/Contents/Resources/nebulae/default/u8335h.png</v>
      </c>
      <c r="D42" s="121" t="s">
        <v>1474</v>
      </c>
      <c r="E42" s="109"/>
      <c r="F42" s="122">
        <v>13</v>
      </c>
      <c r="G42" s="123">
        <v>15</v>
      </c>
      <c r="H42" s="122">
        <v>62</v>
      </c>
      <c r="I42" s="124">
        <v>7</v>
      </c>
      <c r="J42" s="112" t="s">
        <v>2084</v>
      </c>
      <c r="K42" s="125">
        <v>15</v>
      </c>
      <c r="L42" s="196"/>
      <c r="M42" s="110">
        <f t="shared" si="1"/>
        <v>62.116666666666667</v>
      </c>
      <c r="N42" s="111">
        <f t="shared" si="2"/>
        <v>99.896666666666675</v>
      </c>
      <c r="O42" s="112">
        <f t="shared" si="3"/>
        <v>13.25</v>
      </c>
      <c r="P42" s="113">
        <f t="shared" ca="1" si="4"/>
        <v>46110.928128</v>
      </c>
      <c r="Q42" s="114">
        <f t="shared" ca="1" si="5"/>
        <v>46125.928128</v>
      </c>
      <c r="R42" s="114" t="b">
        <f t="shared" ca="1" si="6"/>
        <v>1</v>
      </c>
      <c r="S42" s="115">
        <f t="shared" ca="1" si="7"/>
        <v>15</v>
      </c>
      <c r="T42" s="126">
        <f t="shared" ca="1" si="8"/>
        <v>46140.928128</v>
      </c>
      <c r="U42" s="127" t="str">
        <f t="shared" si="9"/>
        <v>N</v>
      </c>
      <c r="V42" s="128">
        <f t="shared" si="10"/>
        <v>80.103333333333325</v>
      </c>
      <c r="W42" s="129">
        <f t="shared" si="11"/>
        <v>80.103333333333325</v>
      </c>
      <c r="X42" s="197"/>
      <c r="Y42" s="115">
        <f t="shared" ca="1" si="12"/>
        <v>38</v>
      </c>
      <c r="Z42" s="118">
        <f t="shared" ca="1" si="13"/>
        <v>0.89589041095890409</v>
      </c>
      <c r="AA42" s="116"/>
      <c r="AB42" s="117">
        <f t="shared" si="14"/>
        <v>20.554582685662734</v>
      </c>
      <c r="AC42" s="118">
        <f t="shared" si="15"/>
        <v>0.93977427856928053</v>
      </c>
      <c r="AE42" s="55"/>
      <c r="AF42" s="72"/>
      <c r="AG42" s="72"/>
      <c r="AH42" s="66"/>
      <c r="AJ42" t="s">
        <v>668</v>
      </c>
      <c r="AM42" s="95"/>
    </row>
    <row r="43" spans="1:39" ht="16" thickBot="1" x14ac:dyDescent="0.25">
      <c r="A43" s="119" t="s">
        <v>152</v>
      </c>
      <c r="B43" s="120" t="s">
        <v>1233</v>
      </c>
      <c r="C43" s="108" t="str">
        <f t="shared" si="0"/>
        <v>/Applications/Stellarium.app/Contents/Resources/nebulae/default/m63-vasey.png</v>
      </c>
      <c r="D43" s="121" t="s">
        <v>1475</v>
      </c>
      <c r="E43" s="109"/>
      <c r="F43" s="122">
        <v>13</v>
      </c>
      <c r="G43" s="123">
        <v>16</v>
      </c>
      <c r="H43" s="122">
        <v>41</v>
      </c>
      <c r="I43" s="124">
        <v>51</v>
      </c>
      <c r="J43" s="112" t="s">
        <v>756</v>
      </c>
      <c r="K43" s="125">
        <v>13.4</v>
      </c>
      <c r="L43" s="196"/>
      <c r="M43" s="110">
        <f t="shared" si="1"/>
        <v>41.85</v>
      </c>
      <c r="N43" s="111">
        <f t="shared" si="2"/>
        <v>79.63</v>
      </c>
      <c r="O43" s="112">
        <f t="shared" si="3"/>
        <v>13.266666666666667</v>
      </c>
      <c r="P43" s="113">
        <f t="shared" ca="1" si="4"/>
        <v>46111.181768000002</v>
      </c>
      <c r="Q43" s="114">
        <f t="shared" ca="1" si="5"/>
        <v>46126.181768000002</v>
      </c>
      <c r="R43" s="114" t="b">
        <f t="shared" ca="1" si="6"/>
        <v>1</v>
      </c>
      <c r="S43" s="115">
        <f t="shared" ca="1" si="7"/>
        <v>15</v>
      </c>
      <c r="T43" s="126">
        <f t="shared" ca="1" si="8"/>
        <v>46141.181768000002</v>
      </c>
      <c r="U43" s="127" t="str">
        <f t="shared" si="9"/>
        <v>S</v>
      </c>
      <c r="V43" s="128">
        <f t="shared" si="10"/>
        <v>79.63</v>
      </c>
      <c r="W43" s="129">
        <f t="shared" si="11"/>
        <v>79.63</v>
      </c>
      <c r="X43" s="197"/>
      <c r="Y43" s="115">
        <f t="shared" ca="1" si="12"/>
        <v>38</v>
      </c>
      <c r="Z43" s="118">
        <f t="shared" ca="1" si="13"/>
        <v>0.89589041095890409</v>
      </c>
      <c r="AA43" s="116"/>
      <c r="AB43" s="117">
        <f t="shared" si="14"/>
        <v>20.571203845101561</v>
      </c>
      <c r="AC43" s="118">
        <f t="shared" si="15"/>
        <v>0.94046682687923167</v>
      </c>
      <c r="AE43" s="55"/>
      <c r="AF43" s="72"/>
      <c r="AG43" s="72"/>
      <c r="AH43" s="66"/>
      <c r="AJ43" t="s">
        <v>152</v>
      </c>
    </row>
    <row r="44" spans="1:39" ht="16" hidden="1" thickBot="1" x14ac:dyDescent="0.25">
      <c r="A44" s="119" t="s">
        <v>413</v>
      </c>
      <c r="B44" s="120" t="s">
        <v>1191</v>
      </c>
      <c r="C44" s="108" t="str">
        <f t="shared" si="0"/>
        <v>/Applications/Stellarium.app/Contents/Resources/nebulae/default/n5053.png</v>
      </c>
      <c r="D44" s="121" t="s">
        <v>1476</v>
      </c>
      <c r="E44" s="109"/>
      <c r="F44" s="122">
        <v>13</v>
      </c>
      <c r="G44" s="123">
        <v>17</v>
      </c>
      <c r="H44" s="122">
        <v>17</v>
      </c>
      <c r="I44" s="124">
        <v>33</v>
      </c>
      <c r="J44" s="112" t="s">
        <v>972</v>
      </c>
      <c r="K44" s="125">
        <v>15.2</v>
      </c>
      <c r="L44" s="196"/>
      <c r="M44" s="110">
        <f t="shared" si="1"/>
        <v>17.55</v>
      </c>
      <c r="N44" s="111">
        <f t="shared" si="2"/>
        <v>55.33</v>
      </c>
      <c r="O44" s="112">
        <f t="shared" si="3"/>
        <v>13.283333333333333</v>
      </c>
      <c r="P44" s="113">
        <f t="shared" ca="1" si="4"/>
        <v>46111.435407999998</v>
      </c>
      <c r="Q44" s="114">
        <f t="shared" ca="1" si="5"/>
        <v>46126.435407999998</v>
      </c>
      <c r="R44" s="114" t="b">
        <f t="shared" ca="1" si="6"/>
        <v>1</v>
      </c>
      <c r="S44" s="115">
        <f t="shared" ca="1" si="7"/>
        <v>15</v>
      </c>
      <c r="T44" s="126">
        <f t="shared" ca="1" si="8"/>
        <v>46141.435407999998</v>
      </c>
      <c r="U44" s="127" t="str">
        <f t="shared" si="9"/>
        <v>S</v>
      </c>
      <c r="V44" s="128">
        <f t="shared" si="10"/>
        <v>55.33</v>
      </c>
      <c r="W44" s="129">
        <f t="shared" si="11"/>
        <v>55.33</v>
      </c>
      <c r="X44" s="197"/>
      <c r="Y44" s="115">
        <f t="shared" ca="1" si="12"/>
        <v>38</v>
      </c>
      <c r="Z44" s="118">
        <f t="shared" ca="1" si="13"/>
        <v>0.89589041095890409</v>
      </c>
      <c r="AA44" s="116"/>
      <c r="AB44" s="117">
        <f t="shared" si="14"/>
        <v>20.587825004540392</v>
      </c>
      <c r="AC44" s="118">
        <f t="shared" si="15"/>
        <v>0.94115937518918302</v>
      </c>
      <c r="AE44" s="55"/>
      <c r="AF44" s="72"/>
      <c r="AG44" s="72"/>
      <c r="AH44" s="66"/>
      <c r="AJ44" t="s">
        <v>413</v>
      </c>
    </row>
    <row r="45" spans="1:39" ht="16" hidden="1" thickBot="1" x14ac:dyDescent="0.25">
      <c r="A45" s="119" t="s">
        <v>414</v>
      </c>
      <c r="B45" s="120" t="s">
        <v>1302</v>
      </c>
      <c r="C45" s="108" t="str">
        <f t="shared" si="0"/>
        <v>/Applications/Stellarium.app/Contents/Resources/nebulae/default/n5068-sdss.png</v>
      </c>
      <c r="D45" s="121" t="s">
        <v>1477</v>
      </c>
      <c r="E45" s="109"/>
      <c r="F45" s="122">
        <v>13</v>
      </c>
      <c r="G45" s="123">
        <v>19</v>
      </c>
      <c r="H45" s="122">
        <v>-22</v>
      </c>
      <c r="I45" s="124">
        <v>51</v>
      </c>
      <c r="J45" s="112" t="s">
        <v>978</v>
      </c>
      <c r="K45" s="125">
        <v>13.4</v>
      </c>
      <c r="L45" s="196"/>
      <c r="M45" s="110">
        <f t="shared" si="1"/>
        <v>-21.15</v>
      </c>
      <c r="N45" s="111">
        <f t="shared" si="2"/>
        <v>16.630000000000003</v>
      </c>
      <c r="O45" s="112">
        <f t="shared" si="3"/>
        <v>13.316666666666666</v>
      </c>
      <c r="P45" s="113">
        <f t="shared" ca="1" si="4"/>
        <v>46111.942688000003</v>
      </c>
      <c r="Q45" s="114">
        <f t="shared" ca="1" si="5"/>
        <v>46126.942688000003</v>
      </c>
      <c r="R45" s="114" t="b">
        <f t="shared" ca="1" si="6"/>
        <v>1</v>
      </c>
      <c r="S45" s="115">
        <f t="shared" ca="1" si="7"/>
        <v>15</v>
      </c>
      <c r="T45" s="126">
        <f t="shared" ca="1" si="8"/>
        <v>46141.942688000003</v>
      </c>
      <c r="U45" s="127" t="str">
        <f t="shared" si="9"/>
        <v>S</v>
      </c>
      <c r="V45" s="128">
        <f t="shared" si="10"/>
        <v>16.630000000000003</v>
      </c>
      <c r="W45" s="129">
        <f t="shared" si="11"/>
        <v>16.630000000000003</v>
      </c>
      <c r="X45" s="197"/>
      <c r="Y45" s="115">
        <f t="shared" ca="1" si="12"/>
        <v>37</v>
      </c>
      <c r="Z45" s="118">
        <f t="shared" ca="1" si="13"/>
        <v>0.89863013698630134</v>
      </c>
      <c r="AA45" s="116"/>
      <c r="AB45" s="117">
        <f t="shared" si="14"/>
        <v>20.621067323418057</v>
      </c>
      <c r="AC45" s="118">
        <f t="shared" si="15"/>
        <v>0.94254447180908574</v>
      </c>
      <c r="AE45" s="55"/>
      <c r="AF45" s="72"/>
      <c r="AG45" s="72"/>
      <c r="AH45" s="66"/>
      <c r="AJ45" t="s">
        <v>414</v>
      </c>
    </row>
    <row r="46" spans="1:39" ht="16" hidden="1" thickBot="1" x14ac:dyDescent="0.25">
      <c r="A46" s="119" t="s">
        <v>575</v>
      </c>
      <c r="B46" s="120" t="s">
        <v>1291</v>
      </c>
      <c r="C46" s="108" t="str">
        <f t="shared" si="0"/>
        <v>/Applications/Stellarium.app/Contents/Resources/nebulae/default/ic883h.png</v>
      </c>
      <c r="D46" s="121" t="s">
        <v>1478</v>
      </c>
      <c r="E46" s="109"/>
      <c r="F46" s="122">
        <v>13</v>
      </c>
      <c r="G46" s="123">
        <v>20</v>
      </c>
      <c r="H46" s="122">
        <v>34</v>
      </c>
      <c r="I46" s="124">
        <v>6</v>
      </c>
      <c r="J46" s="112" t="s">
        <v>1095</v>
      </c>
      <c r="K46" s="125">
        <v>15</v>
      </c>
      <c r="L46" s="196"/>
      <c r="M46" s="110">
        <f t="shared" si="1"/>
        <v>34.1</v>
      </c>
      <c r="N46" s="111">
        <f t="shared" si="2"/>
        <v>71.88</v>
      </c>
      <c r="O46" s="112">
        <f t="shared" si="3"/>
        <v>13.333333333333334</v>
      </c>
      <c r="P46" s="113">
        <f t="shared" ca="1" si="4"/>
        <v>46112.196327999998</v>
      </c>
      <c r="Q46" s="114">
        <f t="shared" ca="1" si="5"/>
        <v>46127.196327999998</v>
      </c>
      <c r="R46" s="114" t="b">
        <f t="shared" ca="1" si="6"/>
        <v>1</v>
      </c>
      <c r="S46" s="115">
        <f t="shared" ca="1" si="7"/>
        <v>15</v>
      </c>
      <c r="T46" s="126">
        <f t="shared" ca="1" si="8"/>
        <v>46142.196327999998</v>
      </c>
      <c r="U46" s="127" t="str">
        <f t="shared" si="9"/>
        <v>S</v>
      </c>
      <c r="V46" s="128">
        <f t="shared" si="10"/>
        <v>71.88</v>
      </c>
      <c r="W46" s="129">
        <f t="shared" si="11"/>
        <v>71.88</v>
      </c>
      <c r="X46" s="197"/>
      <c r="Y46" s="115">
        <f t="shared" ca="1" si="12"/>
        <v>37</v>
      </c>
      <c r="Z46" s="118">
        <f t="shared" ca="1" si="13"/>
        <v>0.89863013698630134</v>
      </c>
      <c r="AA46" s="116"/>
      <c r="AB46" s="117">
        <f t="shared" si="14"/>
        <v>20.637688482856891</v>
      </c>
      <c r="AC46" s="118">
        <f t="shared" si="15"/>
        <v>0.9432370201190371</v>
      </c>
      <c r="AE46" s="55"/>
      <c r="AF46" s="72"/>
      <c r="AG46" s="72"/>
      <c r="AH46" s="66"/>
      <c r="AJ46" t="s">
        <v>575</v>
      </c>
    </row>
    <row r="47" spans="1:39" ht="16" hidden="1" thickBot="1" x14ac:dyDescent="0.25">
      <c r="A47" s="119" t="s">
        <v>415</v>
      </c>
      <c r="B47" s="120" t="s">
        <v>1302</v>
      </c>
      <c r="C47" s="108" t="str">
        <f t="shared" si="0"/>
        <v>/Applications/Stellarium.app/Contents/Resources/nebulae/default/n5102.png</v>
      </c>
      <c r="D47" s="121" t="s">
        <v>1479</v>
      </c>
      <c r="E47" s="109"/>
      <c r="F47" s="122">
        <v>13</v>
      </c>
      <c r="G47" s="123">
        <v>22</v>
      </c>
      <c r="H47" s="122">
        <v>-37</v>
      </c>
      <c r="I47" s="124">
        <v>18</v>
      </c>
      <c r="J47" s="112" t="s">
        <v>979</v>
      </c>
      <c r="K47" s="125">
        <v>14.2</v>
      </c>
      <c r="L47" s="196"/>
      <c r="M47" s="110">
        <f t="shared" si="1"/>
        <v>-36.700000000000003</v>
      </c>
      <c r="N47" s="111">
        <f t="shared" si="2"/>
        <v>1.0799999999999983</v>
      </c>
      <c r="O47" s="112">
        <f t="shared" si="3"/>
        <v>13.366666666666667</v>
      </c>
      <c r="P47" s="113">
        <f t="shared" ca="1" si="4"/>
        <v>46112.703608000003</v>
      </c>
      <c r="Q47" s="114">
        <f t="shared" ca="1" si="5"/>
        <v>46127.703608000003</v>
      </c>
      <c r="R47" s="114" t="b">
        <f t="shared" ca="1" si="6"/>
        <v>1</v>
      </c>
      <c r="S47" s="115">
        <f t="shared" ca="1" si="7"/>
        <v>15</v>
      </c>
      <c r="T47" s="126">
        <f t="shared" ca="1" si="8"/>
        <v>46142.703608000003</v>
      </c>
      <c r="U47" s="127" t="str">
        <f t="shared" si="9"/>
        <v>S</v>
      </c>
      <c r="V47" s="128">
        <f t="shared" si="10"/>
        <v>1.0799999999999983</v>
      </c>
      <c r="W47" s="129">
        <f t="shared" si="11"/>
        <v>1.0799999999999983</v>
      </c>
      <c r="X47" s="197"/>
      <c r="Y47" s="115">
        <f t="shared" ca="1" si="12"/>
        <v>36</v>
      </c>
      <c r="Z47" s="118">
        <f t="shared" ca="1" si="13"/>
        <v>0.90136986301369859</v>
      </c>
      <c r="AA47" s="116"/>
      <c r="AB47" s="117">
        <f t="shared" si="14"/>
        <v>20.670930801734553</v>
      </c>
      <c r="AC47" s="118">
        <f t="shared" si="15"/>
        <v>0.9446221167389397</v>
      </c>
      <c r="AE47" s="55"/>
      <c r="AF47" s="72"/>
      <c r="AG47" s="72"/>
      <c r="AH47" s="66"/>
      <c r="AJ47" t="s">
        <v>415</v>
      </c>
    </row>
    <row r="48" spans="1:39" ht="16" hidden="1" thickBot="1" x14ac:dyDescent="0.25">
      <c r="A48" s="119" t="s">
        <v>416</v>
      </c>
      <c r="B48" s="120" t="s">
        <v>1308</v>
      </c>
      <c r="C48" s="108" t="str">
        <f t="shared" si="0"/>
        <v>/Applications/Stellarium.app/Contents/Resources/nebulae/default/n5128.png</v>
      </c>
      <c r="D48" s="121" t="s">
        <v>1480</v>
      </c>
      <c r="E48" s="109"/>
      <c r="F48" s="122">
        <v>13</v>
      </c>
      <c r="G48" s="123">
        <v>27</v>
      </c>
      <c r="H48" s="122">
        <v>-44</v>
      </c>
      <c r="I48" s="124">
        <v>43</v>
      </c>
      <c r="J48" s="112" t="s">
        <v>980</v>
      </c>
      <c r="K48" s="125">
        <v>14.2</v>
      </c>
      <c r="L48" s="196"/>
      <c r="M48" s="110">
        <f t="shared" si="1"/>
        <v>-43.283333333333331</v>
      </c>
      <c r="N48" s="111">
        <f t="shared" si="2"/>
        <v>-5.5033333333333303</v>
      </c>
      <c r="O48" s="112">
        <f t="shared" si="3"/>
        <v>13.45</v>
      </c>
      <c r="P48" s="113">
        <f t="shared" ca="1" si="4"/>
        <v>46113.971808000002</v>
      </c>
      <c r="Q48" s="114">
        <f t="shared" ca="1" si="5"/>
        <v>46128.971808000002</v>
      </c>
      <c r="R48" s="114" t="b">
        <f t="shared" ca="1" si="6"/>
        <v>1</v>
      </c>
      <c r="S48" s="115">
        <f t="shared" ca="1" si="7"/>
        <v>15</v>
      </c>
      <c r="T48" s="126">
        <f t="shared" ca="1" si="8"/>
        <v>46143.971808000002</v>
      </c>
      <c r="U48" s="127" t="str">
        <f t="shared" si="9"/>
        <v>S</v>
      </c>
      <c r="V48" s="128">
        <f t="shared" si="10"/>
        <v>-5.5033333333333303</v>
      </c>
      <c r="W48" s="129">
        <f t="shared" si="11"/>
        <v>-5.5033333333333303</v>
      </c>
      <c r="X48" s="197"/>
      <c r="Y48" s="115">
        <f t="shared" ca="1" si="12"/>
        <v>35</v>
      </c>
      <c r="Z48" s="118">
        <f t="shared" ca="1" si="13"/>
        <v>0.90410958904109595</v>
      </c>
      <c r="AA48" s="116"/>
      <c r="AB48" s="117">
        <f t="shared" si="14"/>
        <v>20.754036598928707</v>
      </c>
      <c r="AC48" s="118">
        <f t="shared" si="15"/>
        <v>0.94808485828869615</v>
      </c>
      <c r="AE48" s="55"/>
      <c r="AF48" s="72"/>
      <c r="AG48" s="72"/>
      <c r="AH48" s="66"/>
      <c r="AJ48" t="s">
        <v>416</v>
      </c>
    </row>
    <row r="49" spans="1:36" ht="16" hidden="1" thickBot="1" x14ac:dyDescent="0.25">
      <c r="A49" s="119" t="s">
        <v>417</v>
      </c>
      <c r="B49" s="120" t="s">
        <v>1191</v>
      </c>
      <c r="C49" s="108" t="str">
        <f t="shared" si="0"/>
        <v>/Applications/Stellarium.app/Contents/Resources/nebulae/default/n5139.png</v>
      </c>
      <c r="D49" s="121" t="s">
        <v>1481</v>
      </c>
      <c r="E49" s="109"/>
      <c r="F49" s="122">
        <v>13</v>
      </c>
      <c r="G49" s="123">
        <v>29</v>
      </c>
      <c r="H49" s="122">
        <v>-48</v>
      </c>
      <c r="I49" s="124">
        <v>0</v>
      </c>
      <c r="J49" s="112" t="s">
        <v>981</v>
      </c>
      <c r="K49" s="125">
        <v>13</v>
      </c>
      <c r="L49" s="196"/>
      <c r="M49" s="110">
        <f t="shared" si="1"/>
        <v>-48</v>
      </c>
      <c r="N49" s="111">
        <f t="shared" si="2"/>
        <v>-10.219999999999999</v>
      </c>
      <c r="O49" s="112">
        <f t="shared" si="3"/>
        <v>13.483333333333333</v>
      </c>
      <c r="P49" s="113">
        <f t="shared" ca="1" si="4"/>
        <v>46114.479088</v>
      </c>
      <c r="Q49" s="114">
        <f t="shared" ca="1" si="5"/>
        <v>46129.479088</v>
      </c>
      <c r="R49" s="114" t="b">
        <f t="shared" ca="1" si="6"/>
        <v>1</v>
      </c>
      <c r="S49" s="115">
        <f t="shared" ca="1" si="7"/>
        <v>15</v>
      </c>
      <c r="T49" s="126">
        <f t="shared" ca="1" si="8"/>
        <v>46144.479088</v>
      </c>
      <c r="U49" s="127" t="str">
        <f t="shared" si="9"/>
        <v>S</v>
      </c>
      <c r="V49" s="128">
        <f t="shared" si="10"/>
        <v>-10.219999999999999</v>
      </c>
      <c r="W49" s="129">
        <f t="shared" si="11"/>
        <v>-10.219999999999999</v>
      </c>
      <c r="X49" s="197"/>
      <c r="Y49" s="115">
        <f t="shared" ca="1" si="12"/>
        <v>35</v>
      </c>
      <c r="Z49" s="118">
        <f t="shared" ca="1" si="13"/>
        <v>0.90410958904109595</v>
      </c>
      <c r="AA49" s="116"/>
      <c r="AB49" s="117">
        <f t="shared" si="14"/>
        <v>20.787278917806372</v>
      </c>
      <c r="AC49" s="118">
        <f t="shared" si="15"/>
        <v>0.94946995490859887</v>
      </c>
      <c r="AE49" s="55"/>
      <c r="AF49" s="72"/>
      <c r="AG49" s="72"/>
      <c r="AH49" s="66"/>
      <c r="AJ49" t="s">
        <v>417</v>
      </c>
    </row>
    <row r="50" spans="1:36" ht="16" thickBot="1" x14ac:dyDescent="0.25">
      <c r="A50" s="119" t="s">
        <v>140</v>
      </c>
      <c r="B50" s="120" t="s">
        <v>1226</v>
      </c>
      <c r="C50" s="108" t="str">
        <f t="shared" si="0"/>
        <v>/Applications/Stellarium.app/Contents/Resources/nebulae/default/m51-vasey.png</v>
      </c>
      <c r="D50" s="121" t="s">
        <v>1482</v>
      </c>
      <c r="E50" s="109"/>
      <c r="F50" s="122">
        <v>13</v>
      </c>
      <c r="G50" s="123">
        <v>30</v>
      </c>
      <c r="H50" s="122">
        <v>47</v>
      </c>
      <c r="I50" s="124">
        <v>0</v>
      </c>
      <c r="J50" s="112" t="s">
        <v>748</v>
      </c>
      <c r="K50" s="125">
        <v>13.4</v>
      </c>
      <c r="L50" s="196"/>
      <c r="M50" s="110">
        <f t="shared" si="1"/>
        <v>47</v>
      </c>
      <c r="N50" s="111">
        <f t="shared" si="2"/>
        <v>84.78</v>
      </c>
      <c r="O50" s="112">
        <f t="shared" si="3"/>
        <v>13.5</v>
      </c>
      <c r="P50" s="113">
        <f t="shared" ca="1" si="4"/>
        <v>46114.732728000003</v>
      </c>
      <c r="Q50" s="114">
        <f t="shared" ca="1" si="5"/>
        <v>46129.732728000003</v>
      </c>
      <c r="R50" s="114" t="b">
        <f t="shared" ca="1" si="6"/>
        <v>1</v>
      </c>
      <c r="S50" s="115">
        <f t="shared" ca="1" si="7"/>
        <v>15</v>
      </c>
      <c r="T50" s="126">
        <f t="shared" ca="1" si="8"/>
        <v>46144.732728000003</v>
      </c>
      <c r="U50" s="127" t="str">
        <f t="shared" si="9"/>
        <v>S</v>
      </c>
      <c r="V50" s="128">
        <f t="shared" si="10"/>
        <v>84.78</v>
      </c>
      <c r="W50" s="129">
        <f t="shared" si="11"/>
        <v>84.78</v>
      </c>
      <c r="X50" s="197"/>
      <c r="Y50" s="115">
        <f t="shared" ca="1" si="12"/>
        <v>34</v>
      </c>
      <c r="Z50" s="118">
        <f t="shared" ca="1" si="13"/>
        <v>0.90684931506849309</v>
      </c>
      <c r="AA50" s="116"/>
      <c r="AB50" s="117">
        <f t="shared" si="14"/>
        <v>20.803900077245203</v>
      </c>
      <c r="AC50" s="118">
        <f t="shared" si="15"/>
        <v>0.95016250321855011</v>
      </c>
      <c r="AE50" s="55"/>
      <c r="AF50" s="72"/>
      <c r="AG50" s="72"/>
      <c r="AH50" s="66"/>
      <c r="AJ50" t="s">
        <v>140</v>
      </c>
    </row>
    <row r="51" spans="1:36" ht="16" hidden="1" thickBot="1" x14ac:dyDescent="0.25">
      <c r="A51" s="119" t="s">
        <v>419</v>
      </c>
      <c r="B51" s="120" t="s">
        <v>1302</v>
      </c>
      <c r="C51" s="108" t="str">
        <f t="shared" si="0"/>
        <v>/Applications/Stellarium.app/Contents/Resources/nebulae/default/n5216.png</v>
      </c>
      <c r="D51" s="121" t="s">
        <v>1483</v>
      </c>
      <c r="E51" s="109"/>
      <c r="F51" s="122">
        <v>13</v>
      </c>
      <c r="G51" s="123">
        <v>32</v>
      </c>
      <c r="H51" s="122">
        <v>62</v>
      </c>
      <c r="I51" s="124">
        <v>40</v>
      </c>
      <c r="J51" s="112" t="s">
        <v>983</v>
      </c>
      <c r="K51" s="125">
        <v>14.6</v>
      </c>
      <c r="L51" s="196"/>
      <c r="M51" s="110">
        <f t="shared" si="1"/>
        <v>62.666666666666664</v>
      </c>
      <c r="N51" s="111">
        <f t="shared" si="2"/>
        <v>100.44666666666666</v>
      </c>
      <c r="O51" s="112">
        <f t="shared" si="3"/>
        <v>13.533333333333333</v>
      </c>
      <c r="P51" s="113">
        <f t="shared" ca="1" si="4"/>
        <v>46115.240008000001</v>
      </c>
      <c r="Q51" s="114">
        <f t="shared" ca="1" si="5"/>
        <v>46130.240008000001</v>
      </c>
      <c r="R51" s="114" t="b">
        <f t="shared" ca="1" si="6"/>
        <v>1</v>
      </c>
      <c r="S51" s="115">
        <f t="shared" ca="1" si="7"/>
        <v>15</v>
      </c>
      <c r="T51" s="126">
        <f t="shared" ca="1" si="8"/>
        <v>46145.240008000001</v>
      </c>
      <c r="U51" s="127" t="str">
        <f>IF(N51&lt;90,"S","N")</f>
        <v>N</v>
      </c>
      <c r="V51" s="128">
        <f t="shared" si="10"/>
        <v>79.553333333333342</v>
      </c>
      <c r="W51" s="129">
        <f t="shared" si="11"/>
        <v>79.553333333333342</v>
      </c>
      <c r="X51" s="197"/>
      <c r="Y51" s="115">
        <f t="shared" ca="1" si="12"/>
        <v>34</v>
      </c>
      <c r="Z51" s="118">
        <f t="shared" ca="1" si="13"/>
        <v>0.90684931506849309</v>
      </c>
      <c r="AA51" s="116"/>
      <c r="AB51" s="117">
        <f t="shared" si="14"/>
        <v>20.837142396122861</v>
      </c>
      <c r="AC51" s="118">
        <f t="shared" si="15"/>
        <v>0.9515475998384525</v>
      </c>
      <c r="AE51" s="55"/>
      <c r="AF51" s="72"/>
      <c r="AG51" s="72"/>
      <c r="AH51" s="66"/>
      <c r="AJ51" t="s">
        <v>419</v>
      </c>
    </row>
    <row r="52" spans="1:36" ht="16" hidden="1" thickBot="1" x14ac:dyDescent="0.25">
      <c r="A52" s="119" t="s">
        <v>418</v>
      </c>
      <c r="B52" s="120" t="s">
        <v>1277</v>
      </c>
      <c r="C52" s="108" t="str">
        <f t="shared" si="0"/>
        <v>/Applications/Stellarium.app/Contents/Resources/nebulae/default/n5189.png</v>
      </c>
      <c r="D52" s="121" t="s">
        <v>1484</v>
      </c>
      <c r="E52" s="109"/>
      <c r="F52" s="122">
        <v>13</v>
      </c>
      <c r="G52" s="123">
        <v>33</v>
      </c>
      <c r="H52" s="122">
        <v>-67</v>
      </c>
      <c r="I52" s="124">
        <v>58</v>
      </c>
      <c r="J52" s="112" t="s">
        <v>982</v>
      </c>
      <c r="K52" s="125">
        <v>11</v>
      </c>
      <c r="L52" s="196"/>
      <c r="M52" s="110">
        <f t="shared" si="1"/>
        <v>-66.033333333333331</v>
      </c>
      <c r="N52" s="111">
        <f t="shared" si="2"/>
        <v>-28.25333333333333</v>
      </c>
      <c r="O52" s="112">
        <f t="shared" si="3"/>
        <v>13.55</v>
      </c>
      <c r="P52" s="113">
        <f t="shared" ca="1" si="4"/>
        <v>46115.493648000003</v>
      </c>
      <c r="Q52" s="114">
        <f t="shared" ca="1" si="5"/>
        <v>46130.493648000003</v>
      </c>
      <c r="R52" s="114" t="b">
        <f t="shared" ca="1" si="6"/>
        <v>1</v>
      </c>
      <c r="S52" s="115">
        <f t="shared" ca="1" si="7"/>
        <v>15</v>
      </c>
      <c r="T52" s="126">
        <f t="shared" ca="1" si="8"/>
        <v>46145.493648000003</v>
      </c>
      <c r="U52" s="127" t="str">
        <f t="shared" ref="U52:U115" si="16">IF(N52&lt;90,"S","N")</f>
        <v>S</v>
      </c>
      <c r="V52" s="128">
        <f t="shared" si="10"/>
        <v>-28.25333333333333</v>
      </c>
      <c r="W52" s="129">
        <f t="shared" si="11"/>
        <v>-28.25333333333333</v>
      </c>
      <c r="X52" s="197"/>
      <c r="Y52" s="115">
        <f t="shared" ca="1" si="12"/>
        <v>34</v>
      </c>
      <c r="Z52" s="118">
        <f t="shared" ca="1" si="13"/>
        <v>0.90684931506849309</v>
      </c>
      <c r="AA52" s="116"/>
      <c r="AB52" s="117">
        <f t="shared" si="14"/>
        <v>20.853763555561695</v>
      </c>
      <c r="AC52" s="118">
        <f t="shared" si="15"/>
        <v>0.95224014814840396</v>
      </c>
      <c r="AE52" s="55"/>
      <c r="AF52" s="72"/>
      <c r="AG52" s="72"/>
      <c r="AH52" s="66"/>
      <c r="AJ52" t="s">
        <v>418</v>
      </c>
    </row>
    <row r="53" spans="1:36" ht="16" hidden="1" thickBot="1" x14ac:dyDescent="0.25">
      <c r="A53" s="119" t="s">
        <v>683</v>
      </c>
      <c r="B53" s="120" t="s">
        <v>1302</v>
      </c>
      <c r="C53" s="108" t="str">
        <f t="shared" si="0"/>
        <v>/Applications/Stellarium.app/Contents/Resources/nebulae/default/p47847-sdss2.png</v>
      </c>
      <c r="D53" s="121" t="s">
        <v>1485</v>
      </c>
      <c r="E53" s="109"/>
      <c r="F53" s="122">
        <v>13</v>
      </c>
      <c r="G53" s="123">
        <v>35</v>
      </c>
      <c r="H53" s="122">
        <v>-46</v>
      </c>
      <c r="I53" s="124">
        <v>20</v>
      </c>
      <c r="J53" s="112" t="s">
        <v>1163</v>
      </c>
      <c r="K53" s="125">
        <v>15</v>
      </c>
      <c r="L53" s="196"/>
      <c r="M53" s="110">
        <f t="shared" si="1"/>
        <v>-45.666666666666664</v>
      </c>
      <c r="N53" s="111">
        <f t="shared" si="2"/>
        <v>-7.8866666666666632</v>
      </c>
      <c r="O53" s="112">
        <f t="shared" si="3"/>
        <v>13.583333333333334</v>
      </c>
      <c r="P53" s="113">
        <f t="shared" ca="1" si="4"/>
        <v>46116.000928000001</v>
      </c>
      <c r="Q53" s="114">
        <f t="shared" ca="1" si="5"/>
        <v>46131.000928000001</v>
      </c>
      <c r="R53" s="114" t="b">
        <f t="shared" ca="1" si="6"/>
        <v>1</v>
      </c>
      <c r="S53" s="115">
        <f t="shared" ca="1" si="7"/>
        <v>15</v>
      </c>
      <c r="T53" s="126">
        <f t="shared" ca="1" si="8"/>
        <v>46146.000928000001</v>
      </c>
      <c r="U53" s="127" t="str">
        <f t="shared" si="16"/>
        <v>S</v>
      </c>
      <c r="V53" s="128">
        <f t="shared" si="10"/>
        <v>-7.8866666666666632</v>
      </c>
      <c r="W53" s="129">
        <f t="shared" si="11"/>
        <v>-7.8866666666666632</v>
      </c>
      <c r="X53" s="197"/>
      <c r="Y53" s="115">
        <f t="shared" ca="1" si="12"/>
        <v>33</v>
      </c>
      <c r="Z53" s="118">
        <f t="shared" ca="1" si="13"/>
        <v>0.90958904109589045</v>
      </c>
      <c r="AA53" s="116"/>
      <c r="AB53" s="117">
        <f t="shared" si="14"/>
        <v>20.88700587443936</v>
      </c>
      <c r="AC53" s="118">
        <f t="shared" si="15"/>
        <v>0.95362524476830668</v>
      </c>
      <c r="AE53" s="55"/>
      <c r="AF53" s="72"/>
      <c r="AG53" s="72"/>
      <c r="AH53" s="66"/>
      <c r="AJ53" t="s">
        <v>683</v>
      </c>
    </row>
    <row r="54" spans="1:36" ht="16" hidden="1" thickBot="1" x14ac:dyDescent="0.25">
      <c r="A54" s="119" t="s">
        <v>172</v>
      </c>
      <c r="B54" s="120" t="s">
        <v>1243</v>
      </c>
      <c r="C54" s="108" t="str">
        <f t="shared" si="0"/>
        <v>/Applications/Stellarium.app/Contents/Resources/nebulae/default/m83.png</v>
      </c>
      <c r="D54" s="121" t="s">
        <v>1486</v>
      </c>
      <c r="E54" s="109"/>
      <c r="F54" s="122">
        <v>13</v>
      </c>
      <c r="G54" s="123">
        <v>37</v>
      </c>
      <c r="H54" s="122">
        <v>-31</v>
      </c>
      <c r="I54" s="124">
        <v>58</v>
      </c>
      <c r="J54" s="112" t="s">
        <v>769</v>
      </c>
      <c r="K54" s="125">
        <v>12.8</v>
      </c>
      <c r="L54" s="196"/>
      <c r="M54" s="110">
        <f t="shared" si="1"/>
        <v>-30.033333333333335</v>
      </c>
      <c r="N54" s="111">
        <f t="shared" si="2"/>
        <v>7.7466666666666661</v>
      </c>
      <c r="O54" s="112">
        <f t="shared" si="3"/>
        <v>13.616666666666667</v>
      </c>
      <c r="P54" s="113">
        <f t="shared" ca="1" si="4"/>
        <v>46116.508207999999</v>
      </c>
      <c r="Q54" s="114">
        <f t="shared" ca="1" si="5"/>
        <v>46131.508207999999</v>
      </c>
      <c r="R54" s="114" t="b">
        <f t="shared" ca="1" si="6"/>
        <v>1</v>
      </c>
      <c r="S54" s="115">
        <f t="shared" ca="1" si="7"/>
        <v>15</v>
      </c>
      <c r="T54" s="126">
        <f t="shared" ca="1" si="8"/>
        <v>46146.508207999999</v>
      </c>
      <c r="U54" s="127" t="str">
        <f t="shared" si="16"/>
        <v>S</v>
      </c>
      <c r="V54" s="128">
        <f t="shared" si="10"/>
        <v>7.7466666666666661</v>
      </c>
      <c r="W54" s="129">
        <f t="shared" si="11"/>
        <v>7.7466666666666661</v>
      </c>
      <c r="X54" s="197"/>
      <c r="Y54" s="115">
        <f t="shared" ca="1" si="12"/>
        <v>32</v>
      </c>
      <c r="Z54" s="118">
        <f t="shared" ca="1" si="13"/>
        <v>0.9123287671232877</v>
      </c>
      <c r="AA54" s="116"/>
      <c r="AB54" s="117">
        <f t="shared" si="14"/>
        <v>20.920248193317022</v>
      </c>
      <c r="AC54" s="118">
        <f t="shared" si="15"/>
        <v>0.95501034138820928</v>
      </c>
      <c r="AE54" s="55"/>
      <c r="AF54" s="72"/>
      <c r="AG54" s="72"/>
      <c r="AH54" s="66"/>
      <c r="AJ54" t="s">
        <v>172</v>
      </c>
    </row>
    <row r="55" spans="1:36" ht="16" hidden="1" thickBot="1" x14ac:dyDescent="0.25">
      <c r="A55" s="119" t="s">
        <v>420</v>
      </c>
      <c r="B55" s="120" t="s">
        <v>1272</v>
      </c>
      <c r="C55" s="108" t="str">
        <f t="shared" si="0"/>
        <v>/Applications/Stellarium.app/Contents/Resources/nebulae/default/n5248.png</v>
      </c>
      <c r="D55" s="121" t="s">
        <v>1487</v>
      </c>
      <c r="E55" s="109"/>
      <c r="F55" s="122">
        <v>13</v>
      </c>
      <c r="G55" s="123">
        <v>37</v>
      </c>
      <c r="H55" s="122">
        <v>8</v>
      </c>
      <c r="I55" s="124">
        <v>48</v>
      </c>
      <c r="J55" s="112" t="s">
        <v>984</v>
      </c>
      <c r="K55" s="125">
        <v>13.5</v>
      </c>
      <c r="L55" s="196"/>
      <c r="M55" s="110">
        <f t="shared" si="1"/>
        <v>8.8000000000000007</v>
      </c>
      <c r="N55" s="111">
        <f t="shared" si="2"/>
        <v>46.58</v>
      </c>
      <c r="O55" s="112">
        <f t="shared" si="3"/>
        <v>13.616666666666667</v>
      </c>
      <c r="P55" s="113">
        <f t="shared" ca="1" si="4"/>
        <v>46116.508207999999</v>
      </c>
      <c r="Q55" s="114">
        <f t="shared" ca="1" si="5"/>
        <v>46131.508207999999</v>
      </c>
      <c r="R55" s="114" t="b">
        <f t="shared" ca="1" si="6"/>
        <v>1</v>
      </c>
      <c r="S55" s="115">
        <f t="shared" ca="1" si="7"/>
        <v>15</v>
      </c>
      <c r="T55" s="126">
        <f t="shared" ca="1" si="8"/>
        <v>46146.508207999999</v>
      </c>
      <c r="U55" s="127" t="str">
        <f t="shared" si="16"/>
        <v>S</v>
      </c>
      <c r="V55" s="128">
        <f t="shared" si="10"/>
        <v>46.58</v>
      </c>
      <c r="W55" s="129">
        <f t="shared" si="11"/>
        <v>46.58</v>
      </c>
      <c r="X55" s="197"/>
      <c r="Y55" s="115">
        <f t="shared" ca="1" si="12"/>
        <v>32</v>
      </c>
      <c r="Z55" s="118">
        <f t="shared" ca="1" si="13"/>
        <v>0.9123287671232877</v>
      </c>
      <c r="AA55" s="116"/>
      <c r="AB55" s="117">
        <f t="shared" si="14"/>
        <v>20.920248193317022</v>
      </c>
      <c r="AC55" s="118">
        <f t="shared" si="15"/>
        <v>0.95501034138820928</v>
      </c>
      <c r="AE55" s="55"/>
      <c r="AF55" s="72"/>
      <c r="AG55" s="72"/>
      <c r="AH55" s="66"/>
      <c r="AJ55" t="s">
        <v>420</v>
      </c>
    </row>
    <row r="56" spans="1:36" ht="16" hidden="1" thickBot="1" x14ac:dyDescent="0.25">
      <c r="A56" s="119" t="s">
        <v>421</v>
      </c>
      <c r="B56" s="120" t="s">
        <v>1303</v>
      </c>
      <c r="C56" s="108" t="str">
        <f t="shared" si="0"/>
        <v>/Applications/Stellarium.app/Contents/Resources/nebulae/default/n5257h.png</v>
      </c>
      <c r="D56" s="121" t="s">
        <v>1488</v>
      </c>
      <c r="E56" s="109"/>
      <c r="F56" s="122">
        <v>13</v>
      </c>
      <c r="G56" s="123">
        <v>39</v>
      </c>
      <c r="H56" s="122">
        <v>0</v>
      </c>
      <c r="I56" s="124">
        <v>48</v>
      </c>
      <c r="J56" s="112" t="s">
        <v>985</v>
      </c>
      <c r="K56" s="125">
        <v>14</v>
      </c>
      <c r="L56" s="196"/>
      <c r="M56" s="110">
        <f t="shared" si="1"/>
        <v>0.8</v>
      </c>
      <c r="N56" s="111">
        <f t="shared" si="2"/>
        <v>38.58</v>
      </c>
      <c r="O56" s="112">
        <f t="shared" si="3"/>
        <v>13.65</v>
      </c>
      <c r="P56" s="113">
        <f t="shared" ca="1" si="4"/>
        <v>46117.015487999997</v>
      </c>
      <c r="Q56" s="114">
        <f t="shared" ca="1" si="5"/>
        <v>46132.015487999997</v>
      </c>
      <c r="R56" s="114" t="b">
        <f t="shared" ca="1" si="6"/>
        <v>1</v>
      </c>
      <c r="S56" s="115">
        <f t="shared" ca="1" si="7"/>
        <v>15</v>
      </c>
      <c r="T56" s="126">
        <f t="shared" ca="1" si="8"/>
        <v>46147.015487999997</v>
      </c>
      <c r="U56" s="127" t="str">
        <f t="shared" si="16"/>
        <v>S</v>
      </c>
      <c r="V56" s="128">
        <f t="shared" si="10"/>
        <v>38.58</v>
      </c>
      <c r="W56" s="129">
        <f t="shared" si="11"/>
        <v>38.58</v>
      </c>
      <c r="X56" s="197"/>
      <c r="Y56" s="115">
        <f t="shared" ca="1" si="12"/>
        <v>32</v>
      </c>
      <c r="Z56" s="118">
        <f t="shared" ca="1" si="13"/>
        <v>0.9123287671232877</v>
      </c>
      <c r="AA56" s="116"/>
      <c r="AB56" s="117">
        <f t="shared" si="14"/>
        <v>20.95349051219468</v>
      </c>
      <c r="AC56" s="118">
        <f t="shared" si="15"/>
        <v>0.95639543800811166</v>
      </c>
      <c r="AE56" s="55"/>
      <c r="AF56" s="72"/>
      <c r="AG56" s="72"/>
      <c r="AH56" s="66"/>
      <c r="AJ56" t="s">
        <v>421</v>
      </c>
    </row>
    <row r="57" spans="1:36" ht="16" hidden="1" thickBot="1" x14ac:dyDescent="0.25">
      <c r="A57" s="119" t="s">
        <v>651</v>
      </c>
      <c r="B57" s="120" t="s">
        <v>1411</v>
      </c>
      <c r="C57" s="108" t="str">
        <f t="shared" si="0"/>
        <v>/Applications/Stellarium.app/Contents/Resources/nebulae/default/rcw77.png</v>
      </c>
      <c r="D57" s="121" t="s">
        <v>1489</v>
      </c>
      <c r="E57" s="109"/>
      <c r="F57" s="122">
        <v>13</v>
      </c>
      <c r="G57" s="123">
        <v>39</v>
      </c>
      <c r="H57" s="122">
        <v>-68</v>
      </c>
      <c r="I57" s="124">
        <v>37</v>
      </c>
      <c r="J57" s="112" t="s">
        <v>835</v>
      </c>
      <c r="K57" s="125">
        <v>14.5</v>
      </c>
      <c r="L57" s="196"/>
      <c r="M57" s="110">
        <f t="shared" si="1"/>
        <v>-67.38333333333334</v>
      </c>
      <c r="N57" s="111">
        <f t="shared" si="2"/>
        <v>-29.603333333333339</v>
      </c>
      <c r="O57" s="112">
        <f t="shared" si="3"/>
        <v>13.65</v>
      </c>
      <c r="P57" s="113">
        <f t="shared" ca="1" si="4"/>
        <v>46117.015487999997</v>
      </c>
      <c r="Q57" s="114">
        <f t="shared" ca="1" si="5"/>
        <v>46132.015487999997</v>
      </c>
      <c r="R57" s="114" t="b">
        <f t="shared" ca="1" si="6"/>
        <v>1</v>
      </c>
      <c r="S57" s="115">
        <f t="shared" ca="1" si="7"/>
        <v>15</v>
      </c>
      <c r="T57" s="126">
        <f t="shared" ca="1" si="8"/>
        <v>46147.015487999997</v>
      </c>
      <c r="U57" s="127" t="str">
        <f t="shared" si="16"/>
        <v>S</v>
      </c>
      <c r="V57" s="128">
        <f t="shared" si="10"/>
        <v>-29.603333333333339</v>
      </c>
      <c r="W57" s="129">
        <f t="shared" si="11"/>
        <v>-29.603333333333339</v>
      </c>
      <c r="X57" s="197"/>
      <c r="Y57" s="115">
        <f t="shared" ca="1" si="12"/>
        <v>32</v>
      </c>
      <c r="Z57" s="118">
        <f t="shared" ca="1" si="13"/>
        <v>0.9123287671232877</v>
      </c>
      <c r="AA57" s="116"/>
      <c r="AB57" s="117">
        <f t="shared" si="14"/>
        <v>20.95349051219468</v>
      </c>
      <c r="AC57" s="118">
        <f t="shared" si="15"/>
        <v>0.95639543800811166</v>
      </c>
      <c r="AE57" s="55"/>
      <c r="AF57" s="72"/>
      <c r="AG57" s="72"/>
      <c r="AH57" s="66"/>
      <c r="AJ57" t="s">
        <v>651</v>
      </c>
    </row>
    <row r="58" spans="1:36" ht="16" thickBot="1" x14ac:dyDescent="0.25">
      <c r="A58" s="119" t="s">
        <v>95</v>
      </c>
      <c r="B58" s="120" t="s">
        <v>1191</v>
      </c>
      <c r="C58" s="108" t="str">
        <f t="shared" si="0"/>
        <v>/Applications/Stellarium.app/Contents/Resources/nebulae/default/m3.png</v>
      </c>
      <c r="D58" s="121" t="s">
        <v>1490</v>
      </c>
      <c r="E58" s="109"/>
      <c r="F58" s="122">
        <v>13</v>
      </c>
      <c r="G58" s="123">
        <v>43</v>
      </c>
      <c r="H58" s="122">
        <v>28</v>
      </c>
      <c r="I58" s="124">
        <v>9</v>
      </c>
      <c r="J58" s="112" t="s">
        <v>721</v>
      </c>
      <c r="K58" s="125">
        <v>13.4</v>
      </c>
      <c r="L58" s="196"/>
      <c r="M58" s="110">
        <f t="shared" si="1"/>
        <v>28.15</v>
      </c>
      <c r="N58" s="111">
        <f t="shared" si="2"/>
        <v>65.930000000000007</v>
      </c>
      <c r="O58" s="112">
        <f t="shared" si="3"/>
        <v>13.716666666666667</v>
      </c>
      <c r="P58" s="113">
        <f t="shared" ca="1" si="4"/>
        <v>46118.030048000001</v>
      </c>
      <c r="Q58" s="114">
        <f t="shared" ca="1" si="5"/>
        <v>46133.030048000001</v>
      </c>
      <c r="R58" s="114" t="b">
        <f t="shared" ca="1" si="6"/>
        <v>1</v>
      </c>
      <c r="S58" s="115">
        <f t="shared" ca="1" si="7"/>
        <v>15</v>
      </c>
      <c r="T58" s="126">
        <f t="shared" ca="1" si="8"/>
        <v>46148.030048000001</v>
      </c>
      <c r="U58" s="127" t="str">
        <f t="shared" si="16"/>
        <v>S</v>
      </c>
      <c r="V58" s="128">
        <f t="shared" si="10"/>
        <v>65.930000000000007</v>
      </c>
      <c r="W58" s="129">
        <f t="shared" si="11"/>
        <v>65.930000000000007</v>
      </c>
      <c r="X58" s="197"/>
      <c r="Y58" s="115">
        <f t="shared" ca="1" si="12"/>
        <v>31</v>
      </c>
      <c r="Z58" s="118">
        <f t="shared" ca="1" si="13"/>
        <v>0.91506849315068495</v>
      </c>
      <c r="AA58" s="116"/>
      <c r="AB58" s="117">
        <f t="shared" si="14"/>
        <v>21.01997514995001</v>
      </c>
      <c r="AC58" s="118">
        <f t="shared" si="15"/>
        <v>0.95916563124791709</v>
      </c>
      <c r="AE58" s="55"/>
      <c r="AF58" s="72"/>
      <c r="AG58" s="72"/>
      <c r="AH58" s="66"/>
      <c r="AJ58" t="s">
        <v>95</v>
      </c>
    </row>
    <row r="59" spans="1:36" ht="16" hidden="1" thickBot="1" x14ac:dyDescent="0.25">
      <c r="A59" s="119" t="s">
        <v>422</v>
      </c>
      <c r="B59" s="120" t="s">
        <v>1191</v>
      </c>
      <c r="C59" s="108" t="str">
        <f t="shared" si="0"/>
        <v>/Applications/Stellarium.app/Contents/Resources/nebulae/default/n5286.png</v>
      </c>
      <c r="D59" s="121" t="s">
        <v>1491</v>
      </c>
      <c r="E59" s="109"/>
      <c r="F59" s="122">
        <v>13</v>
      </c>
      <c r="G59" s="123">
        <v>47</v>
      </c>
      <c r="H59" s="122">
        <v>-52</v>
      </c>
      <c r="I59" s="124">
        <v>30</v>
      </c>
      <c r="J59" s="112" t="s">
        <v>986</v>
      </c>
      <c r="K59" s="125">
        <v>14</v>
      </c>
      <c r="L59" s="196"/>
      <c r="M59" s="110">
        <f t="shared" si="1"/>
        <v>-51.5</v>
      </c>
      <c r="N59" s="111">
        <f t="shared" si="2"/>
        <v>-13.719999999999999</v>
      </c>
      <c r="O59" s="112">
        <f t="shared" si="3"/>
        <v>13.783333333333333</v>
      </c>
      <c r="P59" s="113">
        <f t="shared" ca="1" si="4"/>
        <v>46119.044607999997</v>
      </c>
      <c r="Q59" s="114">
        <f t="shared" ca="1" si="5"/>
        <v>46134.044607999997</v>
      </c>
      <c r="R59" s="114" t="b">
        <f t="shared" ca="1" si="6"/>
        <v>1</v>
      </c>
      <c r="S59" s="115">
        <f t="shared" ca="1" si="7"/>
        <v>15</v>
      </c>
      <c r="T59" s="126">
        <f t="shared" ca="1" si="8"/>
        <v>46149.044607999997</v>
      </c>
      <c r="U59" s="127" t="str">
        <f t="shared" si="16"/>
        <v>S</v>
      </c>
      <c r="V59" s="128">
        <f t="shared" si="10"/>
        <v>-13.719999999999999</v>
      </c>
      <c r="W59" s="129">
        <f t="shared" si="11"/>
        <v>-13.719999999999999</v>
      </c>
      <c r="X59" s="197"/>
      <c r="Y59" s="115">
        <f t="shared" ca="1" si="12"/>
        <v>30</v>
      </c>
      <c r="Z59" s="118">
        <f t="shared" ca="1" si="13"/>
        <v>0.9178082191780822</v>
      </c>
      <c r="AA59" s="116"/>
      <c r="AB59" s="117">
        <f t="shared" si="14"/>
        <v>21.08645978770533</v>
      </c>
      <c r="AC59" s="118">
        <f t="shared" si="15"/>
        <v>0.96193582448772208</v>
      </c>
      <c r="AE59" s="55"/>
      <c r="AF59" s="72"/>
      <c r="AG59" s="72"/>
      <c r="AH59" s="66"/>
      <c r="AJ59" t="s">
        <v>422</v>
      </c>
    </row>
    <row r="60" spans="1:36" ht="16" hidden="1" thickBot="1" x14ac:dyDescent="0.25">
      <c r="A60" s="119" t="s">
        <v>423</v>
      </c>
      <c r="B60" s="120" t="s">
        <v>1277</v>
      </c>
      <c r="C60" s="108" t="str">
        <f t="shared" si="0"/>
        <v>/Applications/Stellarium.app/Contents/Resources/nebulae/default/n5307.png</v>
      </c>
      <c r="D60" s="121" t="s">
        <v>1492</v>
      </c>
      <c r="E60" s="109"/>
      <c r="F60" s="122">
        <v>13</v>
      </c>
      <c r="G60" s="123">
        <v>51</v>
      </c>
      <c r="H60" s="122">
        <v>-52</v>
      </c>
      <c r="I60" s="124">
        <v>47</v>
      </c>
      <c r="J60" s="112" t="s">
        <v>987</v>
      </c>
      <c r="K60" s="125">
        <v>13.9</v>
      </c>
      <c r="L60" s="196"/>
      <c r="M60" s="110">
        <f t="shared" si="1"/>
        <v>-51.216666666666669</v>
      </c>
      <c r="N60" s="111">
        <f t="shared" si="2"/>
        <v>-13.436666666666667</v>
      </c>
      <c r="O60" s="112">
        <f t="shared" si="3"/>
        <v>13.85</v>
      </c>
      <c r="P60" s="113">
        <f t="shared" ca="1" si="4"/>
        <v>46120.059168</v>
      </c>
      <c r="Q60" s="114">
        <f t="shared" ca="1" si="5"/>
        <v>46135.059168</v>
      </c>
      <c r="R60" s="114" t="b">
        <f t="shared" ca="1" si="6"/>
        <v>1</v>
      </c>
      <c r="S60" s="115">
        <f t="shared" ca="1" si="7"/>
        <v>15</v>
      </c>
      <c r="T60" s="126">
        <f t="shared" ca="1" si="8"/>
        <v>46150.059168</v>
      </c>
      <c r="U60" s="127" t="str">
        <f t="shared" si="16"/>
        <v>S</v>
      </c>
      <c r="V60" s="128">
        <f t="shared" si="10"/>
        <v>-13.436666666666667</v>
      </c>
      <c r="W60" s="129">
        <f t="shared" si="11"/>
        <v>-13.436666666666667</v>
      </c>
      <c r="X60" s="197"/>
      <c r="Y60" s="115">
        <f t="shared" ca="1" si="12"/>
        <v>29</v>
      </c>
      <c r="Z60" s="118">
        <f t="shared" ca="1" si="13"/>
        <v>0.92054794520547945</v>
      </c>
      <c r="AA60" s="116"/>
      <c r="AB60" s="117">
        <f t="shared" si="14"/>
        <v>21.15294442546066</v>
      </c>
      <c r="AC60" s="118">
        <f t="shared" si="15"/>
        <v>0.96470601772752751</v>
      </c>
      <c r="AE60" s="55"/>
      <c r="AF60" s="72"/>
      <c r="AG60" s="72"/>
      <c r="AH60" s="66"/>
      <c r="AJ60" t="s">
        <v>423</v>
      </c>
    </row>
    <row r="61" spans="1:36" ht="16" hidden="1" thickBot="1" x14ac:dyDescent="0.25">
      <c r="A61" s="119" t="s">
        <v>424</v>
      </c>
      <c r="B61" s="120" t="s">
        <v>1277</v>
      </c>
      <c r="C61" s="131" t="str">
        <f t="shared" si="0"/>
        <v>/Applications/Stellarium.app/Contents/Resources/nebulae/default/n5315.png</v>
      </c>
      <c r="D61" s="121" t="s">
        <v>1493</v>
      </c>
      <c r="E61" s="109"/>
      <c r="F61" s="122">
        <v>13</v>
      </c>
      <c r="G61" s="123">
        <v>54</v>
      </c>
      <c r="H61" s="122">
        <v>-67</v>
      </c>
      <c r="I61" s="124">
        <v>28</v>
      </c>
      <c r="J61" s="112" t="s">
        <v>988</v>
      </c>
      <c r="K61" s="125">
        <v>12.5</v>
      </c>
      <c r="L61" s="196"/>
      <c r="M61" s="110">
        <f t="shared" si="1"/>
        <v>-66.533333333333331</v>
      </c>
      <c r="N61" s="111">
        <f t="shared" si="2"/>
        <v>-28.75333333333333</v>
      </c>
      <c r="O61" s="112">
        <f t="shared" si="3"/>
        <v>13.9</v>
      </c>
      <c r="P61" s="113">
        <f t="shared" ca="1" si="4"/>
        <v>46120.820088</v>
      </c>
      <c r="Q61" s="114">
        <f t="shared" ca="1" si="5"/>
        <v>46135.820088</v>
      </c>
      <c r="R61" s="114" t="b">
        <f t="shared" ca="1" si="6"/>
        <v>1</v>
      </c>
      <c r="S61" s="115">
        <f t="shared" ca="1" si="7"/>
        <v>15</v>
      </c>
      <c r="T61" s="126">
        <f t="shared" ca="1" si="8"/>
        <v>46150.820088</v>
      </c>
      <c r="U61" s="127" t="str">
        <f t="shared" si="16"/>
        <v>S</v>
      </c>
      <c r="V61" s="128">
        <f t="shared" si="10"/>
        <v>-28.75333333333333</v>
      </c>
      <c r="W61" s="129">
        <f t="shared" si="11"/>
        <v>-28.75333333333333</v>
      </c>
      <c r="X61" s="197"/>
      <c r="Y61" s="115">
        <f t="shared" ca="1" si="12"/>
        <v>28</v>
      </c>
      <c r="Z61" s="118">
        <f t="shared" ca="1" si="13"/>
        <v>0.92328767123287669</v>
      </c>
      <c r="AA61" s="116"/>
      <c r="AB61" s="117">
        <f t="shared" si="14"/>
        <v>21.202807903777149</v>
      </c>
      <c r="AC61" s="118">
        <f t="shared" si="15"/>
        <v>0.96678366265738125</v>
      </c>
      <c r="AE61" s="55"/>
      <c r="AF61" s="72"/>
      <c r="AG61" s="72"/>
      <c r="AH61" s="66"/>
      <c r="AJ61" t="s">
        <v>424</v>
      </c>
    </row>
    <row r="62" spans="1:36" ht="16" hidden="1" thickBot="1" x14ac:dyDescent="0.25">
      <c r="A62" s="119" t="s">
        <v>427</v>
      </c>
      <c r="B62" s="120" t="s">
        <v>1303</v>
      </c>
      <c r="C62" s="108" t="str">
        <f t="shared" si="0"/>
        <v>/Applications/Stellarium.app/Contents/Resources/nebulae/default/n5371.png</v>
      </c>
      <c r="D62" s="121" t="s">
        <v>1494</v>
      </c>
      <c r="E62" s="109"/>
      <c r="F62" s="122">
        <v>13</v>
      </c>
      <c r="G62" s="123">
        <v>55</v>
      </c>
      <c r="H62" s="122">
        <v>40</v>
      </c>
      <c r="I62" s="124">
        <v>25</v>
      </c>
      <c r="J62" s="112" t="s">
        <v>991</v>
      </c>
      <c r="K62" s="125">
        <v>14.5</v>
      </c>
      <c r="L62" s="196"/>
      <c r="M62" s="110">
        <f t="shared" si="1"/>
        <v>40.416666666666664</v>
      </c>
      <c r="N62" s="111">
        <f t="shared" si="2"/>
        <v>78.196666666666658</v>
      </c>
      <c r="O62" s="112">
        <f t="shared" si="3"/>
        <v>13.916666666666666</v>
      </c>
      <c r="P62" s="113">
        <f t="shared" ca="1" si="4"/>
        <v>46121.073728000003</v>
      </c>
      <c r="Q62" s="114">
        <f t="shared" ca="1" si="5"/>
        <v>46136.073728000003</v>
      </c>
      <c r="R62" s="114" t="b">
        <f t="shared" ca="1" si="6"/>
        <v>1</v>
      </c>
      <c r="S62" s="115">
        <f t="shared" ca="1" si="7"/>
        <v>15</v>
      </c>
      <c r="T62" s="126">
        <f t="shared" ca="1" si="8"/>
        <v>46151.073728000003</v>
      </c>
      <c r="U62" s="127" t="str">
        <f t="shared" si="16"/>
        <v>S</v>
      </c>
      <c r="V62" s="128">
        <f t="shared" si="10"/>
        <v>78.196666666666658</v>
      </c>
      <c r="W62" s="129">
        <f t="shared" si="11"/>
        <v>78.196666666666658</v>
      </c>
      <c r="X62" s="197"/>
      <c r="Y62" s="115">
        <f t="shared" ca="1" si="12"/>
        <v>28</v>
      </c>
      <c r="Z62" s="118">
        <f t="shared" ca="1" si="13"/>
        <v>0.92328767123287669</v>
      </c>
      <c r="AA62" s="116"/>
      <c r="AB62" s="117">
        <f t="shared" si="14"/>
        <v>21.21942906321598</v>
      </c>
      <c r="AC62" s="118">
        <f t="shared" si="15"/>
        <v>0.9674762109673325</v>
      </c>
      <c r="AE62" s="55"/>
      <c r="AF62" s="72"/>
      <c r="AG62" s="72"/>
      <c r="AH62" s="66"/>
      <c r="AJ62" t="s">
        <v>427</v>
      </c>
    </row>
    <row r="63" spans="1:36" ht="16" hidden="1" thickBot="1" x14ac:dyDescent="0.25">
      <c r="A63" s="119" t="s">
        <v>425</v>
      </c>
      <c r="B63" s="120" t="s">
        <v>1302</v>
      </c>
      <c r="C63" s="108" t="str">
        <f t="shared" si="0"/>
        <v>/Applications/Stellarium.app/Contents/Resources/nebulae/default/n5363-vasey.png</v>
      </c>
      <c r="D63" s="121" t="s">
        <v>1495</v>
      </c>
      <c r="E63" s="109"/>
      <c r="F63" s="122">
        <v>13</v>
      </c>
      <c r="G63" s="123">
        <v>57</v>
      </c>
      <c r="H63" s="122">
        <v>5</v>
      </c>
      <c r="I63" s="124">
        <v>1</v>
      </c>
      <c r="J63" s="112" t="s">
        <v>989</v>
      </c>
      <c r="K63" s="125">
        <v>13.4</v>
      </c>
      <c r="L63" s="196"/>
      <c r="M63" s="110">
        <f t="shared" si="1"/>
        <v>5.0166666666666666</v>
      </c>
      <c r="N63" s="111">
        <f t="shared" si="2"/>
        <v>42.796666666666667</v>
      </c>
      <c r="O63" s="112">
        <f t="shared" si="3"/>
        <v>13.95</v>
      </c>
      <c r="P63" s="113">
        <f t="shared" ca="1" si="4"/>
        <v>46121.581008000001</v>
      </c>
      <c r="Q63" s="114">
        <f t="shared" ca="1" si="5"/>
        <v>46136.581008000001</v>
      </c>
      <c r="R63" s="114" t="b">
        <f t="shared" ca="1" si="6"/>
        <v>1</v>
      </c>
      <c r="S63" s="115">
        <f t="shared" ca="1" si="7"/>
        <v>15</v>
      </c>
      <c r="T63" s="126">
        <f t="shared" ca="1" si="8"/>
        <v>46151.581008000001</v>
      </c>
      <c r="U63" s="127" t="str">
        <f t="shared" si="16"/>
        <v>S</v>
      </c>
      <c r="V63" s="128">
        <f t="shared" si="10"/>
        <v>42.796666666666667</v>
      </c>
      <c r="W63" s="129">
        <f t="shared" si="11"/>
        <v>42.796666666666667</v>
      </c>
      <c r="X63" s="197"/>
      <c r="Y63" s="115">
        <f t="shared" ca="1" si="12"/>
        <v>27</v>
      </c>
      <c r="Z63" s="118">
        <f t="shared" ca="1" si="13"/>
        <v>0.92602739726027394</v>
      </c>
      <c r="AA63" s="116"/>
      <c r="AB63" s="117">
        <f t="shared" si="14"/>
        <v>21.252671382093645</v>
      </c>
      <c r="AC63" s="118">
        <f t="shared" si="15"/>
        <v>0.96886130758723521</v>
      </c>
      <c r="AE63" s="55"/>
      <c r="AF63" s="72"/>
      <c r="AG63" s="72"/>
      <c r="AH63" s="66"/>
      <c r="AJ63" t="s">
        <v>425</v>
      </c>
    </row>
    <row r="64" spans="1:36" ht="16" hidden="1" thickBot="1" x14ac:dyDescent="0.25">
      <c r="A64" s="119" t="s">
        <v>428</v>
      </c>
      <c r="B64" s="120" t="s">
        <v>1269</v>
      </c>
      <c r="C64" s="108" t="str">
        <f t="shared" si="0"/>
        <v>/Applications/Stellarium.app/Contents/Resources/nebulae/default/n5395.png</v>
      </c>
      <c r="D64" s="121" t="s">
        <v>1496</v>
      </c>
      <c r="E64" s="109"/>
      <c r="F64" s="122">
        <v>13</v>
      </c>
      <c r="G64" s="123">
        <v>59</v>
      </c>
      <c r="H64" s="122">
        <v>37</v>
      </c>
      <c r="I64" s="124">
        <v>27</v>
      </c>
      <c r="J64" s="112" t="s">
        <v>992</v>
      </c>
      <c r="K64" s="125">
        <v>14.5</v>
      </c>
      <c r="L64" s="196"/>
      <c r="M64" s="110">
        <f t="shared" si="1"/>
        <v>37.450000000000003</v>
      </c>
      <c r="N64" s="111">
        <f t="shared" si="2"/>
        <v>75.23</v>
      </c>
      <c r="O64" s="112">
        <f t="shared" si="3"/>
        <v>13.983333333333333</v>
      </c>
      <c r="P64" s="113">
        <f t="shared" ca="1" si="4"/>
        <v>46122.088287999999</v>
      </c>
      <c r="Q64" s="114">
        <f t="shared" ca="1" si="5"/>
        <v>46137.088287999999</v>
      </c>
      <c r="R64" s="114" t="b">
        <f t="shared" ca="1" si="6"/>
        <v>1</v>
      </c>
      <c r="S64" s="115">
        <f t="shared" ca="1" si="7"/>
        <v>15</v>
      </c>
      <c r="T64" s="126">
        <f t="shared" ca="1" si="8"/>
        <v>46152.088287999999</v>
      </c>
      <c r="U64" s="127" t="str">
        <f t="shared" si="16"/>
        <v>S</v>
      </c>
      <c r="V64" s="128">
        <f t="shared" si="10"/>
        <v>75.23</v>
      </c>
      <c r="W64" s="129">
        <f t="shared" si="11"/>
        <v>75.23</v>
      </c>
      <c r="X64" s="197"/>
      <c r="Y64" s="115">
        <f t="shared" ca="1" si="12"/>
        <v>27</v>
      </c>
      <c r="Z64" s="118">
        <f t="shared" ca="1" si="13"/>
        <v>0.92602739726027394</v>
      </c>
      <c r="AA64" s="116"/>
      <c r="AB64" s="117">
        <f t="shared" si="14"/>
        <v>21.285913700971307</v>
      </c>
      <c r="AC64" s="118">
        <f t="shared" si="15"/>
        <v>0.97024640420713781</v>
      </c>
      <c r="AE64" s="55"/>
      <c r="AF64" s="72"/>
      <c r="AG64" s="72"/>
      <c r="AH64" s="66"/>
      <c r="AJ64" t="s">
        <v>428</v>
      </c>
    </row>
    <row r="65" spans="1:36" ht="16" hidden="1" thickBot="1" x14ac:dyDescent="0.25">
      <c r="A65" s="119" t="s">
        <v>426</v>
      </c>
      <c r="B65" s="120" t="s">
        <v>1276</v>
      </c>
      <c r="C65" s="108" t="str">
        <f t="shared" si="0"/>
        <v>/Applications/Stellarium.app/Contents/Resources/nebulae/default/n5367.png</v>
      </c>
      <c r="D65" s="121" t="s">
        <v>1497</v>
      </c>
      <c r="E65" s="109"/>
      <c r="F65" s="122">
        <v>14</v>
      </c>
      <c r="G65" s="123">
        <v>0</v>
      </c>
      <c r="H65" s="122">
        <v>-41</v>
      </c>
      <c r="I65" s="124">
        <v>54</v>
      </c>
      <c r="J65" s="112" t="s">
        <v>990</v>
      </c>
      <c r="K65" s="125">
        <v>14.5</v>
      </c>
      <c r="L65" s="196"/>
      <c r="M65" s="110">
        <f t="shared" si="1"/>
        <v>-40.1</v>
      </c>
      <c r="N65" s="111">
        <f t="shared" si="2"/>
        <v>-2.3200000000000003</v>
      </c>
      <c r="O65" s="112">
        <f t="shared" si="3"/>
        <v>14</v>
      </c>
      <c r="P65" s="113">
        <f t="shared" ca="1" si="4"/>
        <v>46122.341928000002</v>
      </c>
      <c r="Q65" s="114">
        <f t="shared" ca="1" si="5"/>
        <v>46137.341928000002</v>
      </c>
      <c r="R65" s="114" t="b">
        <f t="shared" ca="1" si="6"/>
        <v>1</v>
      </c>
      <c r="S65" s="115">
        <f t="shared" ca="1" si="7"/>
        <v>15</v>
      </c>
      <c r="T65" s="126">
        <f t="shared" ca="1" si="8"/>
        <v>46152.341928000002</v>
      </c>
      <c r="U65" s="127" t="str">
        <f t="shared" si="16"/>
        <v>S</v>
      </c>
      <c r="V65" s="128">
        <f t="shared" si="10"/>
        <v>-2.3200000000000003</v>
      </c>
      <c r="W65" s="129">
        <f t="shared" si="11"/>
        <v>-2.3200000000000003</v>
      </c>
      <c r="X65" s="197"/>
      <c r="Y65" s="115">
        <f t="shared" ca="1" si="12"/>
        <v>27</v>
      </c>
      <c r="Z65" s="118">
        <f t="shared" ca="1" si="13"/>
        <v>0.92602739726027394</v>
      </c>
      <c r="AA65" s="116"/>
      <c r="AB65" s="117">
        <f t="shared" si="14"/>
        <v>21.302534860410137</v>
      </c>
      <c r="AC65" s="118">
        <f t="shared" si="15"/>
        <v>0.97093895251708906</v>
      </c>
      <c r="AE65" s="55"/>
      <c r="AF65" s="72"/>
      <c r="AG65" s="72"/>
      <c r="AH65" s="66"/>
      <c r="AJ65" t="s">
        <v>426</v>
      </c>
    </row>
    <row r="66" spans="1:36" ht="16" hidden="1" thickBot="1" x14ac:dyDescent="0.25">
      <c r="A66" s="119" t="s">
        <v>429</v>
      </c>
      <c r="B66" s="120" t="s">
        <v>1309</v>
      </c>
      <c r="C66" s="108" t="str">
        <f t="shared" si="0"/>
        <v>/Applications/Stellarium.app/Contents/Resources/nebulae/default/n5426.png</v>
      </c>
      <c r="D66" s="121" t="s">
        <v>1498</v>
      </c>
      <c r="E66" s="109"/>
      <c r="F66" s="122">
        <v>14</v>
      </c>
      <c r="G66" s="123">
        <v>3</v>
      </c>
      <c r="H66" s="122">
        <v>-7</v>
      </c>
      <c r="I66" s="124">
        <v>54</v>
      </c>
      <c r="J66" s="112" t="s">
        <v>993</v>
      </c>
      <c r="K66" s="125">
        <v>14.2</v>
      </c>
      <c r="L66" s="196"/>
      <c r="M66" s="110">
        <f t="shared" si="1"/>
        <v>-6.1</v>
      </c>
      <c r="N66" s="111">
        <f t="shared" si="2"/>
        <v>31.68</v>
      </c>
      <c r="O66" s="112">
        <f t="shared" si="3"/>
        <v>14.05</v>
      </c>
      <c r="P66" s="113">
        <f t="shared" ca="1" si="4"/>
        <v>46123.102848000002</v>
      </c>
      <c r="Q66" s="114">
        <f t="shared" ca="1" si="5"/>
        <v>46138.102848000002</v>
      </c>
      <c r="R66" s="114" t="b">
        <f t="shared" ca="1" si="6"/>
        <v>1</v>
      </c>
      <c r="S66" s="115">
        <f t="shared" ca="1" si="7"/>
        <v>15</v>
      </c>
      <c r="T66" s="126">
        <f t="shared" ca="1" si="8"/>
        <v>46153.102848000002</v>
      </c>
      <c r="U66" s="127" t="str">
        <f t="shared" si="16"/>
        <v>S</v>
      </c>
      <c r="V66" s="128">
        <f t="shared" si="10"/>
        <v>31.68</v>
      </c>
      <c r="W66" s="129">
        <f t="shared" si="11"/>
        <v>31.68</v>
      </c>
      <c r="X66" s="197"/>
      <c r="Y66" s="115">
        <f t="shared" ca="1" si="12"/>
        <v>26</v>
      </c>
      <c r="Z66" s="118">
        <f t="shared" ca="1" si="13"/>
        <v>0.92876712328767119</v>
      </c>
      <c r="AA66" s="116"/>
      <c r="AB66" s="117">
        <f t="shared" si="14"/>
        <v>21.352398338726633</v>
      </c>
      <c r="AC66" s="118">
        <f t="shared" si="15"/>
        <v>0.97301659744694302</v>
      </c>
      <c r="AE66" s="55"/>
      <c r="AF66" s="72"/>
      <c r="AG66" s="72"/>
      <c r="AH66" s="66"/>
      <c r="AJ66" t="s">
        <v>429</v>
      </c>
    </row>
    <row r="67" spans="1:36" ht="16" thickBot="1" x14ac:dyDescent="0.25">
      <c r="A67" s="119" t="s">
        <v>188</v>
      </c>
      <c r="B67" s="120" t="s">
        <v>1257</v>
      </c>
      <c r="C67" s="108" t="str">
        <f t="shared" si="0"/>
        <v>/Applications/Stellarium.app/Contents/Resources/nebulae/default/m101-vasey.png</v>
      </c>
      <c r="D67" s="121" t="s">
        <v>1499</v>
      </c>
      <c r="E67" s="109"/>
      <c r="F67" s="122">
        <v>14</v>
      </c>
      <c r="G67" s="123">
        <v>5</v>
      </c>
      <c r="H67" s="122">
        <v>54</v>
      </c>
      <c r="I67" s="124">
        <v>1</v>
      </c>
      <c r="J67" s="112" t="s">
        <v>780</v>
      </c>
      <c r="K67" s="125">
        <v>13.4</v>
      </c>
      <c r="L67" s="196"/>
      <c r="M67" s="110">
        <f t="shared" si="1"/>
        <v>54.016666666666666</v>
      </c>
      <c r="N67" s="111">
        <f t="shared" si="2"/>
        <v>91.796666666666667</v>
      </c>
      <c r="O67" s="112">
        <f t="shared" si="3"/>
        <v>14.083333333333334</v>
      </c>
      <c r="P67" s="113">
        <f t="shared" ca="1" si="4"/>
        <v>46123.610128</v>
      </c>
      <c r="Q67" s="114">
        <f t="shared" ca="1" si="5"/>
        <v>46138.610128</v>
      </c>
      <c r="R67" s="114" t="b">
        <f t="shared" ca="1" si="6"/>
        <v>1</v>
      </c>
      <c r="S67" s="115">
        <f t="shared" ca="1" si="7"/>
        <v>15</v>
      </c>
      <c r="T67" s="126">
        <f t="shared" ca="1" si="8"/>
        <v>46153.610128</v>
      </c>
      <c r="U67" s="127" t="str">
        <f t="shared" si="16"/>
        <v>N</v>
      </c>
      <c r="V67" s="128">
        <f t="shared" si="10"/>
        <v>88.203333333333333</v>
      </c>
      <c r="W67" s="129">
        <f t="shared" si="11"/>
        <v>88.203333333333333</v>
      </c>
      <c r="X67" s="197"/>
      <c r="Y67" s="115">
        <f t="shared" ca="1" si="12"/>
        <v>25</v>
      </c>
      <c r="Z67" s="118">
        <f t="shared" ca="1" si="13"/>
        <v>0.93150684931506844</v>
      </c>
      <c r="AA67" s="116"/>
      <c r="AB67" s="117">
        <f t="shared" si="14"/>
        <v>21.385640657604299</v>
      </c>
      <c r="AC67" s="118">
        <f t="shared" si="15"/>
        <v>0.97440169406684574</v>
      </c>
      <c r="AE67" s="55"/>
      <c r="AF67" s="72"/>
      <c r="AG67" s="72"/>
      <c r="AH67" s="66"/>
      <c r="AJ67" t="s">
        <v>188</v>
      </c>
    </row>
    <row r="68" spans="1:36" ht="16" hidden="1" thickBot="1" x14ac:dyDescent="0.25">
      <c r="A68" s="119" t="s">
        <v>430</v>
      </c>
      <c r="B68" s="120" t="s">
        <v>1191</v>
      </c>
      <c r="C68" s="108" t="str">
        <f t="shared" si="0"/>
        <v>/Applications/Stellarium.app/Contents/Resources/nebulae/default/n5466.png</v>
      </c>
      <c r="D68" s="121" t="s">
        <v>1500</v>
      </c>
      <c r="E68" s="109"/>
      <c r="F68" s="122">
        <v>14</v>
      </c>
      <c r="G68" s="123">
        <v>5</v>
      </c>
      <c r="H68" s="122">
        <v>28</v>
      </c>
      <c r="I68" s="124">
        <v>22</v>
      </c>
      <c r="J68" s="112" t="s">
        <v>994</v>
      </c>
      <c r="K68" s="125">
        <v>14</v>
      </c>
      <c r="L68" s="196"/>
      <c r="M68" s="110">
        <f t="shared" si="1"/>
        <v>28.366666666666667</v>
      </c>
      <c r="N68" s="111">
        <f t="shared" si="2"/>
        <v>66.146666666666675</v>
      </c>
      <c r="O68" s="112">
        <f t="shared" si="3"/>
        <v>14.083333333333334</v>
      </c>
      <c r="P68" s="113">
        <f t="shared" ca="1" si="4"/>
        <v>46123.610128</v>
      </c>
      <c r="Q68" s="114">
        <f t="shared" ca="1" si="5"/>
        <v>46138.610128</v>
      </c>
      <c r="R68" s="114" t="b">
        <f t="shared" ca="1" si="6"/>
        <v>1</v>
      </c>
      <c r="S68" s="115">
        <f t="shared" ca="1" si="7"/>
        <v>15</v>
      </c>
      <c r="T68" s="126">
        <f t="shared" ca="1" si="8"/>
        <v>46153.610128</v>
      </c>
      <c r="U68" s="127" t="str">
        <f t="shared" si="16"/>
        <v>S</v>
      </c>
      <c r="V68" s="128">
        <f t="shared" si="10"/>
        <v>66.146666666666675</v>
      </c>
      <c r="W68" s="129">
        <f t="shared" si="11"/>
        <v>66.146666666666675</v>
      </c>
      <c r="X68" s="197"/>
      <c r="Y68" s="115">
        <f t="shared" ca="1" si="12"/>
        <v>25</v>
      </c>
      <c r="Z68" s="118">
        <f t="shared" ca="1" si="13"/>
        <v>0.93150684931506844</v>
      </c>
      <c r="AA68" s="116"/>
      <c r="AB68" s="117">
        <f t="shared" si="14"/>
        <v>21.385640657604299</v>
      </c>
      <c r="AC68" s="118">
        <f t="shared" si="15"/>
        <v>0.97440169406684574</v>
      </c>
      <c r="AE68" s="55"/>
      <c r="AF68" s="72"/>
      <c r="AG68" s="72"/>
      <c r="AH68" s="66"/>
      <c r="AJ68" t="s">
        <v>430</v>
      </c>
    </row>
    <row r="69" spans="1:36" ht="16" hidden="1" thickBot="1" x14ac:dyDescent="0.25">
      <c r="A69" s="119" t="s">
        <v>431</v>
      </c>
      <c r="B69" s="120" t="s">
        <v>1269</v>
      </c>
      <c r="C69" s="108" t="str">
        <f t="shared" si="0"/>
        <v>/Applications/Stellarium.app/Contents/Resources/nebulae/default/n5474.png</v>
      </c>
      <c r="D69" s="121" t="s">
        <v>1501</v>
      </c>
      <c r="E69" s="109"/>
      <c r="F69" s="122">
        <v>14</v>
      </c>
      <c r="G69" s="123">
        <v>5</v>
      </c>
      <c r="H69" s="122">
        <v>53</v>
      </c>
      <c r="I69" s="124">
        <v>35</v>
      </c>
      <c r="J69" s="112" t="s">
        <v>995</v>
      </c>
      <c r="K69" s="125">
        <v>14</v>
      </c>
      <c r="L69" s="196"/>
      <c r="M69" s="110">
        <f t="shared" si="1"/>
        <v>53.583333333333336</v>
      </c>
      <c r="N69" s="111">
        <f t="shared" si="2"/>
        <v>91.363333333333344</v>
      </c>
      <c r="O69" s="112">
        <f t="shared" si="3"/>
        <v>14.083333333333334</v>
      </c>
      <c r="P69" s="113">
        <f t="shared" ca="1" si="4"/>
        <v>46123.610128</v>
      </c>
      <c r="Q69" s="114">
        <f t="shared" ca="1" si="5"/>
        <v>46138.610128</v>
      </c>
      <c r="R69" s="114" t="b">
        <f t="shared" ca="1" si="6"/>
        <v>1</v>
      </c>
      <c r="S69" s="115">
        <f t="shared" ca="1" si="7"/>
        <v>15</v>
      </c>
      <c r="T69" s="126">
        <f t="shared" ca="1" si="8"/>
        <v>46153.610128</v>
      </c>
      <c r="U69" s="127" t="str">
        <f t="shared" si="16"/>
        <v>N</v>
      </c>
      <c r="V69" s="128">
        <f t="shared" si="10"/>
        <v>88.636666666666656</v>
      </c>
      <c r="W69" s="129">
        <f t="shared" si="11"/>
        <v>88.636666666666656</v>
      </c>
      <c r="X69" s="197"/>
      <c r="Y69" s="115">
        <f t="shared" ca="1" si="12"/>
        <v>25</v>
      </c>
      <c r="Z69" s="118">
        <f t="shared" ca="1" si="13"/>
        <v>0.93150684931506844</v>
      </c>
      <c r="AA69" s="116"/>
      <c r="AB69" s="117">
        <f t="shared" si="14"/>
        <v>21.385640657604299</v>
      </c>
      <c r="AC69" s="118">
        <f t="shared" si="15"/>
        <v>0.97440169406684574</v>
      </c>
      <c r="AE69" s="55"/>
      <c r="AF69" s="72"/>
      <c r="AG69" s="72"/>
      <c r="AH69" s="66"/>
      <c r="AJ69" t="s">
        <v>431</v>
      </c>
    </row>
    <row r="70" spans="1:36" ht="16" hidden="1" thickBot="1" x14ac:dyDescent="0.25">
      <c r="A70" s="119" t="s">
        <v>432</v>
      </c>
      <c r="B70" s="120" t="s">
        <v>1272</v>
      </c>
      <c r="C70" s="108" t="str">
        <f t="shared" si="0"/>
        <v>/Applications/Stellarium.app/Contents/Resources/nebulae/default/n5566.png</v>
      </c>
      <c r="D70" s="121" t="s">
        <v>1502</v>
      </c>
      <c r="E70" s="109"/>
      <c r="F70" s="122">
        <v>14</v>
      </c>
      <c r="G70" s="123">
        <v>20</v>
      </c>
      <c r="H70" s="122">
        <v>3</v>
      </c>
      <c r="I70" s="124">
        <v>50</v>
      </c>
      <c r="J70" s="112" t="s">
        <v>996</v>
      </c>
      <c r="K70" s="125">
        <v>13</v>
      </c>
      <c r="L70" s="196"/>
      <c r="M70" s="110">
        <f t="shared" si="1"/>
        <v>3.8333333333333335</v>
      </c>
      <c r="N70" s="111">
        <f t="shared" si="2"/>
        <v>41.613333333333337</v>
      </c>
      <c r="O70" s="112">
        <f t="shared" si="3"/>
        <v>14.333333333333334</v>
      </c>
      <c r="P70" s="113">
        <f t="shared" ca="1" si="4"/>
        <v>46127.414728000003</v>
      </c>
      <c r="Q70" s="114">
        <f t="shared" ca="1" si="5"/>
        <v>46142.414728000003</v>
      </c>
      <c r="R70" s="114" t="b">
        <f t="shared" ca="1" si="6"/>
        <v>1</v>
      </c>
      <c r="S70" s="115">
        <f t="shared" ca="1" si="7"/>
        <v>15</v>
      </c>
      <c r="T70" s="126">
        <f t="shared" ca="1" si="8"/>
        <v>46157.414728000003</v>
      </c>
      <c r="U70" s="127" t="str">
        <f t="shared" si="16"/>
        <v>S</v>
      </c>
      <c r="V70" s="128">
        <f t="shared" si="10"/>
        <v>41.613333333333337</v>
      </c>
      <c r="W70" s="129">
        <f t="shared" si="11"/>
        <v>41.613333333333337</v>
      </c>
      <c r="X70" s="197"/>
      <c r="Y70" s="115">
        <f t="shared" ca="1" si="12"/>
        <v>22</v>
      </c>
      <c r="Z70" s="118">
        <f t="shared" ca="1" si="13"/>
        <v>0.9397260273972603</v>
      </c>
      <c r="AA70" s="116"/>
      <c r="AB70" s="117">
        <f t="shared" si="14"/>
        <v>21.634958049186764</v>
      </c>
      <c r="AC70" s="118">
        <f t="shared" si="15"/>
        <v>0.98478991871611521</v>
      </c>
      <c r="AE70" s="55"/>
      <c r="AF70" s="72"/>
      <c r="AG70" s="72"/>
      <c r="AH70" s="66"/>
      <c r="AJ70" t="s">
        <v>432</v>
      </c>
    </row>
    <row r="71" spans="1:36" ht="16" hidden="1" thickBot="1" x14ac:dyDescent="0.25">
      <c r="A71" s="119" t="s">
        <v>592</v>
      </c>
      <c r="B71" s="120" t="s">
        <v>1376</v>
      </c>
      <c r="C71" s="108" t="str">
        <f t="shared" si="0"/>
        <v>/Applications/Stellarium.app/Contents/Resources/nebulae/default/ic4406.png</v>
      </c>
      <c r="D71" s="121" t="s">
        <v>1503</v>
      </c>
      <c r="E71" s="109"/>
      <c r="F71" s="122">
        <v>14</v>
      </c>
      <c r="G71" s="123">
        <v>22</v>
      </c>
      <c r="H71" s="122">
        <v>-45</v>
      </c>
      <c r="I71" s="124">
        <v>49</v>
      </c>
      <c r="J71" s="112" t="s">
        <v>1108</v>
      </c>
      <c r="K71" s="125">
        <v>13</v>
      </c>
      <c r="L71" s="196"/>
      <c r="M71" s="110">
        <f t="shared" si="1"/>
        <v>-44.18333333333333</v>
      </c>
      <c r="N71" s="111">
        <f t="shared" si="2"/>
        <v>-6.4033333333333289</v>
      </c>
      <c r="O71" s="112">
        <f t="shared" si="3"/>
        <v>14.366666666666667</v>
      </c>
      <c r="P71" s="113">
        <f t="shared" ca="1" si="4"/>
        <v>46127.922008000001</v>
      </c>
      <c r="Q71" s="114">
        <f t="shared" ca="1" si="5"/>
        <v>46142.922008000001</v>
      </c>
      <c r="R71" s="114" t="b">
        <f t="shared" ca="1" si="6"/>
        <v>1</v>
      </c>
      <c r="S71" s="115">
        <f t="shared" ca="1" si="7"/>
        <v>15</v>
      </c>
      <c r="T71" s="126">
        <f t="shared" ca="1" si="8"/>
        <v>46157.922008000001</v>
      </c>
      <c r="U71" s="127" t="str">
        <f t="shared" si="16"/>
        <v>S</v>
      </c>
      <c r="V71" s="128">
        <f t="shared" si="10"/>
        <v>-6.4033333333333289</v>
      </c>
      <c r="W71" s="129">
        <f t="shared" si="11"/>
        <v>-6.4033333333333289</v>
      </c>
      <c r="X71" s="197"/>
      <c r="Y71" s="115">
        <f t="shared" ca="1" si="12"/>
        <v>21</v>
      </c>
      <c r="Z71" s="118">
        <f t="shared" ca="1" si="13"/>
        <v>0.94246575342465755</v>
      </c>
      <c r="AA71" s="116"/>
      <c r="AB71" s="117">
        <f t="shared" si="14"/>
        <v>21.668200368064426</v>
      </c>
      <c r="AC71" s="118">
        <f t="shared" si="15"/>
        <v>0.9861750153360177</v>
      </c>
      <c r="AE71" s="55"/>
      <c r="AF71" s="72"/>
      <c r="AG71" s="72"/>
      <c r="AH71" s="66"/>
      <c r="AJ71" t="s">
        <v>592</v>
      </c>
    </row>
    <row r="72" spans="1:36" ht="16" hidden="1" thickBot="1" x14ac:dyDescent="0.25">
      <c r="A72" s="119" t="s">
        <v>433</v>
      </c>
      <c r="B72" s="120" t="s">
        <v>1191</v>
      </c>
      <c r="C72" s="108" t="str">
        <f t="shared" si="0"/>
        <v>/Applications/Stellarium.app/Contents/Resources/nebulae/default/n5634-dss.png</v>
      </c>
      <c r="D72" s="121" t="s">
        <v>1504</v>
      </c>
      <c r="E72" s="109"/>
      <c r="F72" s="122">
        <v>14</v>
      </c>
      <c r="G72" s="123">
        <v>29</v>
      </c>
      <c r="H72" s="122">
        <v>-7</v>
      </c>
      <c r="I72" s="124">
        <v>57</v>
      </c>
      <c r="J72" s="112" t="s">
        <v>997</v>
      </c>
      <c r="K72" s="125">
        <v>13.8</v>
      </c>
      <c r="L72" s="196"/>
      <c r="M72" s="110">
        <f t="shared" si="1"/>
        <v>-6.05</v>
      </c>
      <c r="N72" s="111">
        <f t="shared" si="2"/>
        <v>31.73</v>
      </c>
      <c r="O72" s="112">
        <f t="shared" si="3"/>
        <v>14.483333333333333</v>
      </c>
      <c r="P72" s="113">
        <f t="shared" ca="1" si="4"/>
        <v>46129.697487999998</v>
      </c>
      <c r="Q72" s="114">
        <f t="shared" ca="1" si="5"/>
        <v>46144.697487999998</v>
      </c>
      <c r="R72" s="114" t="b">
        <f t="shared" ca="1" si="6"/>
        <v>1</v>
      </c>
      <c r="S72" s="115">
        <f t="shared" ca="1" si="7"/>
        <v>15</v>
      </c>
      <c r="T72" s="126">
        <f t="shared" ca="1" si="8"/>
        <v>46159.697487999998</v>
      </c>
      <c r="U72" s="127" t="str">
        <f t="shared" si="16"/>
        <v>S</v>
      </c>
      <c r="V72" s="128">
        <f t="shared" si="10"/>
        <v>31.73</v>
      </c>
      <c r="W72" s="129">
        <f t="shared" si="11"/>
        <v>31.73</v>
      </c>
      <c r="X72" s="197"/>
      <c r="Y72" s="115">
        <f t="shared" ca="1" si="12"/>
        <v>19</v>
      </c>
      <c r="Z72" s="118">
        <f t="shared" ca="1" si="13"/>
        <v>0.94794520547945205</v>
      </c>
      <c r="AA72" s="116"/>
      <c r="AB72" s="117">
        <f t="shared" si="14"/>
        <v>21.784548484136245</v>
      </c>
      <c r="AC72" s="118">
        <f t="shared" si="15"/>
        <v>0.99102285350567687</v>
      </c>
      <c r="AE72" s="55"/>
      <c r="AF72" s="72"/>
      <c r="AG72" s="72"/>
      <c r="AH72" s="66"/>
      <c r="AJ72" t="s">
        <v>433</v>
      </c>
    </row>
    <row r="73" spans="1:36" ht="16" hidden="1" thickBot="1" x14ac:dyDescent="0.25">
      <c r="A73" s="119" t="s">
        <v>434</v>
      </c>
      <c r="B73" s="120" t="s">
        <v>1191</v>
      </c>
      <c r="C73" s="108" t="str">
        <f t="shared" si="0"/>
        <v>/Applications/Stellarium.app/Contents/Resources/nebulae/default/n5694-dss.png</v>
      </c>
      <c r="D73" s="121" t="s">
        <v>1505</v>
      </c>
      <c r="E73" s="109"/>
      <c r="F73" s="122">
        <v>14</v>
      </c>
      <c r="G73" s="123">
        <v>39</v>
      </c>
      <c r="H73" s="122">
        <v>-27</v>
      </c>
      <c r="I73" s="124">
        <v>26</v>
      </c>
      <c r="J73" s="112" t="s">
        <v>998</v>
      </c>
      <c r="K73" s="125">
        <v>13.5</v>
      </c>
      <c r="L73" s="196"/>
      <c r="M73" s="110">
        <f t="shared" si="1"/>
        <v>-26.566666666666666</v>
      </c>
      <c r="N73" s="111">
        <f t="shared" si="2"/>
        <v>11.213333333333335</v>
      </c>
      <c r="O73" s="112">
        <f t="shared" si="3"/>
        <v>14.65</v>
      </c>
      <c r="P73" s="113">
        <f t="shared" ca="1" si="4"/>
        <v>46132.233888000002</v>
      </c>
      <c r="Q73" s="114">
        <f t="shared" ca="1" si="5"/>
        <v>46147.233888000002</v>
      </c>
      <c r="R73" s="114" t="b">
        <f t="shared" ca="1" si="6"/>
        <v>1</v>
      </c>
      <c r="S73" s="115">
        <f t="shared" ca="1" si="7"/>
        <v>15</v>
      </c>
      <c r="T73" s="126">
        <f t="shared" ca="1" si="8"/>
        <v>46162.233888000002</v>
      </c>
      <c r="U73" s="127" t="str">
        <f t="shared" si="16"/>
        <v>S</v>
      </c>
      <c r="V73" s="128">
        <f t="shared" si="10"/>
        <v>11.213333333333335</v>
      </c>
      <c r="W73" s="129">
        <f t="shared" si="11"/>
        <v>11.213333333333335</v>
      </c>
      <c r="X73" s="197"/>
      <c r="Y73" s="115">
        <f t="shared" ca="1" si="12"/>
        <v>17</v>
      </c>
      <c r="Z73" s="118">
        <f t="shared" ca="1" si="13"/>
        <v>0.95342465753424654</v>
      </c>
      <c r="AA73" s="116"/>
      <c r="AB73" s="117">
        <f t="shared" si="14"/>
        <v>21.950760078524556</v>
      </c>
      <c r="AC73" s="118">
        <f t="shared" si="15"/>
        <v>0.99794833660518989</v>
      </c>
      <c r="AE73" s="55"/>
      <c r="AF73" s="72"/>
      <c r="AG73" s="72"/>
      <c r="AH73" s="66"/>
      <c r="AJ73" t="s">
        <v>434</v>
      </c>
    </row>
    <row r="74" spans="1:36" ht="16" hidden="1" thickBot="1" x14ac:dyDescent="0.25">
      <c r="A74" s="119" t="s">
        <v>652</v>
      </c>
      <c r="B74" s="120" t="s">
        <v>1411</v>
      </c>
      <c r="C74" s="108" t="str">
        <f t="shared" si="0"/>
        <v>/Applications/Stellarium.app/Contents/Resources/nebulae/default/rcw86.png</v>
      </c>
      <c r="D74" s="121" t="s">
        <v>1506</v>
      </c>
      <c r="E74" s="109"/>
      <c r="F74" s="122">
        <v>14</v>
      </c>
      <c r="G74" s="123">
        <v>41</v>
      </c>
      <c r="H74" s="122">
        <v>-63</v>
      </c>
      <c r="I74" s="124">
        <v>15</v>
      </c>
      <c r="J74" s="112" t="s">
        <v>776</v>
      </c>
      <c r="K74" s="125">
        <v>13.4</v>
      </c>
      <c r="L74" s="196"/>
      <c r="M74" s="110">
        <f t="shared" si="1"/>
        <v>-62.75</v>
      </c>
      <c r="N74" s="111">
        <f t="shared" si="2"/>
        <v>-24.97</v>
      </c>
      <c r="O74" s="112">
        <f t="shared" si="3"/>
        <v>14.683333333333334</v>
      </c>
      <c r="P74" s="113">
        <f t="shared" ca="1" si="4"/>
        <v>46132.741168</v>
      </c>
      <c r="Q74" s="114">
        <f t="shared" ca="1" si="5"/>
        <v>46147.741168</v>
      </c>
      <c r="R74" s="114" t="b">
        <f t="shared" ca="1" si="6"/>
        <v>1</v>
      </c>
      <c r="S74" s="115">
        <f t="shared" ca="1" si="7"/>
        <v>15</v>
      </c>
      <c r="T74" s="126">
        <f t="shared" ca="1" si="8"/>
        <v>46162.741168</v>
      </c>
      <c r="U74" s="127" t="str">
        <f t="shared" si="16"/>
        <v>S</v>
      </c>
      <c r="V74" s="128">
        <f t="shared" si="10"/>
        <v>-24.97</v>
      </c>
      <c r="W74" s="129">
        <f t="shared" si="11"/>
        <v>-24.97</v>
      </c>
      <c r="X74" s="197"/>
      <c r="Y74" s="115">
        <f t="shared" ca="1" si="12"/>
        <v>16</v>
      </c>
      <c r="Z74" s="118">
        <f t="shared" ca="1" si="13"/>
        <v>0.95616438356164379</v>
      </c>
      <c r="AA74" s="116"/>
      <c r="AB74" s="117">
        <f t="shared" si="14"/>
        <v>21.984002397402222</v>
      </c>
      <c r="AC74" s="118">
        <f t="shared" si="15"/>
        <v>0.9993334332250926</v>
      </c>
      <c r="AE74" s="55"/>
      <c r="AF74" s="72"/>
      <c r="AG74" s="72"/>
      <c r="AH74" s="66"/>
      <c r="AJ74" t="s">
        <v>652</v>
      </c>
    </row>
    <row r="75" spans="1:36" ht="16" hidden="1" thickBot="1" x14ac:dyDescent="0.25">
      <c r="A75" s="119" t="s">
        <v>669</v>
      </c>
      <c r="B75" s="120" t="s">
        <v>2087</v>
      </c>
      <c r="C75" s="108" t="str">
        <f t="shared" si="0"/>
        <v>/Applications/Stellarium.app/Contents/Resources/nebulae/default/u9618h.png</v>
      </c>
      <c r="D75" s="121" t="s">
        <v>1507</v>
      </c>
      <c r="E75" s="109"/>
      <c r="F75" s="122">
        <v>14</v>
      </c>
      <c r="G75" s="123">
        <v>57</v>
      </c>
      <c r="H75" s="122">
        <v>24</v>
      </c>
      <c r="I75" s="124">
        <v>35</v>
      </c>
      <c r="J75" s="112" t="s">
        <v>1121</v>
      </c>
      <c r="K75" s="125">
        <v>15</v>
      </c>
      <c r="L75" s="196"/>
      <c r="M75" s="110">
        <f t="shared" si="1"/>
        <v>24.583333333333332</v>
      </c>
      <c r="N75" s="111">
        <f t="shared" si="2"/>
        <v>62.36333333333333</v>
      </c>
      <c r="O75" s="112">
        <f t="shared" si="3"/>
        <v>14.95</v>
      </c>
      <c r="P75" s="113">
        <f t="shared" ca="1" si="4"/>
        <v>46136.799407999999</v>
      </c>
      <c r="Q75" s="114">
        <f t="shared" ca="1" si="5"/>
        <v>46151.799407999999</v>
      </c>
      <c r="R75" s="114" t="b">
        <f t="shared" ref="R75:R138" ca="1" si="17">AND(Q75&gt;=DATE(YEAR(Q75),3,31)-WEEKDAY(DATE(YEAR(Q75),3,31),2),Q75&lt;DATE(YEAR(Q75),10,31)-WEEKDAY(DATE(YEAR(Q75),10,31),2))</f>
        <v>1</v>
      </c>
      <c r="S75" s="115">
        <f t="shared" ref="S75:S138" ca="1" si="18">IF(R75,15,0)</f>
        <v>15</v>
      </c>
      <c r="T75" s="126">
        <f t="shared" ref="T75:T138" ca="1" si="19">Q75+S75</f>
        <v>46166.799407999999</v>
      </c>
      <c r="U75" s="127" t="str">
        <f t="shared" si="16"/>
        <v>S</v>
      </c>
      <c r="V75" s="128">
        <f t="shared" si="10"/>
        <v>62.36333333333333</v>
      </c>
      <c r="W75" s="129">
        <f t="shared" ref="W75:W138" si="20">IF(M75&lt;&gt;0,V75,"")</f>
        <v>62.36333333333333</v>
      </c>
      <c r="X75" s="197"/>
      <c r="Y75" s="115">
        <f t="shared" ref="Y75:Y138" ca="1" si="21">INT(IF(AC$7&gt;T75,AC$7-T75,AC$7+365-T75)+0.5)+S75</f>
        <v>377</v>
      </c>
      <c r="Z75" s="118">
        <f t="shared" ref="Z75:Z138" ca="1" si="22">$AB$5-Y75/365</f>
        <v>-3.287671232876721E-2</v>
      </c>
      <c r="AA75" s="116"/>
      <c r="AB75" s="117">
        <f t="shared" ref="AB75:AB138" si="23">MOD(O75-AB$10,24)/1.00273790935</f>
        <v>22.249940948423518</v>
      </c>
      <c r="AC75" s="118">
        <f t="shared" ref="AC75:AC138" si="24">(IF(M75&lt;&gt;0,MOD(AB75+AB$11,24)/24,""))</f>
        <v>1.0414206184313249E-2</v>
      </c>
      <c r="AE75" s="55"/>
      <c r="AF75" s="72"/>
      <c r="AG75" s="72"/>
      <c r="AH75" s="66"/>
      <c r="AJ75" t="s">
        <v>669</v>
      </c>
    </row>
    <row r="76" spans="1:36" ht="16" hidden="1" thickBot="1" x14ac:dyDescent="0.25">
      <c r="A76" s="119" t="s">
        <v>593</v>
      </c>
      <c r="B76" s="120" t="s">
        <v>1191</v>
      </c>
      <c r="C76" s="108" t="str">
        <f t="shared" ref="C76:C139" si="25">CONCATENATE(A$9&amp;D76)</f>
        <v>/Applications/Stellarium.app/Contents/Resources/nebulae/default/ic4499-dss.png</v>
      </c>
      <c r="D76" s="121" t="s">
        <v>1508</v>
      </c>
      <c r="E76" s="109"/>
      <c r="F76" s="122">
        <v>15</v>
      </c>
      <c r="G76" s="123">
        <v>2</v>
      </c>
      <c r="H76" s="122">
        <v>-83</v>
      </c>
      <c r="I76" s="124">
        <v>41</v>
      </c>
      <c r="J76" s="112" t="s">
        <v>1016</v>
      </c>
      <c r="K76" s="125">
        <v>13.5</v>
      </c>
      <c r="L76" s="196"/>
      <c r="M76" s="110">
        <f t="shared" ref="M76:M139" si="26">H76+I76/60</f>
        <v>-82.316666666666663</v>
      </c>
      <c r="N76" s="111">
        <f t="shared" ref="N76:N139" si="27">90-$B$6+M76</f>
        <v>-44.536666666666662</v>
      </c>
      <c r="O76" s="112">
        <f t="shared" ref="O76:O139" si="28">F76+G76/60</f>
        <v>15.033333333333333</v>
      </c>
      <c r="P76" s="113">
        <f t="shared" ref="P76:P139" ca="1" si="29">DATE(YEAR(TODAY()),3,21)+MOD(O76-12-$B$7/15,24)*15.2184</f>
        <v>46138.067607999998</v>
      </c>
      <c r="Q76" s="114">
        <f t="shared" ref="Q76:Q139" ca="1" si="30">DATE(YEAR(TODAY()),3,21)+MOD(O76-12-$B$7/15,24)*15.2184+15</f>
        <v>46153.067607999998</v>
      </c>
      <c r="R76" s="114" t="b">
        <f t="shared" ca="1" si="17"/>
        <v>1</v>
      </c>
      <c r="S76" s="115">
        <f t="shared" ca="1" si="18"/>
        <v>15</v>
      </c>
      <c r="T76" s="126">
        <f t="shared" ca="1" si="19"/>
        <v>46168.067607999998</v>
      </c>
      <c r="U76" s="127" t="str">
        <f t="shared" si="16"/>
        <v>S</v>
      </c>
      <c r="V76" s="128">
        <f t="shared" ref="V76:V139" si="31">IF(90-B$6+M76&gt;90,180-90+B$6-M76,90-B$6+M76)</f>
        <v>-44.536666666666662</v>
      </c>
      <c r="W76" s="129">
        <f t="shared" si="20"/>
        <v>-44.536666666666662</v>
      </c>
      <c r="X76" s="197"/>
      <c r="Y76" s="115">
        <f t="shared" ca="1" si="21"/>
        <v>376</v>
      </c>
      <c r="Z76" s="118">
        <f t="shared" ca="1" si="22"/>
        <v>-3.013698630136985E-2</v>
      </c>
      <c r="AA76" s="116"/>
      <c r="AB76" s="117">
        <f t="shared" si="23"/>
        <v>22.333046745617676</v>
      </c>
      <c r="AC76" s="118">
        <f t="shared" si="24"/>
        <v>1.3876947734069814E-2</v>
      </c>
      <c r="AE76" s="55"/>
      <c r="AF76" s="72"/>
      <c r="AG76" s="72"/>
      <c r="AH76" s="66"/>
      <c r="AJ76" t="s">
        <v>593</v>
      </c>
    </row>
    <row r="77" spans="1:36" ht="16" hidden="1" thickBot="1" x14ac:dyDescent="0.25">
      <c r="A77" s="119" t="s">
        <v>436</v>
      </c>
      <c r="B77" s="120" t="s">
        <v>1191</v>
      </c>
      <c r="C77" s="108" t="str">
        <f t="shared" si="25"/>
        <v>/Applications/Stellarium.app/Contents/Resources/nebulae/default/n5824-dss.png</v>
      </c>
      <c r="D77" s="121" t="s">
        <v>1509</v>
      </c>
      <c r="E77" s="109"/>
      <c r="F77" s="122">
        <v>15</v>
      </c>
      <c r="G77" s="123">
        <v>4</v>
      </c>
      <c r="H77" s="122">
        <v>-34</v>
      </c>
      <c r="I77" s="124">
        <v>52</v>
      </c>
      <c r="J77" s="112" t="s">
        <v>999</v>
      </c>
      <c r="K77" s="125">
        <v>13.8</v>
      </c>
      <c r="L77" s="196"/>
      <c r="M77" s="110">
        <f t="shared" si="26"/>
        <v>-33.133333333333333</v>
      </c>
      <c r="N77" s="111">
        <f t="shared" si="27"/>
        <v>4.6466666666666683</v>
      </c>
      <c r="O77" s="112">
        <f t="shared" si="28"/>
        <v>15.066666666666666</v>
      </c>
      <c r="P77" s="113">
        <f t="shared" ca="1" si="29"/>
        <v>46138.574888000003</v>
      </c>
      <c r="Q77" s="114">
        <f t="shared" ca="1" si="30"/>
        <v>46153.574888000003</v>
      </c>
      <c r="R77" s="114" t="b">
        <f t="shared" ca="1" si="17"/>
        <v>1</v>
      </c>
      <c r="S77" s="115">
        <f t="shared" ca="1" si="18"/>
        <v>15</v>
      </c>
      <c r="T77" s="126">
        <f t="shared" ca="1" si="19"/>
        <v>46168.574888000003</v>
      </c>
      <c r="U77" s="127" t="str">
        <f t="shared" si="16"/>
        <v>S</v>
      </c>
      <c r="V77" s="128">
        <f t="shared" si="31"/>
        <v>4.6466666666666683</v>
      </c>
      <c r="W77" s="129">
        <f t="shared" si="20"/>
        <v>4.6466666666666683</v>
      </c>
      <c r="X77" s="197"/>
      <c r="Y77" s="115">
        <f t="shared" ca="1" si="21"/>
        <v>375</v>
      </c>
      <c r="Z77" s="118">
        <f t="shared" ca="1" si="22"/>
        <v>-2.7397260273972712E-2</v>
      </c>
      <c r="AA77" s="116"/>
      <c r="AB77" s="117">
        <f t="shared" si="23"/>
        <v>22.366289064495337</v>
      </c>
      <c r="AC77" s="118">
        <f t="shared" si="24"/>
        <v>1.5262044353972382E-2</v>
      </c>
      <c r="AE77" s="55"/>
      <c r="AF77" s="72"/>
      <c r="AG77" s="72"/>
      <c r="AH77" s="66"/>
      <c r="AJ77" t="s">
        <v>436</v>
      </c>
    </row>
    <row r="78" spans="1:36" ht="16" hidden="1" thickBot="1" x14ac:dyDescent="0.25">
      <c r="A78" s="119" t="s">
        <v>435</v>
      </c>
      <c r="B78" s="120" t="s">
        <v>1207</v>
      </c>
      <c r="C78" s="108" t="str">
        <f t="shared" si="25"/>
        <v>/Applications/Stellarium.app/Contents/Resources/nebulae/default/n5823.png</v>
      </c>
      <c r="D78" s="121" t="s">
        <v>1510</v>
      </c>
      <c r="E78" s="109"/>
      <c r="F78" s="122">
        <v>15</v>
      </c>
      <c r="G78" s="123">
        <v>6</v>
      </c>
      <c r="H78" s="122">
        <v>-56</v>
      </c>
      <c r="I78" s="124">
        <v>13</v>
      </c>
      <c r="J78" s="112" t="s">
        <v>851</v>
      </c>
      <c r="K78" s="125">
        <v>13.8</v>
      </c>
      <c r="L78" s="196"/>
      <c r="M78" s="110">
        <f t="shared" si="26"/>
        <v>-55.783333333333331</v>
      </c>
      <c r="N78" s="111">
        <f t="shared" si="27"/>
        <v>-18.00333333333333</v>
      </c>
      <c r="O78" s="112">
        <f t="shared" si="28"/>
        <v>15.1</v>
      </c>
      <c r="P78" s="113">
        <f t="shared" ca="1" si="29"/>
        <v>46139.082168000001</v>
      </c>
      <c r="Q78" s="114">
        <f t="shared" ca="1" si="30"/>
        <v>46154.082168000001</v>
      </c>
      <c r="R78" s="114" t="b">
        <f t="shared" ca="1" si="17"/>
        <v>1</v>
      </c>
      <c r="S78" s="115">
        <f t="shared" ca="1" si="18"/>
        <v>15</v>
      </c>
      <c r="T78" s="126">
        <f t="shared" ca="1" si="19"/>
        <v>46169.082168000001</v>
      </c>
      <c r="U78" s="127" t="str">
        <f t="shared" si="16"/>
        <v>S</v>
      </c>
      <c r="V78" s="128">
        <f t="shared" si="31"/>
        <v>-18.00333333333333</v>
      </c>
      <c r="W78" s="129">
        <f t="shared" si="20"/>
        <v>-18.00333333333333</v>
      </c>
      <c r="X78" s="197"/>
      <c r="Y78" s="115">
        <f t="shared" ca="1" si="21"/>
        <v>375</v>
      </c>
      <c r="Z78" s="118">
        <f t="shared" ca="1" si="22"/>
        <v>-2.7397260273972712E-2</v>
      </c>
      <c r="AA78" s="116"/>
      <c r="AB78" s="117">
        <f t="shared" si="23"/>
        <v>22.399531383373002</v>
      </c>
      <c r="AC78" s="118">
        <f t="shared" si="24"/>
        <v>1.6647140973875096E-2</v>
      </c>
      <c r="AE78" s="55"/>
      <c r="AF78" s="72"/>
      <c r="AG78" s="72"/>
      <c r="AH78" s="66"/>
      <c r="AJ78" t="s">
        <v>435</v>
      </c>
    </row>
    <row r="79" spans="1:36" ht="16" hidden="1" thickBot="1" x14ac:dyDescent="0.25">
      <c r="A79" s="119" t="s">
        <v>189</v>
      </c>
      <c r="B79" s="120" t="s">
        <v>1258</v>
      </c>
      <c r="C79" s="108" t="str">
        <f t="shared" si="25"/>
        <v>/Applications/Stellarium.app/Contents/Resources/nebulae/default/m102.png</v>
      </c>
      <c r="D79" s="121" t="s">
        <v>1511</v>
      </c>
      <c r="E79" s="109"/>
      <c r="F79" s="122">
        <v>15</v>
      </c>
      <c r="G79" s="123">
        <v>7</v>
      </c>
      <c r="H79" s="122">
        <v>55</v>
      </c>
      <c r="I79" s="124">
        <v>38</v>
      </c>
      <c r="J79" s="112" t="s">
        <v>781</v>
      </c>
      <c r="K79" s="125">
        <v>13.4</v>
      </c>
      <c r="L79" s="196"/>
      <c r="M79" s="110">
        <f t="shared" si="26"/>
        <v>55.633333333333333</v>
      </c>
      <c r="N79" s="111">
        <f t="shared" si="27"/>
        <v>93.413333333333327</v>
      </c>
      <c r="O79" s="112">
        <f t="shared" si="28"/>
        <v>15.116666666666667</v>
      </c>
      <c r="P79" s="113">
        <f t="shared" ca="1" si="29"/>
        <v>46139.335808000003</v>
      </c>
      <c r="Q79" s="114">
        <f t="shared" ca="1" si="30"/>
        <v>46154.335808000003</v>
      </c>
      <c r="R79" s="114" t="b">
        <f t="shared" ca="1" si="17"/>
        <v>1</v>
      </c>
      <c r="S79" s="115">
        <f t="shared" ca="1" si="18"/>
        <v>15</v>
      </c>
      <c r="T79" s="126">
        <f t="shared" ca="1" si="19"/>
        <v>46169.335808000003</v>
      </c>
      <c r="U79" s="127" t="str">
        <f t="shared" si="16"/>
        <v>N</v>
      </c>
      <c r="V79" s="128">
        <f t="shared" si="31"/>
        <v>86.586666666666673</v>
      </c>
      <c r="W79" s="129">
        <f t="shared" si="20"/>
        <v>86.586666666666673</v>
      </c>
      <c r="X79" s="197"/>
      <c r="Y79" s="115">
        <f t="shared" ca="1" si="21"/>
        <v>375</v>
      </c>
      <c r="Z79" s="118">
        <f t="shared" ca="1" si="22"/>
        <v>-2.7397260273972712E-2</v>
      </c>
      <c r="AA79" s="116"/>
      <c r="AB79" s="117">
        <f t="shared" si="23"/>
        <v>22.416152542811833</v>
      </c>
      <c r="AC79" s="118">
        <f t="shared" si="24"/>
        <v>1.7339689283826381E-2</v>
      </c>
      <c r="AE79" s="55"/>
      <c r="AF79" s="72"/>
      <c r="AG79" s="72"/>
      <c r="AH79" s="66"/>
      <c r="AJ79" t="s">
        <v>189</v>
      </c>
    </row>
    <row r="80" spans="1:36" ht="16" hidden="1" thickBot="1" x14ac:dyDescent="0.25">
      <c r="A80" s="119" t="s">
        <v>437</v>
      </c>
      <c r="B80" s="120" t="s">
        <v>1302</v>
      </c>
      <c r="C80" s="108" t="str">
        <f t="shared" si="25"/>
        <v>/Applications/Stellarium.app/Contents/Resources/nebulae/default/n5850.png</v>
      </c>
      <c r="D80" s="121" t="s">
        <v>1512</v>
      </c>
      <c r="E80" s="109"/>
      <c r="F80" s="122">
        <v>15</v>
      </c>
      <c r="G80" s="123">
        <v>7</v>
      </c>
      <c r="H80" s="122">
        <v>1</v>
      </c>
      <c r="I80" s="124">
        <v>27</v>
      </c>
      <c r="J80" s="112" t="s">
        <v>1000</v>
      </c>
      <c r="K80" s="125">
        <v>12.5</v>
      </c>
      <c r="L80" s="196"/>
      <c r="M80" s="110">
        <f t="shared" si="26"/>
        <v>1.45</v>
      </c>
      <c r="N80" s="111">
        <f t="shared" si="27"/>
        <v>39.230000000000004</v>
      </c>
      <c r="O80" s="112">
        <f t="shared" si="28"/>
        <v>15.116666666666667</v>
      </c>
      <c r="P80" s="113">
        <f t="shared" ca="1" si="29"/>
        <v>46139.335808000003</v>
      </c>
      <c r="Q80" s="114">
        <f t="shared" ca="1" si="30"/>
        <v>46154.335808000003</v>
      </c>
      <c r="R80" s="114" t="b">
        <f t="shared" ca="1" si="17"/>
        <v>1</v>
      </c>
      <c r="S80" s="115">
        <f t="shared" ca="1" si="18"/>
        <v>15</v>
      </c>
      <c r="T80" s="126">
        <f t="shared" ca="1" si="19"/>
        <v>46169.335808000003</v>
      </c>
      <c r="U80" s="127" t="str">
        <f t="shared" si="16"/>
        <v>S</v>
      </c>
      <c r="V80" s="128">
        <f t="shared" si="31"/>
        <v>39.230000000000004</v>
      </c>
      <c r="W80" s="129">
        <f t="shared" si="20"/>
        <v>39.230000000000004</v>
      </c>
      <c r="X80" s="197"/>
      <c r="Y80" s="115">
        <f t="shared" ca="1" si="21"/>
        <v>375</v>
      </c>
      <c r="Z80" s="118">
        <f t="shared" ca="1" si="22"/>
        <v>-2.7397260273972712E-2</v>
      </c>
      <c r="AA80" s="116"/>
      <c r="AB80" s="117">
        <f t="shared" si="23"/>
        <v>22.416152542811833</v>
      </c>
      <c r="AC80" s="118">
        <f t="shared" si="24"/>
        <v>1.7339689283826381E-2</v>
      </c>
      <c r="AE80" s="55"/>
      <c r="AF80" s="72"/>
      <c r="AG80" s="72"/>
      <c r="AH80" s="66"/>
      <c r="AJ80" t="s">
        <v>437</v>
      </c>
    </row>
    <row r="81" spans="1:36" ht="16" thickBot="1" x14ac:dyDescent="0.25">
      <c r="A81" s="119" t="s">
        <v>670</v>
      </c>
      <c r="B81" s="120" t="s">
        <v>2086</v>
      </c>
      <c r="C81" s="108" t="str">
        <f t="shared" si="25"/>
        <v>/Applications/Stellarium.app/Contents/Resources/nebulae/default/u9749.png</v>
      </c>
      <c r="D81" s="121" t="s">
        <v>1513</v>
      </c>
      <c r="E81" s="109"/>
      <c r="F81" s="122">
        <v>15</v>
      </c>
      <c r="G81" s="123">
        <v>12</v>
      </c>
      <c r="H81" s="122">
        <v>66</v>
      </c>
      <c r="I81" s="124">
        <v>55</v>
      </c>
      <c r="J81" s="112" t="s">
        <v>1152</v>
      </c>
      <c r="K81" s="125">
        <v>15</v>
      </c>
      <c r="L81" s="196"/>
      <c r="M81" s="110">
        <f t="shared" si="26"/>
        <v>66.916666666666671</v>
      </c>
      <c r="N81" s="111">
        <f t="shared" si="27"/>
        <v>104.69666666666667</v>
      </c>
      <c r="O81" s="112">
        <f t="shared" si="28"/>
        <v>15.2</v>
      </c>
      <c r="P81" s="113">
        <f t="shared" ca="1" si="29"/>
        <v>46140.604008000002</v>
      </c>
      <c r="Q81" s="114">
        <f t="shared" ca="1" si="30"/>
        <v>46155.604008000002</v>
      </c>
      <c r="R81" s="114" t="b">
        <f t="shared" ca="1" si="17"/>
        <v>1</v>
      </c>
      <c r="S81" s="115">
        <f t="shared" ca="1" si="18"/>
        <v>15</v>
      </c>
      <c r="T81" s="126">
        <f t="shared" ca="1" si="19"/>
        <v>46170.604008000002</v>
      </c>
      <c r="U81" s="127" t="str">
        <f t="shared" si="16"/>
        <v>N</v>
      </c>
      <c r="V81" s="128">
        <f t="shared" si="31"/>
        <v>75.303333333333327</v>
      </c>
      <c r="W81" s="129">
        <f t="shared" si="20"/>
        <v>75.303333333333327</v>
      </c>
      <c r="X81" s="197"/>
      <c r="Y81" s="115">
        <f t="shared" ca="1" si="21"/>
        <v>373</v>
      </c>
      <c r="Z81" s="118">
        <f t="shared" ca="1" si="22"/>
        <v>-2.1917808219177992E-2</v>
      </c>
      <c r="AA81" s="116"/>
      <c r="AB81" s="117">
        <f t="shared" si="23"/>
        <v>22.499258340005987</v>
      </c>
      <c r="AC81" s="118">
        <f t="shared" si="24"/>
        <v>2.0802430833582797E-2</v>
      </c>
      <c r="AE81" s="55"/>
      <c r="AF81" s="72"/>
      <c r="AG81" s="72"/>
      <c r="AH81" s="66"/>
      <c r="AJ81" t="s">
        <v>670</v>
      </c>
    </row>
    <row r="82" spans="1:36" ht="16" hidden="1" thickBot="1" x14ac:dyDescent="0.25">
      <c r="A82" s="119" t="s">
        <v>653</v>
      </c>
      <c r="B82" s="120" t="s">
        <v>1411</v>
      </c>
      <c r="C82" s="108" t="str">
        <f t="shared" si="25"/>
        <v>/Applications/Stellarium.app/Contents/Resources/nebulae/default/rcw89.png</v>
      </c>
      <c r="D82" s="121" t="s">
        <v>1514</v>
      </c>
      <c r="E82" s="109"/>
      <c r="F82" s="122">
        <v>15</v>
      </c>
      <c r="G82" s="123">
        <v>14</v>
      </c>
      <c r="H82" s="122">
        <v>-60</v>
      </c>
      <c r="I82" s="124">
        <v>47</v>
      </c>
      <c r="J82" s="112" t="s">
        <v>1145</v>
      </c>
      <c r="K82" s="125">
        <v>13.9</v>
      </c>
      <c r="L82" s="196"/>
      <c r="M82" s="110">
        <f t="shared" si="26"/>
        <v>-59.216666666666669</v>
      </c>
      <c r="N82" s="111">
        <f t="shared" si="27"/>
        <v>-21.436666666666667</v>
      </c>
      <c r="O82" s="112">
        <f t="shared" si="28"/>
        <v>15.233333333333333</v>
      </c>
      <c r="P82" s="113">
        <f t="shared" ca="1" si="29"/>
        <v>46141.111288</v>
      </c>
      <c r="Q82" s="114">
        <f t="shared" ca="1" si="30"/>
        <v>46156.111288</v>
      </c>
      <c r="R82" s="114" t="b">
        <f t="shared" ca="1" si="17"/>
        <v>1</v>
      </c>
      <c r="S82" s="115">
        <f t="shared" ca="1" si="18"/>
        <v>15</v>
      </c>
      <c r="T82" s="126">
        <f t="shared" ca="1" si="19"/>
        <v>46171.111288</v>
      </c>
      <c r="U82" s="127" t="str">
        <f t="shared" si="16"/>
        <v>S</v>
      </c>
      <c r="V82" s="128">
        <f t="shared" si="31"/>
        <v>-21.436666666666667</v>
      </c>
      <c r="W82" s="129">
        <f t="shared" si="20"/>
        <v>-21.436666666666667</v>
      </c>
      <c r="X82" s="197"/>
      <c r="Y82" s="115">
        <f t="shared" ca="1" si="21"/>
        <v>373</v>
      </c>
      <c r="Z82" s="118">
        <f t="shared" ca="1" si="22"/>
        <v>-2.1917808219177992E-2</v>
      </c>
      <c r="AA82" s="116"/>
      <c r="AB82" s="117">
        <f t="shared" si="23"/>
        <v>22.532500658883652</v>
      </c>
      <c r="AC82" s="118">
        <f t="shared" si="24"/>
        <v>2.2187527453485512E-2</v>
      </c>
      <c r="AE82" s="55"/>
      <c r="AF82" s="72"/>
      <c r="AG82" s="72"/>
      <c r="AH82" s="66"/>
      <c r="AJ82" t="s">
        <v>653</v>
      </c>
    </row>
    <row r="83" spans="1:36" ht="16" hidden="1" thickBot="1" x14ac:dyDescent="0.25">
      <c r="A83" s="119" t="s">
        <v>684</v>
      </c>
      <c r="B83" s="120" t="s">
        <v>1302</v>
      </c>
      <c r="C83" s="108" t="str">
        <f t="shared" si="25"/>
        <v>/Applications/Stellarium.app/Contents/Resources/nebulae/default/p54392-sdss2.png</v>
      </c>
      <c r="D83" s="121" t="s">
        <v>1515</v>
      </c>
      <c r="E83" s="109"/>
      <c r="F83" s="122">
        <v>15</v>
      </c>
      <c r="G83" s="123">
        <v>14</v>
      </c>
      <c r="H83" s="122">
        <v>-47</v>
      </c>
      <c r="I83" s="124">
        <v>3</v>
      </c>
      <c r="J83" s="112" t="s">
        <v>1163</v>
      </c>
      <c r="K83" s="125">
        <v>15</v>
      </c>
      <c r="L83" s="196"/>
      <c r="M83" s="110">
        <f t="shared" si="26"/>
        <v>-46.95</v>
      </c>
      <c r="N83" s="111">
        <f t="shared" si="27"/>
        <v>-9.1700000000000017</v>
      </c>
      <c r="O83" s="112">
        <f t="shared" si="28"/>
        <v>15.233333333333333</v>
      </c>
      <c r="P83" s="113">
        <f t="shared" ca="1" si="29"/>
        <v>46141.111288</v>
      </c>
      <c r="Q83" s="114">
        <f t="shared" ca="1" si="30"/>
        <v>46156.111288</v>
      </c>
      <c r="R83" s="114" t="b">
        <f t="shared" ca="1" si="17"/>
        <v>1</v>
      </c>
      <c r="S83" s="115">
        <f t="shared" ca="1" si="18"/>
        <v>15</v>
      </c>
      <c r="T83" s="126">
        <f t="shared" ca="1" si="19"/>
        <v>46171.111288</v>
      </c>
      <c r="U83" s="127" t="str">
        <f t="shared" si="16"/>
        <v>S</v>
      </c>
      <c r="V83" s="128">
        <f t="shared" si="31"/>
        <v>-9.1700000000000017</v>
      </c>
      <c r="W83" s="129">
        <f t="shared" si="20"/>
        <v>-9.1700000000000017</v>
      </c>
      <c r="X83" s="197"/>
      <c r="Y83" s="115">
        <f t="shared" ca="1" si="21"/>
        <v>373</v>
      </c>
      <c r="Z83" s="118">
        <f t="shared" ca="1" si="22"/>
        <v>-2.1917808219177992E-2</v>
      </c>
      <c r="AA83" s="116"/>
      <c r="AB83" s="117">
        <f t="shared" si="23"/>
        <v>22.532500658883652</v>
      </c>
      <c r="AC83" s="118">
        <f t="shared" si="24"/>
        <v>2.2187527453485512E-2</v>
      </c>
      <c r="AE83" s="55"/>
      <c r="AF83" s="72"/>
      <c r="AG83" s="72"/>
      <c r="AH83" s="66"/>
      <c r="AJ83" t="s">
        <v>684</v>
      </c>
    </row>
    <row r="84" spans="1:36" ht="16" hidden="1" thickBot="1" x14ac:dyDescent="0.25">
      <c r="A84" s="119" t="s">
        <v>438</v>
      </c>
      <c r="B84" s="120" t="s">
        <v>1277</v>
      </c>
      <c r="C84" s="108" t="str">
        <f t="shared" si="25"/>
        <v>/Applications/Stellarium.app/Contents/Resources/nebulae/default/n5882.png</v>
      </c>
      <c r="D84" s="121" t="s">
        <v>1516</v>
      </c>
      <c r="E84" s="109"/>
      <c r="F84" s="122">
        <v>15</v>
      </c>
      <c r="G84" s="123">
        <v>16</v>
      </c>
      <c r="H84" s="122">
        <v>-46</v>
      </c>
      <c r="I84" s="124">
        <v>20</v>
      </c>
      <c r="J84" s="112" t="s">
        <v>1001</v>
      </c>
      <c r="K84" s="125">
        <v>12.5</v>
      </c>
      <c r="L84" s="196"/>
      <c r="M84" s="110">
        <f t="shared" si="26"/>
        <v>-45.666666666666664</v>
      </c>
      <c r="N84" s="111">
        <f t="shared" si="27"/>
        <v>-7.8866666666666632</v>
      </c>
      <c r="O84" s="112">
        <f t="shared" si="28"/>
        <v>15.266666666666667</v>
      </c>
      <c r="P84" s="113">
        <f t="shared" ca="1" si="29"/>
        <v>46141.618567999998</v>
      </c>
      <c r="Q84" s="114">
        <f t="shared" ca="1" si="30"/>
        <v>46156.618567999998</v>
      </c>
      <c r="R84" s="114" t="b">
        <f t="shared" ca="1" si="17"/>
        <v>1</v>
      </c>
      <c r="S84" s="115">
        <f t="shared" ca="1" si="18"/>
        <v>15</v>
      </c>
      <c r="T84" s="126">
        <f t="shared" ca="1" si="19"/>
        <v>46171.618567999998</v>
      </c>
      <c r="U84" s="127" t="str">
        <f t="shared" si="16"/>
        <v>S</v>
      </c>
      <c r="V84" s="128">
        <f t="shared" si="31"/>
        <v>-7.8866666666666632</v>
      </c>
      <c r="W84" s="129">
        <f t="shared" si="20"/>
        <v>-7.8866666666666632</v>
      </c>
      <c r="X84" s="197"/>
      <c r="Y84" s="115">
        <f t="shared" ca="1" si="21"/>
        <v>372</v>
      </c>
      <c r="Z84" s="118">
        <f t="shared" ca="1" si="22"/>
        <v>-1.9178082191780854E-2</v>
      </c>
      <c r="AA84" s="116"/>
      <c r="AB84" s="117">
        <f t="shared" si="23"/>
        <v>22.565742977761314</v>
      </c>
      <c r="AC84" s="118">
        <f t="shared" si="24"/>
        <v>2.3572624073388077E-2</v>
      </c>
      <c r="AE84" s="55"/>
      <c r="AF84" s="72"/>
      <c r="AG84" s="72"/>
      <c r="AH84" s="66"/>
      <c r="AJ84" t="s">
        <v>438</v>
      </c>
    </row>
    <row r="85" spans="1:36" ht="16" hidden="1" thickBot="1" x14ac:dyDescent="0.25">
      <c r="A85" s="119" t="s">
        <v>671</v>
      </c>
      <c r="B85" s="120" t="s">
        <v>2085</v>
      </c>
      <c r="C85" s="108" t="str">
        <f t="shared" si="25"/>
        <v>/Applications/Stellarium.app/Contents/Resources/nebulae/default/u9792.png</v>
      </c>
      <c r="D85" s="121" t="s">
        <v>1517</v>
      </c>
      <c r="E85" s="109"/>
      <c r="F85" s="122">
        <v>15</v>
      </c>
      <c r="G85" s="123">
        <v>16</v>
      </c>
      <c r="H85" s="122">
        <v>-1</v>
      </c>
      <c r="I85" s="124">
        <v>46</v>
      </c>
      <c r="J85" s="112" t="s">
        <v>1153</v>
      </c>
      <c r="K85" s="125">
        <v>15</v>
      </c>
      <c r="L85" s="196"/>
      <c r="M85" s="110">
        <f t="shared" si="26"/>
        <v>-0.23333333333333328</v>
      </c>
      <c r="N85" s="111">
        <f t="shared" si="27"/>
        <v>37.546666666666667</v>
      </c>
      <c r="O85" s="112">
        <f t="shared" si="28"/>
        <v>15.266666666666667</v>
      </c>
      <c r="P85" s="113">
        <f t="shared" ca="1" si="29"/>
        <v>46141.618567999998</v>
      </c>
      <c r="Q85" s="114">
        <f t="shared" ca="1" si="30"/>
        <v>46156.618567999998</v>
      </c>
      <c r="R85" s="114" t="b">
        <f t="shared" ca="1" si="17"/>
        <v>1</v>
      </c>
      <c r="S85" s="115">
        <f t="shared" ca="1" si="18"/>
        <v>15</v>
      </c>
      <c r="T85" s="126">
        <f t="shared" ca="1" si="19"/>
        <v>46171.618567999998</v>
      </c>
      <c r="U85" s="127" t="str">
        <f t="shared" si="16"/>
        <v>S</v>
      </c>
      <c r="V85" s="128">
        <f t="shared" si="31"/>
        <v>37.546666666666667</v>
      </c>
      <c r="W85" s="129">
        <f t="shared" si="20"/>
        <v>37.546666666666667</v>
      </c>
      <c r="X85" s="197"/>
      <c r="Y85" s="115">
        <f t="shared" ca="1" si="21"/>
        <v>372</v>
      </c>
      <c r="Z85" s="118">
        <f t="shared" ca="1" si="22"/>
        <v>-1.9178082191780854E-2</v>
      </c>
      <c r="AA85" s="116"/>
      <c r="AB85" s="117">
        <f t="shared" si="23"/>
        <v>22.565742977761314</v>
      </c>
      <c r="AC85" s="118">
        <f t="shared" si="24"/>
        <v>2.3572624073388077E-2</v>
      </c>
      <c r="AE85" s="55"/>
      <c r="AF85" s="72"/>
      <c r="AG85" s="72"/>
      <c r="AH85" s="66"/>
      <c r="AJ85" t="s">
        <v>671</v>
      </c>
    </row>
    <row r="86" spans="1:36" ht="16" hidden="1" thickBot="1" x14ac:dyDescent="0.25">
      <c r="A86" s="119" t="s">
        <v>440</v>
      </c>
      <c r="B86" s="120" t="s">
        <v>1310</v>
      </c>
      <c r="C86" s="108" t="str">
        <f t="shared" si="25"/>
        <v>/Applications/Stellarium.app/Contents/Resources/nebulae/default/n5906.png</v>
      </c>
      <c r="D86" s="121" t="s">
        <v>1518</v>
      </c>
      <c r="E86" s="109"/>
      <c r="F86" s="122">
        <v>15</v>
      </c>
      <c r="G86" s="123">
        <v>17</v>
      </c>
      <c r="H86" s="122">
        <v>56</v>
      </c>
      <c r="I86" s="124">
        <v>6</v>
      </c>
      <c r="J86" s="112" t="s">
        <v>1002</v>
      </c>
      <c r="K86" s="125">
        <v>13</v>
      </c>
      <c r="L86" s="196"/>
      <c r="M86" s="110">
        <f t="shared" si="26"/>
        <v>56.1</v>
      </c>
      <c r="N86" s="111">
        <f t="shared" si="27"/>
        <v>93.88</v>
      </c>
      <c r="O86" s="112">
        <f t="shared" si="28"/>
        <v>15.283333333333333</v>
      </c>
      <c r="P86" s="113">
        <f t="shared" ca="1" si="29"/>
        <v>46141.872208000001</v>
      </c>
      <c r="Q86" s="114">
        <f t="shared" ca="1" si="30"/>
        <v>46156.872208000001</v>
      </c>
      <c r="R86" s="114" t="b">
        <f t="shared" ca="1" si="17"/>
        <v>1</v>
      </c>
      <c r="S86" s="115">
        <f t="shared" ca="1" si="18"/>
        <v>15</v>
      </c>
      <c r="T86" s="126">
        <f t="shared" ca="1" si="19"/>
        <v>46171.872208000001</v>
      </c>
      <c r="U86" s="127" t="str">
        <f t="shared" si="16"/>
        <v>N</v>
      </c>
      <c r="V86" s="128">
        <f t="shared" si="31"/>
        <v>86.12</v>
      </c>
      <c r="W86" s="129">
        <f t="shared" si="20"/>
        <v>86.12</v>
      </c>
      <c r="X86" s="197"/>
      <c r="Y86" s="115">
        <f t="shared" ca="1" si="21"/>
        <v>372</v>
      </c>
      <c r="Z86" s="118">
        <f t="shared" ca="1" si="22"/>
        <v>-1.9178082191780854E-2</v>
      </c>
      <c r="AA86" s="116"/>
      <c r="AB86" s="117">
        <f t="shared" si="23"/>
        <v>22.582364137200141</v>
      </c>
      <c r="AC86" s="118">
        <f t="shared" si="24"/>
        <v>2.4265172383339213E-2</v>
      </c>
      <c r="AE86" s="55"/>
      <c r="AF86" s="72"/>
      <c r="AG86" s="72"/>
      <c r="AH86" s="66"/>
      <c r="AJ86" t="s">
        <v>440</v>
      </c>
    </row>
    <row r="87" spans="1:36" ht="16" hidden="1" thickBot="1" x14ac:dyDescent="0.25">
      <c r="A87" s="119" t="s">
        <v>439</v>
      </c>
      <c r="B87" s="120" t="s">
        <v>1191</v>
      </c>
      <c r="C87" s="108" t="str">
        <f t="shared" si="25"/>
        <v>/Applications/Stellarium.app/Contents/Resources/nebulae/default/n5897.png</v>
      </c>
      <c r="D87" s="121" t="s">
        <v>1519</v>
      </c>
      <c r="E87" s="109"/>
      <c r="F87" s="122">
        <v>15</v>
      </c>
      <c r="G87" s="123">
        <v>18</v>
      </c>
      <c r="H87" s="122">
        <v>-22</v>
      </c>
      <c r="I87" s="124">
        <v>52</v>
      </c>
      <c r="J87" s="112" t="s">
        <v>986</v>
      </c>
      <c r="K87" s="125">
        <v>13.5</v>
      </c>
      <c r="L87" s="196"/>
      <c r="M87" s="110">
        <f t="shared" si="26"/>
        <v>-21.133333333333333</v>
      </c>
      <c r="N87" s="111">
        <f t="shared" si="27"/>
        <v>16.646666666666668</v>
      </c>
      <c r="O87" s="112">
        <f t="shared" si="28"/>
        <v>15.3</v>
      </c>
      <c r="P87" s="113">
        <f t="shared" ca="1" si="29"/>
        <v>46142.125848000003</v>
      </c>
      <c r="Q87" s="114">
        <f t="shared" ca="1" si="30"/>
        <v>46157.125848000003</v>
      </c>
      <c r="R87" s="114" t="b">
        <f t="shared" ca="1" si="17"/>
        <v>1</v>
      </c>
      <c r="S87" s="115">
        <f t="shared" ca="1" si="18"/>
        <v>15</v>
      </c>
      <c r="T87" s="126">
        <f t="shared" ca="1" si="19"/>
        <v>46172.125848000003</v>
      </c>
      <c r="U87" s="127" t="str">
        <f t="shared" si="16"/>
        <v>S</v>
      </c>
      <c r="V87" s="128">
        <f t="shared" si="31"/>
        <v>16.646666666666668</v>
      </c>
      <c r="W87" s="129">
        <f t="shared" si="20"/>
        <v>16.646666666666668</v>
      </c>
      <c r="X87" s="197"/>
      <c r="Y87" s="115">
        <f t="shared" ca="1" si="21"/>
        <v>372</v>
      </c>
      <c r="Z87" s="118">
        <f t="shared" ca="1" si="22"/>
        <v>-1.9178082191780854E-2</v>
      </c>
      <c r="AA87" s="116"/>
      <c r="AB87" s="117">
        <f t="shared" si="23"/>
        <v>22.598985296638975</v>
      </c>
      <c r="AC87" s="118">
        <f t="shared" si="24"/>
        <v>2.4957720693290646E-2</v>
      </c>
      <c r="AE87" s="55"/>
      <c r="AF87" s="72"/>
      <c r="AG87" s="72"/>
      <c r="AH87" s="66"/>
      <c r="AJ87" t="s">
        <v>439</v>
      </c>
    </row>
    <row r="88" spans="1:36" ht="16" hidden="1" thickBot="1" x14ac:dyDescent="0.25">
      <c r="A88" s="119" t="s">
        <v>97</v>
      </c>
      <c r="B88" s="120" t="s">
        <v>1193</v>
      </c>
      <c r="C88" s="108" t="str">
        <f t="shared" si="25"/>
        <v>/Applications/Stellarium.app/Contents/Resources/nebulae/default/m5.png</v>
      </c>
      <c r="D88" s="121" t="s">
        <v>1520</v>
      </c>
      <c r="E88" s="109"/>
      <c r="F88" s="122">
        <v>15</v>
      </c>
      <c r="G88" s="123">
        <v>19</v>
      </c>
      <c r="H88" s="122">
        <v>1</v>
      </c>
      <c r="I88" s="124">
        <v>49</v>
      </c>
      <c r="J88" s="112" t="s">
        <v>722</v>
      </c>
      <c r="K88" s="125">
        <v>13.8</v>
      </c>
      <c r="L88" s="196"/>
      <c r="M88" s="110">
        <f t="shared" si="26"/>
        <v>1.8166666666666667</v>
      </c>
      <c r="N88" s="111">
        <f t="shared" si="27"/>
        <v>39.596666666666671</v>
      </c>
      <c r="O88" s="112">
        <f t="shared" si="28"/>
        <v>15.316666666666666</v>
      </c>
      <c r="P88" s="113">
        <f t="shared" ca="1" si="29"/>
        <v>46142.379487999999</v>
      </c>
      <c r="Q88" s="114">
        <f t="shared" ca="1" si="30"/>
        <v>46157.379487999999</v>
      </c>
      <c r="R88" s="114" t="b">
        <f t="shared" ca="1" si="17"/>
        <v>1</v>
      </c>
      <c r="S88" s="115">
        <f t="shared" ca="1" si="18"/>
        <v>15</v>
      </c>
      <c r="T88" s="126">
        <f t="shared" ca="1" si="19"/>
        <v>46172.379487999999</v>
      </c>
      <c r="U88" s="127" t="str">
        <f t="shared" si="16"/>
        <v>S</v>
      </c>
      <c r="V88" s="128">
        <f t="shared" si="31"/>
        <v>39.596666666666671</v>
      </c>
      <c r="W88" s="129">
        <f t="shared" si="20"/>
        <v>39.596666666666671</v>
      </c>
      <c r="X88" s="197"/>
      <c r="Y88" s="115">
        <f t="shared" ca="1" si="21"/>
        <v>372</v>
      </c>
      <c r="Z88" s="118">
        <f t="shared" ca="1" si="22"/>
        <v>-1.9178082191780854E-2</v>
      </c>
      <c r="AA88" s="116"/>
      <c r="AB88" s="117">
        <f t="shared" si="23"/>
        <v>22.615606456077806</v>
      </c>
      <c r="AC88" s="118">
        <f t="shared" si="24"/>
        <v>2.5650269003241927E-2</v>
      </c>
      <c r="AE88" s="55"/>
      <c r="AF88" s="72"/>
      <c r="AG88" s="72"/>
      <c r="AH88" s="66"/>
      <c r="AJ88" t="s">
        <v>97</v>
      </c>
    </row>
    <row r="89" spans="1:36" ht="16" hidden="1" thickBot="1" x14ac:dyDescent="0.25">
      <c r="A89" s="119" t="s">
        <v>441</v>
      </c>
      <c r="B89" s="120" t="s">
        <v>1191</v>
      </c>
      <c r="C89" s="108" t="str">
        <f t="shared" si="25"/>
        <v>/Applications/Stellarium.app/Contents/Resources/nebulae/default/n5927-dss.png</v>
      </c>
      <c r="D89" s="121" t="s">
        <v>1521</v>
      </c>
      <c r="E89" s="109"/>
      <c r="F89" s="122">
        <v>15</v>
      </c>
      <c r="G89" s="123">
        <v>28</v>
      </c>
      <c r="H89" s="122">
        <v>-51</v>
      </c>
      <c r="I89" s="124">
        <v>14</v>
      </c>
      <c r="J89" s="112" t="s">
        <v>852</v>
      </c>
      <c r="K89" s="125">
        <v>13.2</v>
      </c>
      <c r="L89" s="196"/>
      <c r="M89" s="110">
        <f t="shared" si="26"/>
        <v>-50.766666666666666</v>
      </c>
      <c r="N89" s="111">
        <f t="shared" si="27"/>
        <v>-12.986666666666665</v>
      </c>
      <c r="O89" s="112">
        <f t="shared" si="28"/>
        <v>15.466666666666667</v>
      </c>
      <c r="P89" s="113">
        <f t="shared" ca="1" si="29"/>
        <v>46144.662248000001</v>
      </c>
      <c r="Q89" s="114">
        <f t="shared" ca="1" si="30"/>
        <v>46159.662248000001</v>
      </c>
      <c r="R89" s="114" t="b">
        <f t="shared" ca="1" si="17"/>
        <v>1</v>
      </c>
      <c r="S89" s="115">
        <f t="shared" ca="1" si="18"/>
        <v>15</v>
      </c>
      <c r="T89" s="126">
        <f t="shared" ca="1" si="19"/>
        <v>46174.662248000001</v>
      </c>
      <c r="U89" s="127" t="str">
        <f t="shared" si="16"/>
        <v>S</v>
      </c>
      <c r="V89" s="128">
        <f t="shared" si="31"/>
        <v>-12.986666666666665</v>
      </c>
      <c r="W89" s="129">
        <f t="shared" si="20"/>
        <v>-12.986666666666665</v>
      </c>
      <c r="X89" s="197"/>
      <c r="Y89" s="115">
        <f t="shared" ca="1" si="21"/>
        <v>369</v>
      </c>
      <c r="Z89" s="118">
        <f t="shared" ca="1" si="22"/>
        <v>-1.0958904109588996E-2</v>
      </c>
      <c r="AA89" s="116"/>
      <c r="AB89" s="117">
        <f t="shared" si="23"/>
        <v>22.765196891027291</v>
      </c>
      <c r="AC89" s="118">
        <f t="shared" si="24"/>
        <v>3.1883203792803773E-2</v>
      </c>
      <c r="AE89" s="55"/>
      <c r="AF89" s="72"/>
      <c r="AG89" s="72"/>
      <c r="AH89" s="66"/>
      <c r="AJ89" t="s">
        <v>441</v>
      </c>
    </row>
    <row r="90" spans="1:36" ht="16" hidden="1" thickBot="1" x14ac:dyDescent="0.25">
      <c r="A90" s="119" t="s">
        <v>442</v>
      </c>
      <c r="B90" s="120" t="s">
        <v>1191</v>
      </c>
      <c r="C90" s="108" t="str">
        <f t="shared" si="25"/>
        <v>/Applications/Stellarium.app/Contents/Resources/nebulae/default/n5946.png</v>
      </c>
      <c r="D90" s="121" t="s">
        <v>1522</v>
      </c>
      <c r="E90" s="109"/>
      <c r="F90" s="122">
        <v>15</v>
      </c>
      <c r="G90" s="123">
        <v>35</v>
      </c>
      <c r="H90" s="122">
        <v>-51</v>
      </c>
      <c r="I90" s="124">
        <v>17</v>
      </c>
      <c r="J90" s="112" t="s">
        <v>863</v>
      </c>
      <c r="K90" s="125">
        <v>13.2</v>
      </c>
      <c r="L90" s="196"/>
      <c r="M90" s="110">
        <f t="shared" si="26"/>
        <v>-50.716666666666669</v>
      </c>
      <c r="N90" s="111">
        <f t="shared" si="27"/>
        <v>-12.936666666666667</v>
      </c>
      <c r="O90" s="112">
        <f t="shared" si="28"/>
        <v>15.583333333333334</v>
      </c>
      <c r="P90" s="113">
        <f t="shared" ca="1" si="29"/>
        <v>46146.437727999997</v>
      </c>
      <c r="Q90" s="114">
        <f t="shared" ca="1" si="30"/>
        <v>46161.437727999997</v>
      </c>
      <c r="R90" s="114" t="b">
        <f t="shared" ca="1" si="17"/>
        <v>1</v>
      </c>
      <c r="S90" s="115">
        <f t="shared" ca="1" si="18"/>
        <v>15</v>
      </c>
      <c r="T90" s="126">
        <f t="shared" ca="1" si="19"/>
        <v>46176.437727999997</v>
      </c>
      <c r="U90" s="127" t="str">
        <f t="shared" si="16"/>
        <v>S</v>
      </c>
      <c r="V90" s="128">
        <f t="shared" si="31"/>
        <v>-12.936666666666667</v>
      </c>
      <c r="W90" s="129">
        <f t="shared" si="20"/>
        <v>-12.936666666666667</v>
      </c>
      <c r="X90" s="197"/>
      <c r="Y90" s="115">
        <f t="shared" ca="1" si="21"/>
        <v>368</v>
      </c>
      <c r="Z90" s="118">
        <f t="shared" ca="1" si="22"/>
        <v>-8.2191780821918581E-3</v>
      </c>
      <c r="AA90" s="116"/>
      <c r="AB90" s="117">
        <f t="shared" si="23"/>
        <v>22.88154500709911</v>
      </c>
      <c r="AC90" s="118">
        <f t="shared" si="24"/>
        <v>3.6731041962462907E-2</v>
      </c>
      <c r="AE90" s="55"/>
      <c r="AF90" s="72"/>
      <c r="AG90" s="72"/>
      <c r="AH90" s="66"/>
      <c r="AJ90" t="s">
        <v>442</v>
      </c>
    </row>
    <row r="91" spans="1:36" ht="16" hidden="1" thickBot="1" x14ac:dyDescent="0.25">
      <c r="A91" s="119" t="s">
        <v>443</v>
      </c>
      <c r="B91" s="120" t="s">
        <v>1303</v>
      </c>
      <c r="C91" s="108" t="str">
        <f t="shared" si="25"/>
        <v>/Applications/Stellarium.app/Contents/Resources/nebulae/default/n5982oleg.png</v>
      </c>
      <c r="D91" s="121" t="s">
        <v>1523</v>
      </c>
      <c r="E91" s="109"/>
      <c r="F91" s="122">
        <v>15</v>
      </c>
      <c r="G91" s="123">
        <v>40</v>
      </c>
      <c r="H91" s="122">
        <v>59</v>
      </c>
      <c r="I91" s="124">
        <v>7</v>
      </c>
      <c r="J91" s="112" t="s">
        <v>1003</v>
      </c>
      <c r="K91" s="125">
        <v>13</v>
      </c>
      <c r="L91" s="196"/>
      <c r="M91" s="110">
        <f t="shared" si="26"/>
        <v>59.116666666666667</v>
      </c>
      <c r="N91" s="111">
        <f t="shared" si="27"/>
        <v>96.896666666666675</v>
      </c>
      <c r="O91" s="112">
        <f t="shared" si="28"/>
        <v>15.666666666666666</v>
      </c>
      <c r="P91" s="113">
        <f t="shared" ca="1" si="29"/>
        <v>46147.705928000003</v>
      </c>
      <c r="Q91" s="114">
        <f t="shared" ca="1" si="30"/>
        <v>46162.705928000003</v>
      </c>
      <c r="R91" s="114" t="b">
        <f t="shared" ca="1" si="17"/>
        <v>1</v>
      </c>
      <c r="S91" s="115">
        <f t="shared" ca="1" si="18"/>
        <v>15</v>
      </c>
      <c r="T91" s="126">
        <f t="shared" ca="1" si="19"/>
        <v>46177.705928000003</v>
      </c>
      <c r="U91" s="127" t="str">
        <f t="shared" si="16"/>
        <v>N</v>
      </c>
      <c r="V91" s="128">
        <f t="shared" si="31"/>
        <v>83.103333333333325</v>
      </c>
      <c r="W91" s="129">
        <f t="shared" si="20"/>
        <v>83.103333333333325</v>
      </c>
      <c r="X91" s="197"/>
      <c r="Y91" s="115">
        <f t="shared" ca="1" si="21"/>
        <v>366</v>
      </c>
      <c r="Z91" s="118">
        <f t="shared" ca="1" si="22"/>
        <v>-2.73972602739736E-3</v>
      </c>
      <c r="AA91" s="116"/>
      <c r="AB91" s="117">
        <f t="shared" si="23"/>
        <v>22.96465080429326</v>
      </c>
      <c r="AC91" s="118">
        <f t="shared" si="24"/>
        <v>4.0193783512219174E-2</v>
      </c>
      <c r="AE91" s="55"/>
      <c r="AF91" s="72"/>
      <c r="AG91" s="72"/>
      <c r="AH91" s="66"/>
      <c r="AJ91" t="s">
        <v>443</v>
      </c>
    </row>
    <row r="92" spans="1:36" ht="16" hidden="1" thickBot="1" x14ac:dyDescent="0.25">
      <c r="A92" s="119" t="s">
        <v>444</v>
      </c>
      <c r="B92" s="120" t="s">
        <v>1191</v>
      </c>
      <c r="C92" s="108" t="str">
        <f t="shared" si="25"/>
        <v>/Applications/Stellarium.app/Contents/Resources/nebulae/default/n5986-dss.png</v>
      </c>
      <c r="D92" s="121" t="s">
        <v>1524</v>
      </c>
      <c r="E92" s="109"/>
      <c r="F92" s="122">
        <v>15</v>
      </c>
      <c r="G92" s="123">
        <v>46</v>
      </c>
      <c r="H92" s="122">
        <v>-38</v>
      </c>
      <c r="I92" s="124">
        <v>7</v>
      </c>
      <c r="J92" s="112" t="s">
        <v>1004</v>
      </c>
      <c r="K92" s="125">
        <v>13.5</v>
      </c>
      <c r="L92" s="196"/>
      <c r="M92" s="110">
        <f t="shared" si="26"/>
        <v>-37.883333333333333</v>
      </c>
      <c r="N92" s="111">
        <f t="shared" si="27"/>
        <v>-0.10333333333333172</v>
      </c>
      <c r="O92" s="112">
        <f t="shared" si="28"/>
        <v>15.766666666666667</v>
      </c>
      <c r="P92" s="113">
        <f t="shared" ca="1" si="29"/>
        <v>46149.227767999997</v>
      </c>
      <c r="Q92" s="114">
        <f t="shared" ca="1" si="30"/>
        <v>46164.227767999997</v>
      </c>
      <c r="R92" s="114" t="b">
        <f t="shared" ca="1" si="17"/>
        <v>1</v>
      </c>
      <c r="S92" s="115">
        <f t="shared" ca="1" si="18"/>
        <v>15</v>
      </c>
      <c r="T92" s="126">
        <f t="shared" ca="1" si="19"/>
        <v>46179.227767999997</v>
      </c>
      <c r="U92" s="127" t="str">
        <f t="shared" si="16"/>
        <v>S</v>
      </c>
      <c r="V92" s="128">
        <f t="shared" si="31"/>
        <v>-0.10333333333333172</v>
      </c>
      <c r="W92" s="129">
        <f t="shared" si="20"/>
        <v>-0.10333333333333172</v>
      </c>
      <c r="X92" s="197"/>
      <c r="Y92" s="115">
        <f t="shared" ca="1" si="21"/>
        <v>365</v>
      </c>
      <c r="Z92" s="118">
        <f t="shared" ca="1" si="22"/>
        <v>0</v>
      </c>
      <c r="AA92" s="116"/>
      <c r="AB92" s="117">
        <f t="shared" si="23"/>
        <v>23.064377760926249</v>
      </c>
      <c r="AC92" s="118">
        <f t="shared" si="24"/>
        <v>4.4349073371927027E-2</v>
      </c>
      <c r="AE92" s="55"/>
      <c r="AF92" s="72"/>
      <c r="AG92" s="72"/>
      <c r="AH92" s="66"/>
      <c r="AJ92" t="s">
        <v>444</v>
      </c>
    </row>
    <row r="93" spans="1:36" ht="16" hidden="1" thickBot="1" x14ac:dyDescent="0.25">
      <c r="A93" s="119" t="s">
        <v>655</v>
      </c>
      <c r="B93" s="120" t="s">
        <v>1411</v>
      </c>
      <c r="C93" s="108" t="str">
        <f t="shared" si="25"/>
        <v>/Applications/Stellarium.app/Contents/Resources/nebulae/default/rcw100.png</v>
      </c>
      <c r="D93" s="121" t="s">
        <v>1525</v>
      </c>
      <c r="E93" s="109"/>
      <c r="F93" s="122">
        <v>15</v>
      </c>
      <c r="G93" s="123">
        <v>51</v>
      </c>
      <c r="H93" s="122">
        <v>-52</v>
      </c>
      <c r="I93" s="124">
        <v>26</v>
      </c>
      <c r="J93" s="112" t="s">
        <v>835</v>
      </c>
      <c r="K93" s="125">
        <v>13.9</v>
      </c>
      <c r="L93" s="196"/>
      <c r="M93" s="110">
        <f t="shared" si="26"/>
        <v>-51.56666666666667</v>
      </c>
      <c r="N93" s="111">
        <f t="shared" si="27"/>
        <v>-13.786666666666669</v>
      </c>
      <c r="O93" s="112">
        <f t="shared" si="28"/>
        <v>15.85</v>
      </c>
      <c r="P93" s="113">
        <f t="shared" ca="1" si="29"/>
        <v>46150.495968000003</v>
      </c>
      <c r="Q93" s="114">
        <f t="shared" ca="1" si="30"/>
        <v>46165.495968000003</v>
      </c>
      <c r="R93" s="114" t="b">
        <f t="shared" ca="1" si="17"/>
        <v>1</v>
      </c>
      <c r="S93" s="115">
        <f t="shared" ca="1" si="18"/>
        <v>15</v>
      </c>
      <c r="T93" s="126">
        <f t="shared" ca="1" si="19"/>
        <v>46180.495968000003</v>
      </c>
      <c r="U93" s="127" t="str">
        <f t="shared" si="16"/>
        <v>S</v>
      </c>
      <c r="V93" s="128">
        <f t="shared" si="31"/>
        <v>-13.786666666666669</v>
      </c>
      <c r="W93" s="129">
        <f t="shared" si="20"/>
        <v>-13.786666666666669</v>
      </c>
      <c r="X93" s="197"/>
      <c r="Y93" s="115">
        <f t="shared" ca="1" si="21"/>
        <v>364</v>
      </c>
      <c r="Z93" s="118">
        <f t="shared" ca="1" si="22"/>
        <v>2.739726027397249E-3</v>
      </c>
      <c r="AA93" s="116"/>
      <c r="AB93" s="117">
        <f t="shared" si="23"/>
        <v>23.14748355812041</v>
      </c>
      <c r="AC93" s="118">
        <f t="shared" si="24"/>
        <v>4.7811814921683737E-2</v>
      </c>
      <c r="AE93" s="55"/>
      <c r="AF93" s="72"/>
      <c r="AG93" s="72"/>
      <c r="AH93" s="66"/>
      <c r="AJ93" t="s">
        <v>655</v>
      </c>
    </row>
    <row r="94" spans="1:36" ht="16" hidden="1" thickBot="1" x14ac:dyDescent="0.25">
      <c r="A94" s="119" t="s">
        <v>654</v>
      </c>
      <c r="B94" s="120" t="s">
        <v>1411</v>
      </c>
      <c r="C94" s="108" t="str">
        <f t="shared" si="25"/>
        <v>/Applications/Stellarium.app/Contents/Resources/nebulae/default/rcw98.png</v>
      </c>
      <c r="D94" s="121" t="s">
        <v>1526</v>
      </c>
      <c r="E94" s="109"/>
      <c r="F94" s="122">
        <v>15</v>
      </c>
      <c r="G94" s="123">
        <v>56</v>
      </c>
      <c r="H94" s="122">
        <v>-55</v>
      </c>
      <c r="I94" s="124">
        <v>15</v>
      </c>
      <c r="J94" s="112" t="s">
        <v>760</v>
      </c>
      <c r="K94" s="125">
        <v>13.9</v>
      </c>
      <c r="L94" s="196"/>
      <c r="M94" s="110">
        <f t="shared" si="26"/>
        <v>-54.75</v>
      </c>
      <c r="N94" s="111">
        <f t="shared" si="27"/>
        <v>-16.97</v>
      </c>
      <c r="O94" s="112">
        <f t="shared" si="28"/>
        <v>15.933333333333334</v>
      </c>
      <c r="P94" s="113">
        <f t="shared" ca="1" si="29"/>
        <v>46151.764168000002</v>
      </c>
      <c r="Q94" s="114">
        <f t="shared" ca="1" si="30"/>
        <v>46166.764168000002</v>
      </c>
      <c r="R94" s="114" t="b">
        <f t="shared" ca="1" si="17"/>
        <v>1</v>
      </c>
      <c r="S94" s="115">
        <f t="shared" ca="1" si="18"/>
        <v>15</v>
      </c>
      <c r="T94" s="126">
        <f t="shared" ca="1" si="19"/>
        <v>46181.764168000002</v>
      </c>
      <c r="U94" s="127" t="str">
        <f t="shared" si="16"/>
        <v>S</v>
      </c>
      <c r="V94" s="128">
        <f t="shared" si="31"/>
        <v>-16.97</v>
      </c>
      <c r="W94" s="129">
        <f t="shared" si="20"/>
        <v>-16.97</v>
      </c>
      <c r="X94" s="197"/>
      <c r="Y94" s="115">
        <f t="shared" ca="1" si="21"/>
        <v>362</v>
      </c>
      <c r="Z94" s="118">
        <f t="shared" ca="1" si="22"/>
        <v>8.2191780821917471E-3</v>
      </c>
      <c r="AA94" s="116"/>
      <c r="AB94" s="117">
        <f t="shared" si="23"/>
        <v>23.230589355314564</v>
      </c>
      <c r="AC94" s="118">
        <f t="shared" si="24"/>
        <v>5.1274556471440157E-2</v>
      </c>
      <c r="AE94" s="55"/>
      <c r="AF94" s="72"/>
      <c r="AG94" s="72"/>
      <c r="AH94" s="66"/>
      <c r="AJ94" t="s">
        <v>654</v>
      </c>
    </row>
    <row r="95" spans="1:36" ht="16" hidden="1" thickBot="1" x14ac:dyDescent="0.25">
      <c r="A95" s="119" t="s">
        <v>446</v>
      </c>
      <c r="B95" s="120" t="s">
        <v>1311</v>
      </c>
      <c r="C95" s="108" t="str">
        <f t="shared" si="25"/>
        <v>/Applications/Stellarium.app/Contents/Resources/nebulae/default/n6027.png</v>
      </c>
      <c r="D95" s="121" t="s">
        <v>1527</v>
      </c>
      <c r="E95" s="109"/>
      <c r="F95" s="122">
        <v>15</v>
      </c>
      <c r="G95" s="123">
        <v>59</v>
      </c>
      <c r="H95" s="122">
        <v>20</v>
      </c>
      <c r="I95" s="124">
        <v>44</v>
      </c>
      <c r="J95" s="112" t="s">
        <v>1005</v>
      </c>
      <c r="K95" s="125">
        <v>14.4</v>
      </c>
      <c r="L95" s="196"/>
      <c r="M95" s="110">
        <f t="shared" si="26"/>
        <v>20.733333333333334</v>
      </c>
      <c r="N95" s="111">
        <f t="shared" si="27"/>
        <v>58.513333333333335</v>
      </c>
      <c r="O95" s="112">
        <f t="shared" si="28"/>
        <v>15.983333333333333</v>
      </c>
      <c r="P95" s="113">
        <f t="shared" ca="1" si="29"/>
        <v>46152.525088000002</v>
      </c>
      <c r="Q95" s="114">
        <f t="shared" ca="1" si="30"/>
        <v>46167.525088000002</v>
      </c>
      <c r="R95" s="114" t="b">
        <f t="shared" ca="1" si="17"/>
        <v>1</v>
      </c>
      <c r="S95" s="115">
        <f t="shared" ca="1" si="18"/>
        <v>15</v>
      </c>
      <c r="T95" s="126">
        <f t="shared" ca="1" si="19"/>
        <v>46182.525088000002</v>
      </c>
      <c r="U95" s="127" t="str">
        <f t="shared" si="16"/>
        <v>S</v>
      </c>
      <c r="V95" s="128">
        <f t="shared" si="31"/>
        <v>58.513333333333335</v>
      </c>
      <c r="W95" s="129">
        <f t="shared" si="20"/>
        <v>58.513333333333335</v>
      </c>
      <c r="X95" s="197"/>
      <c r="Y95" s="115">
        <f t="shared" ca="1" si="21"/>
        <v>361</v>
      </c>
      <c r="Z95" s="118">
        <f t="shared" ca="1" si="22"/>
        <v>1.0958904109588996E-2</v>
      </c>
      <c r="AA95" s="116"/>
      <c r="AB95" s="117">
        <f t="shared" si="23"/>
        <v>23.28045283363106</v>
      </c>
      <c r="AC95" s="118">
        <f t="shared" si="24"/>
        <v>5.3352201401294153E-2</v>
      </c>
      <c r="AE95" s="55"/>
      <c r="AF95" s="72"/>
      <c r="AG95" s="72"/>
      <c r="AH95" s="66"/>
      <c r="AJ95" t="s">
        <v>446</v>
      </c>
    </row>
    <row r="96" spans="1:36" ht="16" hidden="1" thickBot="1" x14ac:dyDescent="0.25">
      <c r="A96" s="119" t="s">
        <v>445</v>
      </c>
      <c r="B96" s="120" t="s">
        <v>1207</v>
      </c>
      <c r="C96" s="108" t="str">
        <f t="shared" si="25"/>
        <v>/Applications/Stellarium.app/Contents/Resources/nebulae/default/n6025.png</v>
      </c>
      <c r="D96" s="121" t="s">
        <v>1528</v>
      </c>
      <c r="E96" s="109"/>
      <c r="F96" s="122">
        <v>16</v>
      </c>
      <c r="G96" s="123">
        <v>4</v>
      </c>
      <c r="H96" s="122">
        <v>-61</v>
      </c>
      <c r="I96" s="124">
        <v>26</v>
      </c>
      <c r="J96" s="112" t="s">
        <v>740</v>
      </c>
      <c r="K96" s="125">
        <v>13.6</v>
      </c>
      <c r="L96" s="196"/>
      <c r="M96" s="110">
        <f t="shared" si="26"/>
        <v>-60.56666666666667</v>
      </c>
      <c r="N96" s="111">
        <f t="shared" si="27"/>
        <v>-22.786666666666669</v>
      </c>
      <c r="O96" s="112">
        <f t="shared" si="28"/>
        <v>16.066666666666666</v>
      </c>
      <c r="P96" s="113">
        <f t="shared" ca="1" si="29"/>
        <v>46153.793288000001</v>
      </c>
      <c r="Q96" s="114">
        <f t="shared" ca="1" si="30"/>
        <v>46168.793288000001</v>
      </c>
      <c r="R96" s="114" t="b">
        <f t="shared" ca="1" si="17"/>
        <v>1</v>
      </c>
      <c r="S96" s="115">
        <f t="shared" ca="1" si="18"/>
        <v>15</v>
      </c>
      <c r="T96" s="126">
        <f t="shared" ca="1" si="19"/>
        <v>46183.793288000001</v>
      </c>
      <c r="U96" s="127" t="str">
        <f t="shared" si="16"/>
        <v>S</v>
      </c>
      <c r="V96" s="128">
        <f t="shared" si="31"/>
        <v>-22.786666666666669</v>
      </c>
      <c r="W96" s="129">
        <f t="shared" si="20"/>
        <v>-22.786666666666669</v>
      </c>
      <c r="X96" s="197"/>
      <c r="Y96" s="115">
        <f t="shared" ca="1" si="21"/>
        <v>360</v>
      </c>
      <c r="Z96" s="118">
        <f t="shared" ca="1" si="22"/>
        <v>1.3698630136986356E-2</v>
      </c>
      <c r="AA96" s="116"/>
      <c r="AB96" s="117">
        <f t="shared" si="23"/>
        <v>23.363558630825214</v>
      </c>
      <c r="AC96" s="118">
        <f t="shared" si="24"/>
        <v>5.6814942951050572E-2</v>
      </c>
      <c r="AE96" s="55"/>
      <c r="AF96" s="72"/>
      <c r="AG96" s="72"/>
      <c r="AH96" s="66"/>
      <c r="AJ96" t="s">
        <v>445</v>
      </c>
    </row>
    <row r="97" spans="1:36" ht="16" hidden="1" thickBot="1" x14ac:dyDescent="0.25">
      <c r="A97" s="119" t="s">
        <v>609</v>
      </c>
      <c r="B97" s="120" t="s">
        <v>1369</v>
      </c>
      <c r="C97" s="108" t="str">
        <f t="shared" si="25"/>
        <v>/Applications/Stellarium.app/Contents/Resources/nebulae/default/sh2-1.png</v>
      </c>
      <c r="D97" s="121" t="s">
        <v>1529</v>
      </c>
      <c r="E97" s="109"/>
      <c r="F97" s="122">
        <v>16</v>
      </c>
      <c r="G97" s="123">
        <v>4</v>
      </c>
      <c r="H97" s="122">
        <v>-28</v>
      </c>
      <c r="I97" s="124">
        <v>43</v>
      </c>
      <c r="J97" s="112" t="s">
        <v>1117</v>
      </c>
      <c r="K97" s="125">
        <v>14.8</v>
      </c>
      <c r="L97" s="196"/>
      <c r="M97" s="110">
        <f t="shared" si="26"/>
        <v>-27.283333333333335</v>
      </c>
      <c r="N97" s="111">
        <f t="shared" si="27"/>
        <v>10.496666666666666</v>
      </c>
      <c r="O97" s="112">
        <f t="shared" si="28"/>
        <v>16.066666666666666</v>
      </c>
      <c r="P97" s="113">
        <f t="shared" ca="1" si="29"/>
        <v>46153.793288000001</v>
      </c>
      <c r="Q97" s="114">
        <f t="shared" ca="1" si="30"/>
        <v>46168.793288000001</v>
      </c>
      <c r="R97" s="114" t="b">
        <f t="shared" ca="1" si="17"/>
        <v>1</v>
      </c>
      <c r="S97" s="115">
        <f t="shared" ca="1" si="18"/>
        <v>15</v>
      </c>
      <c r="T97" s="126">
        <f t="shared" ca="1" si="19"/>
        <v>46183.793288000001</v>
      </c>
      <c r="U97" s="127" t="str">
        <f t="shared" si="16"/>
        <v>S</v>
      </c>
      <c r="V97" s="128">
        <f t="shared" si="31"/>
        <v>10.496666666666666</v>
      </c>
      <c r="W97" s="129">
        <f t="shared" si="20"/>
        <v>10.496666666666666</v>
      </c>
      <c r="X97" s="197"/>
      <c r="Y97" s="115">
        <f t="shared" ca="1" si="21"/>
        <v>360</v>
      </c>
      <c r="Z97" s="118">
        <f t="shared" ca="1" si="22"/>
        <v>1.3698630136986356E-2</v>
      </c>
      <c r="AA97" s="116"/>
      <c r="AB97" s="117">
        <f t="shared" si="23"/>
        <v>23.363558630825214</v>
      </c>
      <c r="AC97" s="118">
        <f t="shared" si="24"/>
        <v>5.6814942951050572E-2</v>
      </c>
      <c r="AE97" s="55"/>
      <c r="AF97" s="72"/>
      <c r="AG97" s="72"/>
      <c r="AH97" s="66"/>
      <c r="AJ97" t="s">
        <v>609</v>
      </c>
    </row>
    <row r="98" spans="1:36" ht="16" hidden="1" thickBot="1" x14ac:dyDescent="0.25">
      <c r="A98" s="119" t="s">
        <v>447</v>
      </c>
      <c r="B98" s="120" t="s">
        <v>2090</v>
      </c>
      <c r="C98" s="108" t="str">
        <f t="shared" si="25"/>
        <v>/Applications/Stellarium.app/Contents/Resources/nebulae/default/n6050h.png</v>
      </c>
      <c r="D98" s="121" t="s">
        <v>1530</v>
      </c>
      <c r="E98" s="109"/>
      <c r="F98" s="122">
        <v>16</v>
      </c>
      <c r="G98" s="123">
        <v>5</v>
      </c>
      <c r="H98" s="122">
        <v>17</v>
      </c>
      <c r="I98" s="124">
        <v>45</v>
      </c>
      <c r="J98" s="112" t="s">
        <v>1006</v>
      </c>
      <c r="K98" s="125">
        <v>15</v>
      </c>
      <c r="L98" s="196"/>
      <c r="M98" s="110">
        <f t="shared" si="26"/>
        <v>17.75</v>
      </c>
      <c r="N98" s="111">
        <f t="shared" si="27"/>
        <v>55.53</v>
      </c>
      <c r="O98" s="112">
        <f t="shared" si="28"/>
        <v>16.083333333333332</v>
      </c>
      <c r="P98" s="113">
        <f t="shared" ca="1" si="29"/>
        <v>46154.046928000003</v>
      </c>
      <c r="Q98" s="114">
        <f t="shared" ca="1" si="30"/>
        <v>46169.046928000003</v>
      </c>
      <c r="R98" s="114" t="b">
        <f t="shared" ca="1" si="17"/>
        <v>1</v>
      </c>
      <c r="S98" s="115">
        <f t="shared" ca="1" si="18"/>
        <v>15</v>
      </c>
      <c r="T98" s="126">
        <f t="shared" ca="1" si="19"/>
        <v>46184.046928000003</v>
      </c>
      <c r="U98" s="127" t="str">
        <f t="shared" si="16"/>
        <v>S</v>
      </c>
      <c r="V98" s="128">
        <f t="shared" si="31"/>
        <v>55.53</v>
      </c>
      <c r="W98" s="129">
        <f t="shared" si="20"/>
        <v>55.53</v>
      </c>
      <c r="X98" s="197"/>
      <c r="Y98" s="115">
        <f t="shared" ca="1" si="21"/>
        <v>360</v>
      </c>
      <c r="Z98" s="118">
        <f t="shared" ca="1" si="22"/>
        <v>1.3698630136986356E-2</v>
      </c>
      <c r="AA98" s="116"/>
      <c r="AB98" s="117">
        <f t="shared" si="23"/>
        <v>23.380179790264044</v>
      </c>
      <c r="AC98" s="118">
        <f t="shared" si="24"/>
        <v>5.7507491261001853E-2</v>
      </c>
      <c r="AE98" s="55"/>
      <c r="AF98" s="72"/>
      <c r="AG98" s="72"/>
      <c r="AH98" s="66"/>
      <c r="AJ98" t="s">
        <v>447</v>
      </c>
    </row>
    <row r="99" spans="1:36" ht="16" hidden="1" thickBot="1" x14ac:dyDescent="0.25">
      <c r="A99" s="119" t="s">
        <v>672</v>
      </c>
      <c r="B99" s="120" t="s">
        <v>1415</v>
      </c>
      <c r="C99" s="108" t="str">
        <f t="shared" si="25"/>
        <v>/Applications/Stellarium.app/Contents/Resources/nebulae/default/u10214.png</v>
      </c>
      <c r="D99" s="121" t="s">
        <v>1531</v>
      </c>
      <c r="E99" s="109"/>
      <c r="F99" s="122">
        <v>16</v>
      </c>
      <c r="G99" s="123">
        <v>6</v>
      </c>
      <c r="H99" s="122">
        <v>55</v>
      </c>
      <c r="I99" s="124">
        <v>23</v>
      </c>
      <c r="J99" s="112" t="s">
        <v>1154</v>
      </c>
      <c r="K99" s="125">
        <v>13.6</v>
      </c>
      <c r="L99" s="196"/>
      <c r="M99" s="110">
        <f t="shared" si="26"/>
        <v>55.383333333333333</v>
      </c>
      <c r="N99" s="111">
        <f t="shared" si="27"/>
        <v>93.163333333333327</v>
      </c>
      <c r="O99" s="112">
        <f t="shared" si="28"/>
        <v>16.100000000000001</v>
      </c>
      <c r="P99" s="113">
        <f t="shared" ca="1" si="29"/>
        <v>46154.300567999999</v>
      </c>
      <c r="Q99" s="114">
        <f t="shared" ca="1" si="30"/>
        <v>46169.300567999999</v>
      </c>
      <c r="R99" s="114" t="b">
        <f t="shared" ca="1" si="17"/>
        <v>1</v>
      </c>
      <c r="S99" s="115">
        <f t="shared" ca="1" si="18"/>
        <v>15</v>
      </c>
      <c r="T99" s="126">
        <f t="shared" ca="1" si="19"/>
        <v>46184.300567999999</v>
      </c>
      <c r="U99" s="127" t="str">
        <f t="shared" si="16"/>
        <v>N</v>
      </c>
      <c r="V99" s="128">
        <f t="shared" si="31"/>
        <v>86.836666666666673</v>
      </c>
      <c r="W99" s="129">
        <f t="shared" si="20"/>
        <v>86.836666666666673</v>
      </c>
      <c r="X99" s="197"/>
      <c r="Y99" s="115">
        <f t="shared" ca="1" si="21"/>
        <v>360</v>
      </c>
      <c r="Z99" s="118">
        <f t="shared" ca="1" si="22"/>
        <v>1.3698630136986356E-2</v>
      </c>
      <c r="AA99" s="116"/>
      <c r="AB99" s="117">
        <f t="shared" si="23"/>
        <v>23.396800949702879</v>
      </c>
      <c r="AC99" s="118">
        <f t="shared" si="24"/>
        <v>5.8200039570953287E-2</v>
      </c>
      <c r="AE99" s="55"/>
      <c r="AF99" s="72"/>
      <c r="AG99" s="72"/>
      <c r="AH99" s="66"/>
      <c r="AJ99" t="s">
        <v>672</v>
      </c>
    </row>
    <row r="100" spans="1:36" ht="16" hidden="1" thickBot="1" x14ac:dyDescent="0.25">
      <c r="A100" s="119" t="s">
        <v>715</v>
      </c>
      <c r="B100" s="120" t="s">
        <v>2091</v>
      </c>
      <c r="C100" s="108" t="str">
        <f t="shared" si="25"/>
        <v>/Applications/Stellarium.app/Contents/Resources/nebulae/default/hercules_cluster.png</v>
      </c>
      <c r="D100" s="121" t="s">
        <v>1532</v>
      </c>
      <c r="E100" s="109"/>
      <c r="F100" s="122">
        <v>16</v>
      </c>
      <c r="G100" s="123">
        <v>6</v>
      </c>
      <c r="H100" s="122">
        <v>17</v>
      </c>
      <c r="I100" s="124">
        <v>40</v>
      </c>
      <c r="J100" s="112" t="s">
        <v>1188</v>
      </c>
      <c r="K100" s="125">
        <v>14.5</v>
      </c>
      <c r="L100" s="196"/>
      <c r="M100" s="110">
        <f t="shared" si="26"/>
        <v>17.666666666666668</v>
      </c>
      <c r="N100" s="111">
        <f t="shared" si="27"/>
        <v>55.446666666666673</v>
      </c>
      <c r="O100" s="112">
        <f t="shared" si="28"/>
        <v>16.100000000000001</v>
      </c>
      <c r="P100" s="113">
        <f t="shared" ca="1" si="29"/>
        <v>46154.300567999999</v>
      </c>
      <c r="Q100" s="114">
        <f t="shared" ca="1" si="30"/>
        <v>46169.300567999999</v>
      </c>
      <c r="R100" s="114" t="b">
        <f t="shared" ca="1" si="17"/>
        <v>1</v>
      </c>
      <c r="S100" s="115">
        <f t="shared" ca="1" si="18"/>
        <v>15</v>
      </c>
      <c r="T100" s="126">
        <f t="shared" ca="1" si="19"/>
        <v>46184.300567999999</v>
      </c>
      <c r="U100" s="127" t="str">
        <f t="shared" si="16"/>
        <v>S</v>
      </c>
      <c r="V100" s="128">
        <f t="shared" si="31"/>
        <v>55.446666666666673</v>
      </c>
      <c r="W100" s="129">
        <f t="shared" si="20"/>
        <v>55.446666666666673</v>
      </c>
      <c r="X100" s="197"/>
      <c r="Y100" s="115">
        <f t="shared" ca="1" si="21"/>
        <v>360</v>
      </c>
      <c r="Z100" s="118">
        <f t="shared" ca="1" si="22"/>
        <v>1.3698630136986356E-2</v>
      </c>
      <c r="AA100" s="116"/>
      <c r="AB100" s="117">
        <f t="shared" si="23"/>
        <v>23.396800949702879</v>
      </c>
      <c r="AC100" s="118">
        <f t="shared" si="24"/>
        <v>5.8200039570953287E-2</v>
      </c>
      <c r="AE100" s="55"/>
      <c r="AF100" s="72"/>
      <c r="AG100" s="72"/>
      <c r="AH100" s="66"/>
      <c r="AJ100" t="s">
        <v>715</v>
      </c>
    </row>
    <row r="101" spans="1:36" ht="16" hidden="1" thickBot="1" x14ac:dyDescent="0.25">
      <c r="A101" s="119" t="s">
        <v>595</v>
      </c>
      <c r="B101" s="120" t="s">
        <v>1378</v>
      </c>
      <c r="C101" s="108" t="str">
        <f t="shared" si="25"/>
        <v>/Applications/Stellarium.app/Contents/Resources/nebulae/default/ic4593.png</v>
      </c>
      <c r="D101" s="121" t="s">
        <v>1533</v>
      </c>
      <c r="E101" s="109"/>
      <c r="F101" s="122">
        <v>16</v>
      </c>
      <c r="G101" s="123">
        <v>11</v>
      </c>
      <c r="H101" s="122">
        <v>12</v>
      </c>
      <c r="I101" s="124">
        <v>3</v>
      </c>
      <c r="J101" s="112" t="s">
        <v>1110</v>
      </c>
      <c r="K101" s="125">
        <v>12.5</v>
      </c>
      <c r="L101" s="196"/>
      <c r="M101" s="110">
        <f t="shared" si="26"/>
        <v>12.05</v>
      </c>
      <c r="N101" s="111">
        <f t="shared" si="27"/>
        <v>49.83</v>
      </c>
      <c r="O101" s="112">
        <f t="shared" si="28"/>
        <v>16.183333333333334</v>
      </c>
      <c r="P101" s="113">
        <f t="shared" ca="1" si="29"/>
        <v>46155.568767999997</v>
      </c>
      <c r="Q101" s="114">
        <f t="shared" ca="1" si="30"/>
        <v>46170.568767999997</v>
      </c>
      <c r="R101" s="114" t="b">
        <f t="shared" ca="1" si="17"/>
        <v>1</v>
      </c>
      <c r="S101" s="115">
        <f t="shared" ca="1" si="18"/>
        <v>15</v>
      </c>
      <c r="T101" s="126">
        <f t="shared" ca="1" si="19"/>
        <v>46185.568767999997</v>
      </c>
      <c r="U101" s="127" t="str">
        <f t="shared" si="16"/>
        <v>S</v>
      </c>
      <c r="V101" s="128">
        <f t="shared" si="31"/>
        <v>49.83</v>
      </c>
      <c r="W101" s="129">
        <f t="shared" si="20"/>
        <v>49.83</v>
      </c>
      <c r="X101" s="197"/>
      <c r="Y101" s="115">
        <f t="shared" ca="1" si="21"/>
        <v>358</v>
      </c>
      <c r="Z101" s="118">
        <f t="shared" ca="1" si="22"/>
        <v>1.9178082191780854E-2</v>
      </c>
      <c r="AA101" s="116"/>
      <c r="AB101" s="117">
        <f t="shared" si="23"/>
        <v>23.479906746897033</v>
      </c>
      <c r="AC101" s="118">
        <f t="shared" si="24"/>
        <v>6.1662781120709699E-2</v>
      </c>
      <c r="AE101" s="55"/>
      <c r="AF101" s="72"/>
      <c r="AG101" s="72"/>
      <c r="AH101" s="66"/>
      <c r="AJ101" t="s">
        <v>595</v>
      </c>
    </row>
    <row r="102" spans="1:36" ht="16" hidden="1" thickBot="1" x14ac:dyDescent="0.25">
      <c r="A102" s="119" t="s">
        <v>594</v>
      </c>
      <c r="B102" s="120" t="s">
        <v>1377</v>
      </c>
      <c r="C102" s="108" t="str">
        <f t="shared" si="25"/>
        <v>/Applications/Stellarium.app/Contents/Resources/nebulae/default/ic4592.png</v>
      </c>
      <c r="D102" s="121" t="s">
        <v>1534</v>
      </c>
      <c r="E102" s="109"/>
      <c r="F102" s="122">
        <v>16</v>
      </c>
      <c r="G102" s="123">
        <v>13</v>
      </c>
      <c r="H102" s="122">
        <v>-21</v>
      </c>
      <c r="I102" s="124">
        <v>48</v>
      </c>
      <c r="J102" s="112" t="s">
        <v>1109</v>
      </c>
      <c r="K102" s="125">
        <v>14.1</v>
      </c>
      <c r="L102" s="196"/>
      <c r="M102" s="110">
        <f t="shared" si="26"/>
        <v>-20.2</v>
      </c>
      <c r="N102" s="111">
        <f t="shared" si="27"/>
        <v>17.580000000000002</v>
      </c>
      <c r="O102" s="112">
        <f t="shared" si="28"/>
        <v>16.216666666666665</v>
      </c>
      <c r="P102" s="113">
        <f t="shared" ca="1" si="29"/>
        <v>46156.076048000003</v>
      </c>
      <c r="Q102" s="114">
        <f t="shared" ca="1" si="30"/>
        <v>46171.076048000003</v>
      </c>
      <c r="R102" s="114" t="b">
        <f t="shared" ca="1" si="17"/>
        <v>1</v>
      </c>
      <c r="S102" s="115">
        <f t="shared" ca="1" si="18"/>
        <v>15</v>
      </c>
      <c r="T102" s="126">
        <f t="shared" ca="1" si="19"/>
        <v>46186.076048000003</v>
      </c>
      <c r="U102" s="127" t="str">
        <f t="shared" si="16"/>
        <v>S</v>
      </c>
      <c r="V102" s="128">
        <f t="shared" si="31"/>
        <v>17.580000000000002</v>
      </c>
      <c r="W102" s="129">
        <f t="shared" si="20"/>
        <v>17.580000000000002</v>
      </c>
      <c r="X102" s="197"/>
      <c r="Y102" s="115">
        <f t="shared" ca="1" si="21"/>
        <v>358</v>
      </c>
      <c r="Z102" s="118">
        <f t="shared" ca="1" si="22"/>
        <v>1.9178082191780854E-2</v>
      </c>
      <c r="AA102" s="116"/>
      <c r="AB102" s="117">
        <f t="shared" si="23"/>
        <v>23.513149065774694</v>
      </c>
      <c r="AC102" s="118">
        <f t="shared" si="24"/>
        <v>6.3047877740612268E-2</v>
      </c>
      <c r="AE102" s="55"/>
      <c r="AF102" s="72"/>
      <c r="AG102" s="72"/>
      <c r="AH102" s="66"/>
      <c r="AJ102" t="s">
        <v>594</v>
      </c>
    </row>
    <row r="103" spans="1:36" ht="16" hidden="1" thickBot="1" x14ac:dyDescent="0.25">
      <c r="A103" s="119" t="s">
        <v>612</v>
      </c>
      <c r="B103" s="120" t="s">
        <v>1369</v>
      </c>
      <c r="C103" s="108" t="str">
        <f t="shared" si="25"/>
        <v>/Applications/Stellarium.app/Contents/Resources/nebulae/default/sh2-73.png</v>
      </c>
      <c r="D103" s="121" t="s">
        <v>1535</v>
      </c>
      <c r="E103" s="109"/>
      <c r="F103" s="122">
        <v>16</v>
      </c>
      <c r="G103" s="123">
        <v>16</v>
      </c>
      <c r="H103" s="122">
        <v>21</v>
      </c>
      <c r="I103" s="124">
        <v>10</v>
      </c>
      <c r="J103" s="112" t="s">
        <v>1120</v>
      </c>
      <c r="K103" s="125">
        <v>14.5</v>
      </c>
      <c r="L103" s="196"/>
      <c r="M103" s="110">
        <f t="shared" si="26"/>
        <v>21.166666666666668</v>
      </c>
      <c r="N103" s="111">
        <f t="shared" si="27"/>
        <v>58.946666666666673</v>
      </c>
      <c r="O103" s="112">
        <f t="shared" si="28"/>
        <v>16.266666666666666</v>
      </c>
      <c r="P103" s="113">
        <f t="shared" ca="1" si="29"/>
        <v>46156.836968000003</v>
      </c>
      <c r="Q103" s="114">
        <f t="shared" ca="1" si="30"/>
        <v>46171.836968000003</v>
      </c>
      <c r="R103" s="114" t="b">
        <f t="shared" ca="1" si="17"/>
        <v>1</v>
      </c>
      <c r="S103" s="115">
        <f t="shared" ca="1" si="18"/>
        <v>15</v>
      </c>
      <c r="T103" s="126">
        <f t="shared" ca="1" si="19"/>
        <v>46186.836968000003</v>
      </c>
      <c r="U103" s="127" t="str">
        <f t="shared" si="16"/>
        <v>S</v>
      </c>
      <c r="V103" s="128">
        <f t="shared" si="31"/>
        <v>58.946666666666673</v>
      </c>
      <c r="W103" s="129">
        <f t="shared" si="20"/>
        <v>58.946666666666673</v>
      </c>
      <c r="X103" s="197"/>
      <c r="Y103" s="115">
        <f t="shared" ca="1" si="21"/>
        <v>357</v>
      </c>
      <c r="Z103" s="118">
        <f t="shared" ca="1" si="22"/>
        <v>2.1917808219178103E-2</v>
      </c>
      <c r="AA103" s="116"/>
      <c r="AB103" s="117">
        <f t="shared" si="23"/>
        <v>23.563012544091187</v>
      </c>
      <c r="AC103" s="118">
        <f t="shared" si="24"/>
        <v>6.5125522670466118E-2</v>
      </c>
      <c r="AE103" s="55"/>
      <c r="AF103" s="72"/>
      <c r="AG103" s="72"/>
      <c r="AH103" s="66"/>
      <c r="AJ103" t="s">
        <v>612</v>
      </c>
    </row>
    <row r="104" spans="1:36" ht="16" hidden="1" thickBot="1" x14ac:dyDescent="0.25">
      <c r="A104" s="119" t="s">
        <v>169</v>
      </c>
      <c r="B104" s="120" t="s">
        <v>1191</v>
      </c>
      <c r="C104" s="108" t="str">
        <f t="shared" si="25"/>
        <v>/Applications/Stellarium.app/Contents/Resources/nebulae/default/m80.png</v>
      </c>
      <c r="D104" s="121" t="s">
        <v>1536</v>
      </c>
      <c r="E104" s="109"/>
      <c r="F104" s="122">
        <v>16</v>
      </c>
      <c r="G104" s="123">
        <v>17</v>
      </c>
      <c r="H104" s="122">
        <v>-24</v>
      </c>
      <c r="I104" s="124">
        <v>55</v>
      </c>
      <c r="J104" s="112" t="s">
        <v>92</v>
      </c>
      <c r="K104" s="125">
        <v>11.7</v>
      </c>
      <c r="L104" s="196"/>
      <c r="M104" s="110">
        <f t="shared" si="26"/>
        <v>-23.083333333333332</v>
      </c>
      <c r="N104" s="111">
        <f t="shared" si="27"/>
        <v>14.696666666666669</v>
      </c>
      <c r="O104" s="112">
        <f t="shared" si="28"/>
        <v>16.283333333333335</v>
      </c>
      <c r="P104" s="113">
        <f t="shared" ca="1" si="29"/>
        <v>46157.090607999999</v>
      </c>
      <c r="Q104" s="114">
        <f t="shared" ca="1" si="30"/>
        <v>46172.090607999999</v>
      </c>
      <c r="R104" s="114" t="b">
        <f t="shared" ca="1" si="17"/>
        <v>1</v>
      </c>
      <c r="S104" s="115">
        <f t="shared" ca="1" si="18"/>
        <v>15</v>
      </c>
      <c r="T104" s="126">
        <f t="shared" ca="1" si="19"/>
        <v>46187.090607999999</v>
      </c>
      <c r="U104" s="127" t="str">
        <f t="shared" si="16"/>
        <v>S</v>
      </c>
      <c r="V104" s="128">
        <f t="shared" si="31"/>
        <v>14.696666666666669</v>
      </c>
      <c r="W104" s="129">
        <f t="shared" si="20"/>
        <v>14.696666666666669</v>
      </c>
      <c r="X104" s="197"/>
      <c r="Y104" s="115">
        <f t="shared" ca="1" si="21"/>
        <v>357</v>
      </c>
      <c r="Z104" s="118">
        <f t="shared" ca="1" si="22"/>
        <v>2.1917808219178103E-2</v>
      </c>
      <c r="AA104" s="116"/>
      <c r="AB104" s="117">
        <f t="shared" si="23"/>
        <v>23.579633703530021</v>
      </c>
      <c r="AC104" s="118">
        <f t="shared" si="24"/>
        <v>6.5818070980417545E-2</v>
      </c>
      <c r="AE104" s="55"/>
      <c r="AF104" s="72"/>
      <c r="AG104" s="72"/>
      <c r="AH104" s="66"/>
      <c r="AJ104" t="s">
        <v>169</v>
      </c>
    </row>
    <row r="105" spans="1:36" ht="16" hidden="1" thickBot="1" x14ac:dyDescent="0.25">
      <c r="A105" s="119" t="s">
        <v>656</v>
      </c>
      <c r="B105" s="120" t="s">
        <v>1411</v>
      </c>
      <c r="C105" s="108" t="str">
        <f t="shared" si="25"/>
        <v>/Applications/Stellarium.app/Contents/Resources/nebulae/default/rcw101.png</v>
      </c>
      <c r="D105" s="121" t="s">
        <v>1537</v>
      </c>
      <c r="E105" s="109"/>
      <c r="F105" s="122">
        <v>16</v>
      </c>
      <c r="G105" s="123">
        <v>17</v>
      </c>
      <c r="H105" s="122">
        <v>-53</v>
      </c>
      <c r="I105" s="124">
        <v>59</v>
      </c>
      <c r="J105" s="112" t="s">
        <v>1134</v>
      </c>
      <c r="K105" s="125">
        <v>13.9</v>
      </c>
      <c r="L105" s="196"/>
      <c r="M105" s="110">
        <f t="shared" si="26"/>
        <v>-52.016666666666666</v>
      </c>
      <c r="N105" s="111">
        <f t="shared" si="27"/>
        <v>-14.236666666666665</v>
      </c>
      <c r="O105" s="112">
        <f t="shared" si="28"/>
        <v>16.283333333333335</v>
      </c>
      <c r="P105" s="113">
        <f t="shared" ca="1" si="29"/>
        <v>46157.090607999999</v>
      </c>
      <c r="Q105" s="114">
        <f t="shared" ca="1" si="30"/>
        <v>46172.090607999999</v>
      </c>
      <c r="R105" s="114" t="b">
        <f t="shared" ca="1" si="17"/>
        <v>1</v>
      </c>
      <c r="S105" s="115">
        <f t="shared" ca="1" si="18"/>
        <v>15</v>
      </c>
      <c r="T105" s="126">
        <f t="shared" ca="1" si="19"/>
        <v>46187.090607999999</v>
      </c>
      <c r="U105" s="127" t="str">
        <f t="shared" si="16"/>
        <v>S</v>
      </c>
      <c r="V105" s="128">
        <f t="shared" si="31"/>
        <v>-14.236666666666665</v>
      </c>
      <c r="W105" s="129">
        <f t="shared" si="20"/>
        <v>-14.236666666666665</v>
      </c>
      <c r="X105" s="197"/>
      <c r="Y105" s="115">
        <f t="shared" ca="1" si="21"/>
        <v>357</v>
      </c>
      <c r="Z105" s="118">
        <f t="shared" ca="1" si="22"/>
        <v>2.1917808219178103E-2</v>
      </c>
      <c r="AA105" s="116"/>
      <c r="AB105" s="117">
        <f t="shared" si="23"/>
        <v>23.579633703530021</v>
      </c>
      <c r="AC105" s="118">
        <f t="shared" si="24"/>
        <v>6.5818070980417545E-2</v>
      </c>
      <c r="AE105" s="55"/>
      <c r="AF105" s="72"/>
      <c r="AG105" s="72"/>
      <c r="AH105" s="66"/>
      <c r="AJ105" t="s">
        <v>656</v>
      </c>
    </row>
    <row r="106" spans="1:36" ht="16" hidden="1" thickBot="1" x14ac:dyDescent="0.25">
      <c r="A106" s="119" t="s">
        <v>596</v>
      </c>
      <c r="B106" s="120" t="s">
        <v>1379</v>
      </c>
      <c r="C106" s="108" t="str">
        <f t="shared" si="25"/>
        <v>/Applications/Stellarium.app/Contents/Resources/nebulae/default/ic4601.png</v>
      </c>
      <c r="D106" s="121" t="s">
        <v>1538</v>
      </c>
      <c r="E106" s="109"/>
      <c r="F106" s="122">
        <v>16</v>
      </c>
      <c r="G106" s="123">
        <v>19</v>
      </c>
      <c r="H106" s="122">
        <v>-22</v>
      </c>
      <c r="I106" s="124">
        <v>57</v>
      </c>
      <c r="J106" s="112" t="s">
        <v>1111</v>
      </c>
      <c r="K106" s="125">
        <v>14.1</v>
      </c>
      <c r="L106" s="196"/>
      <c r="M106" s="110">
        <f t="shared" si="26"/>
        <v>-21.05</v>
      </c>
      <c r="N106" s="111">
        <f t="shared" si="27"/>
        <v>16.73</v>
      </c>
      <c r="O106" s="112">
        <f t="shared" si="28"/>
        <v>16.316666666666666</v>
      </c>
      <c r="P106" s="113">
        <f t="shared" ca="1" si="29"/>
        <v>46157.597887999997</v>
      </c>
      <c r="Q106" s="114">
        <f t="shared" ca="1" si="30"/>
        <v>46172.597887999997</v>
      </c>
      <c r="R106" s="114" t="b">
        <f t="shared" ca="1" si="17"/>
        <v>1</v>
      </c>
      <c r="S106" s="115">
        <f t="shared" ca="1" si="18"/>
        <v>15</v>
      </c>
      <c r="T106" s="126">
        <f t="shared" ca="1" si="19"/>
        <v>46187.597887999997</v>
      </c>
      <c r="U106" s="127" t="str">
        <f t="shared" si="16"/>
        <v>S</v>
      </c>
      <c r="V106" s="128">
        <f t="shared" si="31"/>
        <v>16.73</v>
      </c>
      <c r="W106" s="129">
        <f t="shared" si="20"/>
        <v>16.73</v>
      </c>
      <c r="X106" s="197"/>
      <c r="Y106" s="115">
        <f t="shared" ca="1" si="21"/>
        <v>356</v>
      </c>
      <c r="Z106" s="118">
        <f t="shared" ca="1" si="22"/>
        <v>2.4657534246575352E-2</v>
      </c>
      <c r="AA106" s="116"/>
      <c r="AB106" s="117">
        <f t="shared" si="23"/>
        <v>23.612876022407683</v>
      </c>
      <c r="AC106" s="118">
        <f t="shared" si="24"/>
        <v>6.7203167600320121E-2</v>
      </c>
      <c r="AE106" s="55"/>
      <c r="AF106" s="72"/>
      <c r="AG106" s="72"/>
      <c r="AH106" s="66"/>
      <c r="AJ106" t="s">
        <v>596</v>
      </c>
    </row>
    <row r="107" spans="1:36" ht="16" hidden="1" thickBot="1" x14ac:dyDescent="0.25">
      <c r="A107" s="119" t="s">
        <v>448</v>
      </c>
      <c r="B107" s="120" t="s">
        <v>1191</v>
      </c>
      <c r="C107" s="108" t="str">
        <f t="shared" si="25"/>
        <v>/Applications/Stellarium.app/Contents/Resources/nebulae/default/n6087.png</v>
      </c>
      <c r="D107" s="121" t="s">
        <v>1539</v>
      </c>
      <c r="E107" s="109"/>
      <c r="F107" s="122">
        <v>16</v>
      </c>
      <c r="G107" s="123">
        <v>20</v>
      </c>
      <c r="H107" s="122">
        <v>-59</v>
      </c>
      <c r="I107" s="124">
        <v>50</v>
      </c>
      <c r="J107" s="112" t="s">
        <v>740</v>
      </c>
      <c r="K107" s="125">
        <v>13.4</v>
      </c>
      <c r="L107" s="196"/>
      <c r="M107" s="110">
        <f t="shared" si="26"/>
        <v>-58.166666666666664</v>
      </c>
      <c r="N107" s="111">
        <f t="shared" si="27"/>
        <v>-20.386666666666663</v>
      </c>
      <c r="O107" s="112">
        <f t="shared" si="28"/>
        <v>16.333333333333332</v>
      </c>
      <c r="P107" s="113">
        <f t="shared" ca="1" si="29"/>
        <v>46157.851527999999</v>
      </c>
      <c r="Q107" s="114">
        <f t="shared" ca="1" si="30"/>
        <v>46172.851527999999</v>
      </c>
      <c r="R107" s="114" t="b">
        <f t="shared" ca="1" si="17"/>
        <v>1</v>
      </c>
      <c r="S107" s="115">
        <f t="shared" ca="1" si="18"/>
        <v>15</v>
      </c>
      <c r="T107" s="126">
        <f t="shared" ca="1" si="19"/>
        <v>46187.851527999999</v>
      </c>
      <c r="U107" s="127" t="str">
        <f t="shared" si="16"/>
        <v>S</v>
      </c>
      <c r="V107" s="128">
        <f t="shared" si="31"/>
        <v>-20.386666666666663</v>
      </c>
      <c r="W107" s="129">
        <f t="shared" si="20"/>
        <v>-20.386666666666663</v>
      </c>
      <c r="X107" s="197"/>
      <c r="Y107" s="115">
        <f t="shared" ca="1" si="21"/>
        <v>356</v>
      </c>
      <c r="Z107" s="118">
        <f t="shared" ca="1" si="22"/>
        <v>2.4657534246575352E-2</v>
      </c>
      <c r="AA107" s="116"/>
      <c r="AB107" s="117">
        <f t="shared" si="23"/>
        <v>23.629497181846514</v>
      </c>
      <c r="AC107" s="118">
        <f t="shared" si="24"/>
        <v>6.7895715910271395E-2</v>
      </c>
      <c r="AE107" s="55"/>
      <c r="AF107" s="72"/>
      <c r="AG107" s="72"/>
      <c r="AH107" s="66"/>
      <c r="AJ107" t="s">
        <v>448</v>
      </c>
    </row>
    <row r="108" spans="1:36" ht="16" hidden="1" thickBot="1" x14ac:dyDescent="0.25">
      <c r="A108" s="119" t="s">
        <v>96</v>
      </c>
      <c r="B108" s="120" t="s">
        <v>1192</v>
      </c>
      <c r="C108" s="108" t="str">
        <f t="shared" si="25"/>
        <v>/Applications/Stellarium.app/Contents/Resources/nebulae/default/m4.png</v>
      </c>
      <c r="D108" s="121" t="s">
        <v>1540</v>
      </c>
      <c r="E108" s="109"/>
      <c r="F108" s="122">
        <v>16</v>
      </c>
      <c r="G108" s="123">
        <v>25</v>
      </c>
      <c r="H108" s="122">
        <v>-27</v>
      </c>
      <c r="I108" s="124">
        <v>6</v>
      </c>
      <c r="J108" s="112" t="s">
        <v>720</v>
      </c>
      <c r="K108" s="125">
        <v>13.6</v>
      </c>
      <c r="L108" s="196"/>
      <c r="M108" s="110">
        <f t="shared" si="26"/>
        <v>-26.9</v>
      </c>
      <c r="N108" s="111">
        <f t="shared" si="27"/>
        <v>10.880000000000003</v>
      </c>
      <c r="O108" s="112">
        <f t="shared" si="28"/>
        <v>16.416666666666668</v>
      </c>
      <c r="P108" s="113">
        <f t="shared" ca="1" si="29"/>
        <v>46159.119727999998</v>
      </c>
      <c r="Q108" s="114">
        <f t="shared" ca="1" si="30"/>
        <v>46174.119727999998</v>
      </c>
      <c r="R108" s="114" t="b">
        <f t="shared" ca="1" si="17"/>
        <v>1</v>
      </c>
      <c r="S108" s="115">
        <f t="shared" ca="1" si="18"/>
        <v>15</v>
      </c>
      <c r="T108" s="126">
        <f t="shared" ca="1" si="19"/>
        <v>46189.119727999998</v>
      </c>
      <c r="U108" s="127" t="str">
        <f t="shared" si="16"/>
        <v>S</v>
      </c>
      <c r="V108" s="128">
        <f t="shared" si="31"/>
        <v>10.880000000000003</v>
      </c>
      <c r="W108" s="129">
        <f t="shared" si="20"/>
        <v>10.880000000000003</v>
      </c>
      <c r="X108" s="197"/>
      <c r="Y108" s="115">
        <f t="shared" ca="1" si="21"/>
        <v>355</v>
      </c>
      <c r="Z108" s="118">
        <f t="shared" ca="1" si="22"/>
        <v>2.7397260273972601E-2</v>
      </c>
      <c r="AA108" s="116"/>
      <c r="AB108" s="117">
        <f t="shared" si="23"/>
        <v>23.712602979040671</v>
      </c>
      <c r="AC108" s="118">
        <f t="shared" si="24"/>
        <v>7.135845746002796E-2</v>
      </c>
      <c r="AE108" s="55"/>
      <c r="AF108" s="72"/>
      <c r="AG108" s="72"/>
      <c r="AH108" s="66"/>
      <c r="AJ108" t="s">
        <v>96</v>
      </c>
    </row>
    <row r="109" spans="1:36" ht="16" hidden="1" thickBot="1" x14ac:dyDescent="0.25">
      <c r="A109" s="119" t="s">
        <v>450</v>
      </c>
      <c r="B109" s="120" t="s">
        <v>1191</v>
      </c>
      <c r="C109" s="108" t="str">
        <f t="shared" si="25"/>
        <v>/Applications/Stellarium.app/Contents/Resources/nebulae/default/n6124.png</v>
      </c>
      <c r="D109" s="121" t="s">
        <v>1541</v>
      </c>
      <c r="E109" s="109"/>
      <c r="F109" s="122">
        <v>16</v>
      </c>
      <c r="G109" s="123">
        <v>26</v>
      </c>
      <c r="H109" s="122">
        <v>-41</v>
      </c>
      <c r="I109" s="124">
        <v>2</v>
      </c>
      <c r="J109" s="112" t="s">
        <v>862</v>
      </c>
      <c r="K109" s="125">
        <v>13.4</v>
      </c>
      <c r="L109" s="196"/>
      <c r="M109" s="110">
        <f t="shared" si="26"/>
        <v>-40.966666666666669</v>
      </c>
      <c r="N109" s="111">
        <f t="shared" si="27"/>
        <v>-3.1866666666666674</v>
      </c>
      <c r="O109" s="112">
        <f t="shared" si="28"/>
        <v>16.433333333333334</v>
      </c>
      <c r="P109" s="113">
        <f t="shared" ca="1" si="29"/>
        <v>46159.373368</v>
      </c>
      <c r="Q109" s="114">
        <f t="shared" ca="1" si="30"/>
        <v>46174.373368</v>
      </c>
      <c r="R109" s="114" t="b">
        <f t="shared" ca="1" si="17"/>
        <v>1</v>
      </c>
      <c r="S109" s="115">
        <f t="shared" ca="1" si="18"/>
        <v>15</v>
      </c>
      <c r="T109" s="126">
        <f t="shared" ca="1" si="19"/>
        <v>46189.373368</v>
      </c>
      <c r="U109" s="127" t="str">
        <f t="shared" si="16"/>
        <v>S</v>
      </c>
      <c r="V109" s="128">
        <f t="shared" si="31"/>
        <v>-3.1866666666666674</v>
      </c>
      <c r="W109" s="129">
        <f t="shared" si="20"/>
        <v>-3.1866666666666674</v>
      </c>
      <c r="X109" s="197"/>
      <c r="Y109" s="115">
        <f t="shared" ca="1" si="21"/>
        <v>355</v>
      </c>
      <c r="Z109" s="118">
        <f t="shared" ca="1" si="22"/>
        <v>2.7397260273972601E-2</v>
      </c>
      <c r="AA109" s="116"/>
      <c r="AB109" s="117">
        <f t="shared" si="23"/>
        <v>23.729224138479502</v>
      </c>
      <c r="AC109" s="118">
        <f t="shared" si="24"/>
        <v>7.2051005769979248E-2</v>
      </c>
      <c r="AE109" s="55"/>
      <c r="AF109" s="72"/>
      <c r="AG109" s="72"/>
      <c r="AH109" s="66"/>
      <c r="AJ109" t="s">
        <v>450</v>
      </c>
    </row>
    <row r="110" spans="1:36" ht="16" hidden="1" thickBot="1" x14ac:dyDescent="0.25">
      <c r="A110" s="119" t="s">
        <v>449</v>
      </c>
      <c r="B110" s="120" t="s">
        <v>1191</v>
      </c>
      <c r="C110" s="108" t="str">
        <f t="shared" si="25"/>
        <v>/Applications/Stellarium.app/Contents/Resources/nebulae/default/n6101.png</v>
      </c>
      <c r="D110" s="121" t="s">
        <v>1542</v>
      </c>
      <c r="E110" s="109"/>
      <c r="F110" s="122">
        <v>16</v>
      </c>
      <c r="G110" s="123">
        <v>27</v>
      </c>
      <c r="H110" s="122">
        <v>-73</v>
      </c>
      <c r="I110" s="124">
        <v>42</v>
      </c>
      <c r="J110" s="112" t="s">
        <v>844</v>
      </c>
      <c r="K110" s="125">
        <v>14.5</v>
      </c>
      <c r="L110" s="196"/>
      <c r="M110" s="110">
        <f t="shared" si="26"/>
        <v>-72.3</v>
      </c>
      <c r="N110" s="111">
        <f t="shared" si="27"/>
        <v>-34.519999999999996</v>
      </c>
      <c r="O110" s="112">
        <f t="shared" si="28"/>
        <v>16.45</v>
      </c>
      <c r="P110" s="113">
        <f t="shared" ca="1" si="29"/>
        <v>46159.627008000003</v>
      </c>
      <c r="Q110" s="114">
        <f t="shared" ca="1" si="30"/>
        <v>46174.627008000003</v>
      </c>
      <c r="R110" s="114" t="b">
        <f t="shared" ca="1" si="17"/>
        <v>1</v>
      </c>
      <c r="S110" s="115">
        <f t="shared" ca="1" si="18"/>
        <v>15</v>
      </c>
      <c r="T110" s="126">
        <f t="shared" ca="1" si="19"/>
        <v>46189.627008000003</v>
      </c>
      <c r="U110" s="127" t="str">
        <f t="shared" si="16"/>
        <v>S</v>
      </c>
      <c r="V110" s="128">
        <f t="shared" si="31"/>
        <v>-34.519999999999996</v>
      </c>
      <c r="W110" s="129">
        <f t="shared" si="20"/>
        <v>-34.519999999999996</v>
      </c>
      <c r="X110" s="197"/>
      <c r="Y110" s="115">
        <f t="shared" ca="1" si="21"/>
        <v>354</v>
      </c>
      <c r="Z110" s="118">
        <f t="shared" ca="1" si="22"/>
        <v>3.013698630136985E-2</v>
      </c>
      <c r="AA110" s="116"/>
      <c r="AB110" s="117">
        <f t="shared" si="23"/>
        <v>23.745845297918333</v>
      </c>
      <c r="AC110" s="118">
        <f t="shared" si="24"/>
        <v>7.2743554079930536E-2</v>
      </c>
      <c r="AE110" s="55"/>
      <c r="AF110" s="72"/>
      <c r="AG110" s="72"/>
      <c r="AH110" s="66"/>
      <c r="AJ110" t="s">
        <v>449</v>
      </c>
    </row>
    <row r="111" spans="1:36" ht="16" hidden="1" thickBot="1" x14ac:dyDescent="0.25">
      <c r="A111" s="119" t="s">
        <v>452</v>
      </c>
      <c r="B111" s="120" t="s">
        <v>1191</v>
      </c>
      <c r="C111" s="108" t="str">
        <f t="shared" si="25"/>
        <v>/Applications/Stellarium.app/Contents/Resources/nebulae/default/n6144.png</v>
      </c>
      <c r="D111" s="121" t="s">
        <v>1543</v>
      </c>
      <c r="E111" s="109"/>
      <c r="F111" s="122">
        <v>16</v>
      </c>
      <c r="G111" s="123">
        <v>27</v>
      </c>
      <c r="H111" s="122">
        <v>-27</v>
      </c>
      <c r="I111" s="124">
        <v>50</v>
      </c>
      <c r="J111" s="112" t="s">
        <v>999</v>
      </c>
      <c r="K111" s="125">
        <v>13.6</v>
      </c>
      <c r="L111" s="196"/>
      <c r="M111" s="110">
        <f t="shared" si="26"/>
        <v>-26.166666666666668</v>
      </c>
      <c r="N111" s="111">
        <f t="shared" si="27"/>
        <v>11.613333333333333</v>
      </c>
      <c r="O111" s="112">
        <f t="shared" si="28"/>
        <v>16.45</v>
      </c>
      <c r="P111" s="113">
        <f t="shared" ca="1" si="29"/>
        <v>46159.627008000003</v>
      </c>
      <c r="Q111" s="114">
        <f t="shared" ca="1" si="30"/>
        <v>46174.627008000003</v>
      </c>
      <c r="R111" s="114" t="b">
        <f t="shared" ca="1" si="17"/>
        <v>1</v>
      </c>
      <c r="S111" s="115">
        <f t="shared" ca="1" si="18"/>
        <v>15</v>
      </c>
      <c r="T111" s="126">
        <f t="shared" ca="1" si="19"/>
        <v>46189.627008000003</v>
      </c>
      <c r="U111" s="127" t="str">
        <f t="shared" si="16"/>
        <v>S</v>
      </c>
      <c r="V111" s="128">
        <f t="shared" si="31"/>
        <v>11.613333333333333</v>
      </c>
      <c r="W111" s="129">
        <f t="shared" si="20"/>
        <v>11.613333333333333</v>
      </c>
      <c r="X111" s="197"/>
      <c r="Y111" s="115">
        <f t="shared" ca="1" si="21"/>
        <v>354</v>
      </c>
      <c r="Z111" s="118">
        <f t="shared" ca="1" si="22"/>
        <v>3.013698630136985E-2</v>
      </c>
      <c r="AA111" s="116"/>
      <c r="AB111" s="117">
        <f t="shared" si="23"/>
        <v>23.745845297918333</v>
      </c>
      <c r="AC111" s="118">
        <f t="shared" si="24"/>
        <v>7.2743554079930536E-2</v>
      </c>
      <c r="AE111" s="55"/>
      <c r="AF111" s="72"/>
      <c r="AG111" s="72"/>
      <c r="AH111" s="66"/>
      <c r="AJ111" t="s">
        <v>452</v>
      </c>
    </row>
    <row r="112" spans="1:36" ht="16" hidden="1" thickBot="1" x14ac:dyDescent="0.25">
      <c r="A112" s="119" t="s">
        <v>697</v>
      </c>
      <c r="B112" s="120" t="s">
        <v>1427</v>
      </c>
      <c r="C112" s="108" t="str">
        <f t="shared" si="25"/>
        <v>/Applications/Stellarium.app/Contents/Resources/nebulae/default/abell39.png</v>
      </c>
      <c r="D112" s="121" t="s">
        <v>1544</v>
      </c>
      <c r="E112" s="109"/>
      <c r="F112" s="122">
        <v>16</v>
      </c>
      <c r="G112" s="123">
        <v>27</v>
      </c>
      <c r="H112" s="122">
        <v>27</v>
      </c>
      <c r="I112" s="124">
        <v>52</v>
      </c>
      <c r="J112" s="112" t="s">
        <v>1173</v>
      </c>
      <c r="K112" s="125">
        <v>15.6</v>
      </c>
      <c r="L112" s="196"/>
      <c r="M112" s="110">
        <f t="shared" si="26"/>
        <v>27.866666666666667</v>
      </c>
      <c r="N112" s="111">
        <f t="shared" si="27"/>
        <v>65.646666666666675</v>
      </c>
      <c r="O112" s="112">
        <f t="shared" si="28"/>
        <v>16.45</v>
      </c>
      <c r="P112" s="113">
        <f t="shared" ca="1" si="29"/>
        <v>46159.627008000003</v>
      </c>
      <c r="Q112" s="114">
        <f t="shared" ca="1" si="30"/>
        <v>46174.627008000003</v>
      </c>
      <c r="R112" s="114" t="b">
        <f t="shared" ca="1" si="17"/>
        <v>1</v>
      </c>
      <c r="S112" s="115">
        <f t="shared" ca="1" si="18"/>
        <v>15</v>
      </c>
      <c r="T112" s="126">
        <f t="shared" ca="1" si="19"/>
        <v>46189.627008000003</v>
      </c>
      <c r="U112" s="127" t="str">
        <f t="shared" si="16"/>
        <v>S</v>
      </c>
      <c r="V112" s="128">
        <f t="shared" si="31"/>
        <v>65.646666666666675</v>
      </c>
      <c r="W112" s="129">
        <f t="shared" si="20"/>
        <v>65.646666666666675</v>
      </c>
      <c r="X112" s="197"/>
      <c r="Y112" s="115">
        <f t="shared" ca="1" si="21"/>
        <v>354</v>
      </c>
      <c r="Z112" s="118">
        <f t="shared" ca="1" si="22"/>
        <v>3.013698630136985E-2</v>
      </c>
      <c r="AA112" s="116"/>
      <c r="AB112" s="117">
        <f t="shared" si="23"/>
        <v>23.745845297918333</v>
      </c>
      <c r="AC112" s="118">
        <f t="shared" si="24"/>
        <v>7.2743554079930536E-2</v>
      </c>
      <c r="AE112" s="55"/>
      <c r="AF112" s="72"/>
      <c r="AG112" s="72"/>
      <c r="AH112" s="66"/>
      <c r="AJ112" t="s">
        <v>697</v>
      </c>
    </row>
    <row r="113" spans="1:36" ht="16" hidden="1" thickBot="1" x14ac:dyDescent="0.25">
      <c r="A113" s="119" t="s">
        <v>451</v>
      </c>
      <c r="B113" s="120" t="s">
        <v>1191</v>
      </c>
      <c r="C113" s="108" t="str">
        <f t="shared" si="25"/>
        <v>/Applications/Stellarium.app/Contents/Resources/nebulae/default/n6139-dss.png</v>
      </c>
      <c r="D113" s="121" t="s">
        <v>1545</v>
      </c>
      <c r="E113" s="109"/>
      <c r="F113" s="122">
        <v>16</v>
      </c>
      <c r="G113" s="123">
        <v>28</v>
      </c>
      <c r="H113" s="122">
        <v>-39</v>
      </c>
      <c r="I113" s="124">
        <v>3</v>
      </c>
      <c r="J113" s="112" t="s">
        <v>1007</v>
      </c>
      <c r="K113" s="125">
        <v>14</v>
      </c>
      <c r="L113" s="196"/>
      <c r="M113" s="110">
        <f t="shared" si="26"/>
        <v>-38.950000000000003</v>
      </c>
      <c r="N113" s="111">
        <f t="shared" si="27"/>
        <v>-1.1700000000000017</v>
      </c>
      <c r="O113" s="112">
        <f t="shared" si="28"/>
        <v>16.466666666666665</v>
      </c>
      <c r="P113" s="113">
        <f t="shared" ca="1" si="29"/>
        <v>46159.880647999998</v>
      </c>
      <c r="Q113" s="114">
        <f t="shared" ca="1" si="30"/>
        <v>46174.880647999998</v>
      </c>
      <c r="R113" s="114" t="b">
        <f t="shared" ca="1" si="17"/>
        <v>1</v>
      </c>
      <c r="S113" s="115">
        <f t="shared" ca="1" si="18"/>
        <v>15</v>
      </c>
      <c r="T113" s="126">
        <f t="shared" ca="1" si="19"/>
        <v>46189.880647999998</v>
      </c>
      <c r="U113" s="127" t="str">
        <f t="shared" si="16"/>
        <v>S</v>
      </c>
      <c r="V113" s="128">
        <f t="shared" si="31"/>
        <v>-1.1700000000000017</v>
      </c>
      <c r="W113" s="129">
        <f t="shared" si="20"/>
        <v>-1.1700000000000017</v>
      </c>
      <c r="X113" s="197"/>
      <c r="Y113" s="115">
        <f t="shared" ca="1" si="21"/>
        <v>354</v>
      </c>
      <c r="Z113" s="118">
        <f t="shared" ca="1" si="22"/>
        <v>3.013698630136985E-2</v>
      </c>
      <c r="AA113" s="116"/>
      <c r="AB113" s="117">
        <f t="shared" si="23"/>
        <v>23.762466457357164</v>
      </c>
      <c r="AC113" s="118">
        <f t="shared" si="24"/>
        <v>7.343610238988181E-2</v>
      </c>
      <c r="AE113" s="55"/>
      <c r="AF113" s="72"/>
      <c r="AG113" s="72"/>
      <c r="AH113" s="66"/>
      <c r="AJ113" t="s">
        <v>451</v>
      </c>
    </row>
    <row r="114" spans="1:36" ht="16" hidden="1" thickBot="1" x14ac:dyDescent="0.25">
      <c r="A114" s="119" t="s">
        <v>194</v>
      </c>
      <c r="B114" s="120" t="s">
        <v>1262</v>
      </c>
      <c r="C114" s="108" t="str">
        <f t="shared" si="25"/>
        <v>/Applications/Stellarium.app/Contents/Resources/nebulae/default/m107.png</v>
      </c>
      <c r="D114" s="121" t="s">
        <v>1546</v>
      </c>
      <c r="E114" s="109"/>
      <c r="F114" s="122">
        <v>16</v>
      </c>
      <c r="G114" s="123">
        <v>33</v>
      </c>
      <c r="H114" s="122">
        <v>-14</v>
      </c>
      <c r="I114" s="124">
        <v>48</v>
      </c>
      <c r="J114" s="112" t="s">
        <v>56</v>
      </c>
      <c r="K114" s="125">
        <v>14.6</v>
      </c>
      <c r="L114" s="196"/>
      <c r="M114" s="110">
        <f t="shared" si="26"/>
        <v>-13.2</v>
      </c>
      <c r="N114" s="111">
        <f t="shared" si="27"/>
        <v>24.580000000000002</v>
      </c>
      <c r="O114" s="112">
        <f t="shared" si="28"/>
        <v>16.55</v>
      </c>
      <c r="P114" s="113">
        <f t="shared" ca="1" si="29"/>
        <v>46161.148847999997</v>
      </c>
      <c r="Q114" s="114">
        <f t="shared" ca="1" si="30"/>
        <v>46176.148847999997</v>
      </c>
      <c r="R114" s="114" t="b">
        <f t="shared" ca="1" si="17"/>
        <v>1</v>
      </c>
      <c r="S114" s="115">
        <f t="shared" ca="1" si="18"/>
        <v>15</v>
      </c>
      <c r="T114" s="126">
        <f t="shared" ca="1" si="19"/>
        <v>46191.148847999997</v>
      </c>
      <c r="U114" s="127" t="str">
        <f t="shared" si="16"/>
        <v>S</v>
      </c>
      <c r="V114" s="128">
        <f t="shared" si="31"/>
        <v>24.580000000000002</v>
      </c>
      <c r="W114" s="129">
        <f t="shared" si="20"/>
        <v>24.580000000000002</v>
      </c>
      <c r="X114" s="197"/>
      <c r="Y114" s="115">
        <f t="shared" ca="1" si="21"/>
        <v>353</v>
      </c>
      <c r="Z114" s="118">
        <f t="shared" ca="1" si="22"/>
        <v>3.2876712328767099E-2</v>
      </c>
      <c r="AA114" s="116"/>
      <c r="AB114" s="117">
        <f t="shared" si="23"/>
        <v>23.845572254551321</v>
      </c>
      <c r="AC114" s="118">
        <f t="shared" si="24"/>
        <v>7.6898843939638375E-2</v>
      </c>
      <c r="AE114" s="55"/>
      <c r="AF114" s="72"/>
      <c r="AG114" s="72"/>
      <c r="AH114" s="66"/>
      <c r="AJ114" t="s">
        <v>194</v>
      </c>
    </row>
    <row r="115" spans="1:36" ht="16" hidden="1" thickBot="1" x14ac:dyDescent="0.25">
      <c r="A115" s="119" t="s">
        <v>658</v>
      </c>
      <c r="B115" s="120" t="s">
        <v>1412</v>
      </c>
      <c r="C115" s="108" t="str">
        <f t="shared" si="25"/>
        <v>/Applications/Stellarium.app/Contents/Resources/nebulae/default/ldn43.png</v>
      </c>
      <c r="D115" s="121" t="s">
        <v>1547</v>
      </c>
      <c r="E115" s="109"/>
      <c r="F115" s="122">
        <v>16</v>
      </c>
      <c r="G115" s="123">
        <v>36</v>
      </c>
      <c r="H115" s="122">
        <v>-16</v>
      </c>
      <c r="I115" s="124">
        <v>14</v>
      </c>
      <c r="J115" s="112" t="s">
        <v>750</v>
      </c>
      <c r="K115" s="125">
        <v>14.8</v>
      </c>
      <c r="L115" s="196"/>
      <c r="M115" s="110">
        <f t="shared" si="26"/>
        <v>-15.766666666666667</v>
      </c>
      <c r="N115" s="111">
        <f t="shared" si="27"/>
        <v>22.013333333333335</v>
      </c>
      <c r="O115" s="112">
        <f t="shared" si="28"/>
        <v>16.600000000000001</v>
      </c>
      <c r="P115" s="113">
        <f t="shared" ca="1" si="29"/>
        <v>46161.909767999998</v>
      </c>
      <c r="Q115" s="114">
        <f t="shared" ca="1" si="30"/>
        <v>46176.909767999998</v>
      </c>
      <c r="R115" s="114" t="b">
        <f t="shared" ca="1" si="17"/>
        <v>1</v>
      </c>
      <c r="S115" s="115">
        <f t="shared" ca="1" si="18"/>
        <v>15</v>
      </c>
      <c r="T115" s="126">
        <f t="shared" ca="1" si="19"/>
        <v>46191.909767999998</v>
      </c>
      <c r="U115" s="127" t="str">
        <f t="shared" si="16"/>
        <v>S</v>
      </c>
      <c r="V115" s="128">
        <f t="shared" si="31"/>
        <v>22.013333333333335</v>
      </c>
      <c r="W115" s="129">
        <f t="shared" si="20"/>
        <v>22.013333333333335</v>
      </c>
      <c r="X115" s="197"/>
      <c r="Y115" s="115">
        <f t="shared" ca="1" si="21"/>
        <v>352</v>
      </c>
      <c r="Z115" s="118">
        <f t="shared" ca="1" si="22"/>
        <v>3.5616438356164348E-2</v>
      </c>
      <c r="AA115" s="116"/>
      <c r="AB115" s="117">
        <f t="shared" si="23"/>
        <v>23.895435732867814</v>
      </c>
      <c r="AC115" s="118">
        <f t="shared" si="24"/>
        <v>7.8976488869492226E-2</v>
      </c>
      <c r="AE115" s="55"/>
      <c r="AF115" s="72"/>
      <c r="AG115" s="72"/>
      <c r="AH115" s="66"/>
      <c r="AJ115" t="s">
        <v>658</v>
      </c>
    </row>
    <row r="116" spans="1:36" ht="16" thickBot="1" x14ac:dyDescent="0.25">
      <c r="A116" s="119" t="s">
        <v>105</v>
      </c>
      <c r="B116" s="120" t="s">
        <v>1199</v>
      </c>
      <c r="C116" s="108" t="str">
        <f t="shared" si="25"/>
        <v>/Applications/Stellarium.app/Contents/Resources/nebulae/default/m13.png</v>
      </c>
      <c r="D116" s="121" t="s">
        <v>1548</v>
      </c>
      <c r="E116" s="109"/>
      <c r="F116" s="122">
        <v>16</v>
      </c>
      <c r="G116" s="123">
        <v>42</v>
      </c>
      <c r="H116" s="122">
        <v>36</v>
      </c>
      <c r="I116" s="124">
        <v>14</v>
      </c>
      <c r="J116" s="112" t="s">
        <v>729</v>
      </c>
      <c r="K116" s="125">
        <v>13.4</v>
      </c>
      <c r="L116" s="196"/>
      <c r="M116" s="110">
        <f t="shared" si="26"/>
        <v>36.233333333333334</v>
      </c>
      <c r="N116" s="111">
        <f t="shared" si="27"/>
        <v>74.013333333333335</v>
      </c>
      <c r="O116" s="112">
        <f t="shared" si="28"/>
        <v>16.7</v>
      </c>
      <c r="P116" s="113">
        <f t="shared" ca="1" si="29"/>
        <v>46163.431607999999</v>
      </c>
      <c r="Q116" s="114">
        <f t="shared" ca="1" si="30"/>
        <v>46178.431607999999</v>
      </c>
      <c r="R116" s="114" t="b">
        <f t="shared" ca="1" si="17"/>
        <v>1</v>
      </c>
      <c r="S116" s="115">
        <f t="shared" ca="1" si="18"/>
        <v>15</v>
      </c>
      <c r="T116" s="126">
        <f t="shared" ca="1" si="19"/>
        <v>46193.431607999999</v>
      </c>
      <c r="U116" s="127" t="str">
        <f t="shared" ref="U116:U179" si="32">IF(N116&lt;90,"S","N")</f>
        <v>S</v>
      </c>
      <c r="V116" s="128">
        <f t="shared" si="31"/>
        <v>74.013333333333335</v>
      </c>
      <c r="W116" s="129">
        <f t="shared" si="20"/>
        <v>74.013333333333335</v>
      </c>
      <c r="X116" s="197"/>
      <c r="Y116" s="115">
        <f t="shared" ca="1" si="21"/>
        <v>351</v>
      </c>
      <c r="Z116" s="118">
        <f t="shared" ca="1" si="22"/>
        <v>3.8356164383561597E-2</v>
      </c>
      <c r="AA116" s="116"/>
      <c r="AB116" s="117">
        <f t="shared" si="23"/>
        <v>6.0693097583799559E-2</v>
      </c>
      <c r="AC116" s="118">
        <f t="shared" si="24"/>
        <v>8.5862212399324969E-2</v>
      </c>
      <c r="AE116" s="55"/>
      <c r="AF116" s="72"/>
      <c r="AG116" s="72"/>
      <c r="AH116" s="66"/>
      <c r="AJ116" t="s">
        <v>105</v>
      </c>
    </row>
    <row r="117" spans="1:36" ht="16" hidden="1" thickBot="1" x14ac:dyDescent="0.25">
      <c r="A117" s="119" t="s">
        <v>453</v>
      </c>
      <c r="B117" s="120" t="s">
        <v>1312</v>
      </c>
      <c r="C117" s="108" t="str">
        <f t="shared" si="25"/>
        <v>/Applications/Stellarium.app/Contents/Resources/nebulae/default/n6188.png</v>
      </c>
      <c r="D117" s="121" t="s">
        <v>1549</v>
      </c>
      <c r="E117" s="109"/>
      <c r="F117" s="122">
        <v>16</v>
      </c>
      <c r="G117" s="123">
        <v>43</v>
      </c>
      <c r="H117" s="122">
        <v>-50</v>
      </c>
      <c r="I117" s="124">
        <v>51</v>
      </c>
      <c r="J117" s="112" t="s">
        <v>1008</v>
      </c>
      <c r="K117" s="125">
        <v>14.2</v>
      </c>
      <c r="L117" s="196"/>
      <c r="M117" s="110">
        <f t="shared" si="26"/>
        <v>-49.15</v>
      </c>
      <c r="N117" s="111">
        <f t="shared" si="27"/>
        <v>-11.369999999999997</v>
      </c>
      <c r="O117" s="112">
        <f t="shared" si="28"/>
        <v>16.716666666666665</v>
      </c>
      <c r="P117" s="113">
        <f t="shared" ca="1" si="29"/>
        <v>46163.685248000002</v>
      </c>
      <c r="Q117" s="114">
        <f t="shared" ca="1" si="30"/>
        <v>46178.685248000002</v>
      </c>
      <c r="R117" s="114" t="b">
        <f t="shared" ca="1" si="17"/>
        <v>1</v>
      </c>
      <c r="S117" s="115">
        <f t="shared" ca="1" si="18"/>
        <v>15</v>
      </c>
      <c r="T117" s="126">
        <f t="shared" ca="1" si="19"/>
        <v>46193.685248000002</v>
      </c>
      <c r="U117" s="127" t="str">
        <f t="shared" si="32"/>
        <v>S</v>
      </c>
      <c r="V117" s="128">
        <f t="shared" si="31"/>
        <v>-11.369999999999997</v>
      </c>
      <c r="W117" s="129">
        <f t="shared" si="20"/>
        <v>-11.369999999999997</v>
      </c>
      <c r="X117" s="197"/>
      <c r="Y117" s="115">
        <f t="shared" ca="1" si="21"/>
        <v>350</v>
      </c>
      <c r="Z117" s="118">
        <f t="shared" ca="1" si="22"/>
        <v>4.1095890410958957E-2</v>
      </c>
      <c r="AA117" s="116"/>
      <c r="AB117" s="117">
        <f t="shared" si="23"/>
        <v>7.7314257022629868E-2</v>
      </c>
      <c r="AC117" s="118">
        <f t="shared" si="24"/>
        <v>8.6554760709276243E-2</v>
      </c>
      <c r="AE117" s="55"/>
      <c r="AF117" s="72"/>
      <c r="AG117" s="72"/>
      <c r="AH117" s="66"/>
      <c r="AJ117" t="s">
        <v>453</v>
      </c>
    </row>
    <row r="118" spans="1:36" ht="16" hidden="1" thickBot="1" x14ac:dyDescent="0.25">
      <c r="A118" s="119" t="s">
        <v>454</v>
      </c>
      <c r="B118" s="120" t="s">
        <v>1313</v>
      </c>
      <c r="C118" s="108" t="str">
        <f t="shared" si="25"/>
        <v>/Applications/Stellarium.app/Contents/Resources/nebulae/default/n6210.png</v>
      </c>
      <c r="D118" s="121" t="s">
        <v>1550</v>
      </c>
      <c r="E118" s="109"/>
      <c r="F118" s="122">
        <v>16</v>
      </c>
      <c r="G118" s="123">
        <v>44</v>
      </c>
      <c r="H118" s="122">
        <v>23</v>
      </c>
      <c r="I118" s="124">
        <v>47</v>
      </c>
      <c r="J118" s="112" t="s">
        <v>1009</v>
      </c>
      <c r="K118" s="125">
        <v>12.5</v>
      </c>
      <c r="L118" s="196"/>
      <c r="M118" s="110">
        <f t="shared" si="26"/>
        <v>23.783333333333335</v>
      </c>
      <c r="N118" s="111">
        <f t="shared" si="27"/>
        <v>61.563333333333333</v>
      </c>
      <c r="O118" s="112">
        <f t="shared" si="28"/>
        <v>16.733333333333334</v>
      </c>
      <c r="P118" s="113">
        <f t="shared" ca="1" si="29"/>
        <v>46163.938887999997</v>
      </c>
      <c r="Q118" s="114">
        <f t="shared" ca="1" si="30"/>
        <v>46178.938887999997</v>
      </c>
      <c r="R118" s="114" t="b">
        <f t="shared" ca="1" si="17"/>
        <v>1</v>
      </c>
      <c r="S118" s="115">
        <f t="shared" ca="1" si="18"/>
        <v>15</v>
      </c>
      <c r="T118" s="126">
        <f t="shared" ca="1" si="19"/>
        <v>46193.938887999997</v>
      </c>
      <c r="U118" s="127" t="str">
        <f t="shared" si="32"/>
        <v>S</v>
      </c>
      <c r="V118" s="128">
        <f t="shared" si="31"/>
        <v>61.563333333333333</v>
      </c>
      <c r="W118" s="129">
        <f t="shared" si="20"/>
        <v>61.563333333333333</v>
      </c>
      <c r="X118" s="197"/>
      <c r="Y118" s="115">
        <f t="shared" ca="1" si="21"/>
        <v>350</v>
      </c>
      <c r="Z118" s="118">
        <f t="shared" ca="1" si="22"/>
        <v>4.1095890410958957E-2</v>
      </c>
      <c r="AA118" s="116"/>
      <c r="AB118" s="117">
        <f t="shared" si="23"/>
        <v>9.3935416461463708E-2</v>
      </c>
      <c r="AC118" s="118">
        <f t="shared" si="24"/>
        <v>8.7247309019227656E-2</v>
      </c>
      <c r="AE118" s="55"/>
      <c r="AF118" s="72"/>
      <c r="AG118" s="72"/>
      <c r="AH118" s="66"/>
      <c r="AJ118" t="s">
        <v>454</v>
      </c>
    </row>
    <row r="119" spans="1:36" ht="16" hidden="1" thickBot="1" x14ac:dyDescent="0.25">
      <c r="A119" s="119" t="s">
        <v>104</v>
      </c>
      <c r="B119" s="120" t="s">
        <v>1198</v>
      </c>
      <c r="C119" s="108" t="str">
        <f t="shared" si="25"/>
        <v>/Applications/Stellarium.app/Contents/Resources/nebulae/default/m12.png</v>
      </c>
      <c r="D119" s="121" t="s">
        <v>1551</v>
      </c>
      <c r="E119" s="109"/>
      <c r="F119" s="122">
        <v>16</v>
      </c>
      <c r="G119" s="123">
        <v>47</v>
      </c>
      <c r="H119" s="122">
        <v>-3</v>
      </c>
      <c r="I119" s="124">
        <v>54</v>
      </c>
      <c r="J119" s="112" t="s">
        <v>720</v>
      </c>
      <c r="K119" s="125">
        <v>14.2</v>
      </c>
      <c r="L119" s="196"/>
      <c r="M119" s="110">
        <f t="shared" si="26"/>
        <v>-2.1</v>
      </c>
      <c r="N119" s="111">
        <f t="shared" si="27"/>
        <v>35.68</v>
      </c>
      <c r="O119" s="112">
        <f t="shared" si="28"/>
        <v>16.783333333333335</v>
      </c>
      <c r="P119" s="113">
        <f t="shared" ca="1" si="29"/>
        <v>46164.699807999998</v>
      </c>
      <c r="Q119" s="114">
        <f t="shared" ca="1" si="30"/>
        <v>46179.699807999998</v>
      </c>
      <c r="R119" s="114" t="b">
        <f t="shared" ca="1" si="17"/>
        <v>1</v>
      </c>
      <c r="S119" s="115">
        <f t="shared" ca="1" si="18"/>
        <v>15</v>
      </c>
      <c r="T119" s="126">
        <f t="shared" ca="1" si="19"/>
        <v>46194.699807999998</v>
      </c>
      <c r="U119" s="127" t="str">
        <f t="shared" si="32"/>
        <v>S</v>
      </c>
      <c r="V119" s="128">
        <f t="shared" si="31"/>
        <v>35.68</v>
      </c>
      <c r="W119" s="129">
        <f t="shared" si="20"/>
        <v>35.68</v>
      </c>
      <c r="X119" s="197"/>
      <c r="Y119" s="115">
        <f t="shared" ca="1" si="21"/>
        <v>349</v>
      </c>
      <c r="Z119" s="118">
        <f t="shared" ca="1" si="22"/>
        <v>4.3835616438356206E-2</v>
      </c>
      <c r="AA119" s="116"/>
      <c r="AB119" s="117">
        <f t="shared" si="23"/>
        <v>0.14379889477795818</v>
      </c>
      <c r="AC119" s="118">
        <f t="shared" si="24"/>
        <v>8.932495394908159E-2</v>
      </c>
      <c r="AE119" s="55"/>
      <c r="AF119" s="72"/>
      <c r="AG119" s="72"/>
      <c r="AH119" s="66"/>
      <c r="AJ119" t="s">
        <v>104</v>
      </c>
    </row>
    <row r="120" spans="1:36" ht="16" hidden="1" thickBot="1" x14ac:dyDescent="0.25">
      <c r="A120" s="119" t="s">
        <v>455</v>
      </c>
      <c r="B120" s="120" t="s">
        <v>1191</v>
      </c>
      <c r="C120" s="108" t="str">
        <f t="shared" si="25"/>
        <v>/Applications/Stellarium.app/Contents/Resources/nebulae/default/n6229-sdss.png</v>
      </c>
      <c r="D120" s="121" t="s">
        <v>1552</v>
      </c>
      <c r="E120" s="109"/>
      <c r="F120" s="122">
        <v>16</v>
      </c>
      <c r="G120" s="123">
        <v>47</v>
      </c>
      <c r="H120" s="122">
        <v>47</v>
      </c>
      <c r="I120" s="124">
        <v>27</v>
      </c>
      <c r="J120" s="112" t="s">
        <v>1010</v>
      </c>
      <c r="K120" s="125">
        <v>13.5</v>
      </c>
      <c r="L120" s="196"/>
      <c r="M120" s="110">
        <f t="shared" si="26"/>
        <v>47.45</v>
      </c>
      <c r="N120" s="111">
        <f t="shared" si="27"/>
        <v>85.23</v>
      </c>
      <c r="O120" s="112">
        <f t="shared" si="28"/>
        <v>16.783333333333335</v>
      </c>
      <c r="P120" s="113">
        <f t="shared" ca="1" si="29"/>
        <v>46164.699807999998</v>
      </c>
      <c r="Q120" s="114">
        <f t="shared" ca="1" si="30"/>
        <v>46179.699807999998</v>
      </c>
      <c r="R120" s="114" t="b">
        <f t="shared" ca="1" si="17"/>
        <v>1</v>
      </c>
      <c r="S120" s="115">
        <f t="shared" ca="1" si="18"/>
        <v>15</v>
      </c>
      <c r="T120" s="126">
        <f t="shared" ca="1" si="19"/>
        <v>46194.699807999998</v>
      </c>
      <c r="U120" s="127" t="str">
        <f t="shared" si="32"/>
        <v>S</v>
      </c>
      <c r="V120" s="128">
        <f t="shared" si="31"/>
        <v>85.23</v>
      </c>
      <c r="W120" s="129">
        <f t="shared" si="20"/>
        <v>85.23</v>
      </c>
      <c r="X120" s="197"/>
      <c r="Y120" s="115">
        <f t="shared" ca="1" si="21"/>
        <v>349</v>
      </c>
      <c r="Z120" s="118">
        <f t="shared" ca="1" si="22"/>
        <v>4.3835616438356206E-2</v>
      </c>
      <c r="AA120" s="116"/>
      <c r="AB120" s="117">
        <f t="shared" si="23"/>
        <v>0.14379889477795818</v>
      </c>
      <c r="AC120" s="118">
        <f t="shared" si="24"/>
        <v>8.932495394908159E-2</v>
      </c>
      <c r="AE120" s="55"/>
      <c r="AF120" s="72"/>
      <c r="AG120" s="72"/>
      <c r="AH120" s="66"/>
      <c r="AJ120" t="s">
        <v>455</v>
      </c>
    </row>
    <row r="121" spans="1:36" ht="16" hidden="1" thickBot="1" x14ac:dyDescent="0.25">
      <c r="A121" s="119" t="s">
        <v>457</v>
      </c>
      <c r="B121" s="120" t="s">
        <v>1207</v>
      </c>
      <c r="C121" s="108" t="str">
        <f t="shared" si="25"/>
        <v>/Applications/Stellarium.app/Contents/Resources/nebulae/default/n6235-dss.png</v>
      </c>
      <c r="D121" s="121" t="s">
        <v>1553</v>
      </c>
      <c r="E121" s="109"/>
      <c r="F121" s="122">
        <v>16</v>
      </c>
      <c r="G121" s="123">
        <v>53</v>
      </c>
      <c r="H121" s="122">
        <v>-23</v>
      </c>
      <c r="I121" s="124">
        <v>45</v>
      </c>
      <c r="J121" s="112" t="s">
        <v>844</v>
      </c>
      <c r="K121" s="125">
        <v>13.4</v>
      </c>
      <c r="L121" s="196"/>
      <c r="M121" s="110">
        <f t="shared" si="26"/>
        <v>-22.25</v>
      </c>
      <c r="N121" s="111">
        <f t="shared" si="27"/>
        <v>15.530000000000001</v>
      </c>
      <c r="O121" s="112">
        <f t="shared" si="28"/>
        <v>16.883333333333333</v>
      </c>
      <c r="P121" s="113">
        <f t="shared" ca="1" si="29"/>
        <v>46166.221647999999</v>
      </c>
      <c r="Q121" s="114">
        <f t="shared" ca="1" si="30"/>
        <v>46181.221647999999</v>
      </c>
      <c r="R121" s="114" t="b">
        <f t="shared" ca="1" si="17"/>
        <v>1</v>
      </c>
      <c r="S121" s="115">
        <f t="shared" ca="1" si="18"/>
        <v>15</v>
      </c>
      <c r="T121" s="126">
        <f t="shared" ca="1" si="19"/>
        <v>46196.221647999999</v>
      </c>
      <c r="U121" s="127" t="str">
        <f t="shared" si="32"/>
        <v>S</v>
      </c>
      <c r="V121" s="128">
        <f t="shared" si="31"/>
        <v>15.530000000000001</v>
      </c>
      <c r="W121" s="129">
        <f t="shared" si="20"/>
        <v>15.530000000000001</v>
      </c>
      <c r="X121" s="197"/>
      <c r="Y121" s="115">
        <f t="shared" ca="1" si="21"/>
        <v>348</v>
      </c>
      <c r="Z121" s="118">
        <f t="shared" ca="1" si="22"/>
        <v>4.6575342465753455E-2</v>
      </c>
      <c r="AA121" s="116"/>
      <c r="AB121" s="117">
        <f t="shared" si="23"/>
        <v>0.24352585141094354</v>
      </c>
      <c r="AC121" s="118">
        <f t="shared" si="24"/>
        <v>9.3480243808789318E-2</v>
      </c>
      <c r="AE121" s="55"/>
      <c r="AF121" s="72"/>
      <c r="AG121" s="72"/>
      <c r="AH121" s="66"/>
      <c r="AJ121" t="s">
        <v>457</v>
      </c>
    </row>
    <row r="122" spans="1:36" ht="16" hidden="1" thickBot="1" x14ac:dyDescent="0.25">
      <c r="A122" s="119" t="s">
        <v>458</v>
      </c>
      <c r="B122" s="120" t="s">
        <v>1291</v>
      </c>
      <c r="C122" s="108" t="str">
        <f t="shared" si="25"/>
        <v>/Applications/Stellarium.app/Contents/Resources/nebulae/default/n6240.png</v>
      </c>
      <c r="D122" s="121" t="s">
        <v>1554</v>
      </c>
      <c r="E122" s="109"/>
      <c r="F122" s="122">
        <v>16</v>
      </c>
      <c r="G122" s="123">
        <v>53</v>
      </c>
      <c r="H122" s="122">
        <v>2</v>
      </c>
      <c r="I122" s="124">
        <v>22</v>
      </c>
      <c r="J122" s="112" t="s">
        <v>1012</v>
      </c>
      <c r="K122" s="125">
        <v>13.8</v>
      </c>
      <c r="L122" s="196"/>
      <c r="M122" s="110">
        <f t="shared" si="26"/>
        <v>2.3666666666666667</v>
      </c>
      <c r="N122" s="111">
        <f t="shared" si="27"/>
        <v>40.146666666666668</v>
      </c>
      <c r="O122" s="112">
        <f t="shared" si="28"/>
        <v>16.883333333333333</v>
      </c>
      <c r="P122" s="113">
        <f t="shared" ca="1" si="29"/>
        <v>46166.221647999999</v>
      </c>
      <c r="Q122" s="114">
        <f t="shared" ca="1" si="30"/>
        <v>46181.221647999999</v>
      </c>
      <c r="R122" s="114" t="b">
        <f t="shared" ca="1" si="17"/>
        <v>1</v>
      </c>
      <c r="S122" s="115">
        <f t="shared" ca="1" si="18"/>
        <v>15</v>
      </c>
      <c r="T122" s="126">
        <f t="shared" ca="1" si="19"/>
        <v>46196.221647999999</v>
      </c>
      <c r="U122" s="127" t="str">
        <f t="shared" si="32"/>
        <v>S</v>
      </c>
      <c r="V122" s="128">
        <f t="shared" si="31"/>
        <v>40.146666666666668</v>
      </c>
      <c r="W122" s="129">
        <f t="shared" si="20"/>
        <v>40.146666666666668</v>
      </c>
      <c r="X122" s="197"/>
      <c r="Y122" s="115">
        <f t="shared" ca="1" si="21"/>
        <v>348</v>
      </c>
      <c r="Z122" s="118">
        <f t="shared" ca="1" si="22"/>
        <v>4.6575342465753455E-2</v>
      </c>
      <c r="AA122" s="116"/>
      <c r="AB122" s="117">
        <f t="shared" si="23"/>
        <v>0.24352585141094354</v>
      </c>
      <c r="AC122" s="118">
        <f t="shared" si="24"/>
        <v>9.3480243808789318E-2</v>
      </c>
      <c r="AE122" s="55"/>
      <c r="AF122" s="72"/>
      <c r="AG122" s="72"/>
      <c r="AH122" s="66"/>
      <c r="AJ122" t="s">
        <v>458</v>
      </c>
    </row>
    <row r="123" spans="1:36" ht="16" hidden="1" thickBot="1" x14ac:dyDescent="0.25">
      <c r="A123" s="119" t="s">
        <v>456</v>
      </c>
      <c r="B123" s="120" t="s">
        <v>1207</v>
      </c>
      <c r="C123" s="108" t="str">
        <f t="shared" si="25"/>
        <v>/Applications/Stellarium.app/Contents/Resources/nebulae/default/n6231.png</v>
      </c>
      <c r="D123" s="121" t="s">
        <v>1555</v>
      </c>
      <c r="E123" s="109"/>
      <c r="F123" s="122">
        <v>16</v>
      </c>
      <c r="G123" s="123">
        <v>55</v>
      </c>
      <c r="H123" s="122">
        <v>-42</v>
      </c>
      <c r="I123" s="124">
        <v>6</v>
      </c>
      <c r="J123" s="112" t="s">
        <v>1011</v>
      </c>
      <c r="K123" s="125">
        <v>12.5</v>
      </c>
      <c r="L123" s="196"/>
      <c r="M123" s="110">
        <f t="shared" si="26"/>
        <v>-41.9</v>
      </c>
      <c r="N123" s="111">
        <f t="shared" si="27"/>
        <v>-4.1199999999999974</v>
      </c>
      <c r="O123" s="112">
        <f t="shared" si="28"/>
        <v>16.916666666666668</v>
      </c>
      <c r="P123" s="113">
        <f t="shared" ca="1" si="29"/>
        <v>46166.728927999997</v>
      </c>
      <c r="Q123" s="114">
        <f t="shared" ca="1" si="30"/>
        <v>46181.728927999997</v>
      </c>
      <c r="R123" s="114" t="b">
        <f t="shared" ca="1" si="17"/>
        <v>1</v>
      </c>
      <c r="S123" s="115">
        <f t="shared" ca="1" si="18"/>
        <v>15</v>
      </c>
      <c r="T123" s="126">
        <f t="shared" ca="1" si="19"/>
        <v>46196.728927999997</v>
      </c>
      <c r="U123" s="127" t="str">
        <f t="shared" si="32"/>
        <v>S</v>
      </c>
      <c r="V123" s="128">
        <f t="shared" si="31"/>
        <v>-4.1199999999999974</v>
      </c>
      <c r="W123" s="129">
        <f t="shared" si="20"/>
        <v>-4.1199999999999974</v>
      </c>
      <c r="X123" s="197"/>
      <c r="Y123" s="115">
        <f t="shared" ca="1" si="21"/>
        <v>347</v>
      </c>
      <c r="Z123" s="118">
        <f t="shared" ca="1" si="22"/>
        <v>4.9315068493150704E-2</v>
      </c>
      <c r="AA123" s="116"/>
      <c r="AB123" s="117">
        <f t="shared" si="23"/>
        <v>0.27676817028860773</v>
      </c>
      <c r="AC123" s="118">
        <f t="shared" si="24"/>
        <v>9.4865340428691991E-2</v>
      </c>
      <c r="AE123" s="55"/>
      <c r="AF123" s="72"/>
      <c r="AG123" s="72"/>
      <c r="AH123" s="66"/>
      <c r="AJ123" t="s">
        <v>456</v>
      </c>
    </row>
    <row r="124" spans="1:36" ht="16" hidden="1" thickBot="1" x14ac:dyDescent="0.25">
      <c r="A124" s="119" t="s">
        <v>102</v>
      </c>
      <c r="B124" s="120" t="s">
        <v>1191</v>
      </c>
      <c r="C124" s="108" t="str">
        <f t="shared" si="25"/>
        <v>/Applications/Stellarium.app/Contents/Resources/nebulae/default/m10.png</v>
      </c>
      <c r="D124" s="121" t="s">
        <v>1556</v>
      </c>
      <c r="E124" s="109"/>
      <c r="F124" s="122">
        <v>16</v>
      </c>
      <c r="G124" s="123">
        <v>57</v>
      </c>
      <c r="H124" s="122">
        <v>-5</v>
      </c>
      <c r="I124" s="124">
        <v>43</v>
      </c>
      <c r="J124" s="112" t="s">
        <v>727</v>
      </c>
      <c r="K124" s="125">
        <v>13.5</v>
      </c>
      <c r="L124" s="196"/>
      <c r="M124" s="110">
        <f t="shared" si="26"/>
        <v>-4.2833333333333332</v>
      </c>
      <c r="N124" s="111">
        <f t="shared" si="27"/>
        <v>33.49666666666667</v>
      </c>
      <c r="O124" s="112">
        <f t="shared" si="28"/>
        <v>16.95</v>
      </c>
      <c r="P124" s="113">
        <f t="shared" ca="1" si="29"/>
        <v>46167.236208000002</v>
      </c>
      <c r="Q124" s="114">
        <f t="shared" ca="1" si="30"/>
        <v>46182.236208000002</v>
      </c>
      <c r="R124" s="114" t="b">
        <f t="shared" ca="1" si="17"/>
        <v>1</v>
      </c>
      <c r="S124" s="115">
        <f t="shared" ca="1" si="18"/>
        <v>15</v>
      </c>
      <c r="T124" s="126">
        <f t="shared" ca="1" si="19"/>
        <v>46197.236208000002</v>
      </c>
      <c r="U124" s="127" t="str">
        <f t="shared" si="32"/>
        <v>S</v>
      </c>
      <c r="V124" s="128">
        <f t="shared" si="31"/>
        <v>33.49666666666667</v>
      </c>
      <c r="W124" s="129">
        <f t="shared" si="20"/>
        <v>33.49666666666667</v>
      </c>
      <c r="X124" s="197"/>
      <c r="Y124" s="115">
        <f t="shared" ca="1" si="21"/>
        <v>347</v>
      </c>
      <c r="Z124" s="118">
        <f t="shared" ca="1" si="22"/>
        <v>4.9315068493150704E-2</v>
      </c>
      <c r="AA124" s="116"/>
      <c r="AB124" s="117">
        <f t="shared" si="23"/>
        <v>0.31001048916626833</v>
      </c>
      <c r="AC124" s="118">
        <f t="shared" si="24"/>
        <v>9.6250437048594525E-2</v>
      </c>
      <c r="AE124" s="55"/>
      <c r="AF124" s="72"/>
      <c r="AG124" s="72"/>
      <c r="AH124" s="66"/>
      <c r="AJ124" t="s">
        <v>102</v>
      </c>
    </row>
    <row r="125" spans="1:36" ht="16" hidden="1" thickBot="1" x14ac:dyDescent="0.25">
      <c r="A125" s="119" t="s">
        <v>151</v>
      </c>
      <c r="B125" s="120" t="s">
        <v>1232</v>
      </c>
      <c r="C125" s="108" t="str">
        <f t="shared" si="25"/>
        <v>/Applications/Stellarium.app/Contents/Resources/nebulae/default/m62.png</v>
      </c>
      <c r="D125" s="121" t="s">
        <v>1557</v>
      </c>
      <c r="E125" s="109"/>
      <c r="F125" s="122">
        <v>17</v>
      </c>
      <c r="G125" s="123">
        <v>1</v>
      </c>
      <c r="H125" s="122">
        <v>-31</v>
      </c>
      <c r="I125" s="124">
        <v>46</v>
      </c>
      <c r="J125" s="112" t="s">
        <v>740</v>
      </c>
      <c r="K125" s="125">
        <v>13.5</v>
      </c>
      <c r="L125" s="196"/>
      <c r="M125" s="110">
        <f t="shared" si="26"/>
        <v>-30.233333333333334</v>
      </c>
      <c r="N125" s="111">
        <f t="shared" si="27"/>
        <v>7.5466666666666669</v>
      </c>
      <c r="O125" s="112">
        <f t="shared" si="28"/>
        <v>17.016666666666666</v>
      </c>
      <c r="P125" s="113">
        <f t="shared" ca="1" si="29"/>
        <v>46168.250767999998</v>
      </c>
      <c r="Q125" s="114">
        <f t="shared" ca="1" si="30"/>
        <v>46183.250767999998</v>
      </c>
      <c r="R125" s="114" t="b">
        <f t="shared" ca="1" si="17"/>
        <v>1</v>
      </c>
      <c r="S125" s="115">
        <f t="shared" ca="1" si="18"/>
        <v>15</v>
      </c>
      <c r="T125" s="126">
        <f t="shared" ca="1" si="19"/>
        <v>46198.250767999998</v>
      </c>
      <c r="U125" s="127" t="str">
        <f t="shared" si="32"/>
        <v>S</v>
      </c>
      <c r="V125" s="128">
        <f t="shared" si="31"/>
        <v>7.5466666666666669</v>
      </c>
      <c r="W125" s="129">
        <f t="shared" si="20"/>
        <v>7.5466666666666669</v>
      </c>
      <c r="X125" s="197"/>
      <c r="Y125" s="115">
        <f t="shared" ca="1" si="21"/>
        <v>346</v>
      </c>
      <c r="Z125" s="118">
        <f t="shared" ca="1" si="22"/>
        <v>5.2054794520547953E-2</v>
      </c>
      <c r="AA125" s="116"/>
      <c r="AB125" s="117">
        <f t="shared" si="23"/>
        <v>0.37649512692159309</v>
      </c>
      <c r="AC125" s="118">
        <f t="shared" si="24"/>
        <v>9.9020630288399705E-2</v>
      </c>
      <c r="AE125" s="55"/>
      <c r="AF125" s="72"/>
      <c r="AG125" s="72"/>
      <c r="AH125" s="66"/>
      <c r="AJ125" t="s">
        <v>151</v>
      </c>
    </row>
    <row r="126" spans="1:36" ht="16" hidden="1" thickBot="1" x14ac:dyDescent="0.25">
      <c r="A126" s="119" t="s">
        <v>597</v>
      </c>
      <c r="B126" s="120" t="s">
        <v>1380</v>
      </c>
      <c r="C126" s="108" t="str">
        <f t="shared" si="25"/>
        <v>/Applications/Stellarium.app/Contents/Resources/nebulae/default/ic4628.png</v>
      </c>
      <c r="D126" s="121" t="s">
        <v>1558</v>
      </c>
      <c r="E126" s="109"/>
      <c r="F126" s="122">
        <v>17</v>
      </c>
      <c r="G126" s="123">
        <v>1</v>
      </c>
      <c r="H126" s="122">
        <v>-41</v>
      </c>
      <c r="I126" s="124">
        <v>8</v>
      </c>
      <c r="J126" s="112" t="s">
        <v>743</v>
      </c>
      <c r="K126" s="125">
        <v>14.4</v>
      </c>
      <c r="L126" s="196"/>
      <c r="M126" s="110">
        <f t="shared" si="26"/>
        <v>-40.866666666666667</v>
      </c>
      <c r="N126" s="111">
        <f t="shared" si="27"/>
        <v>-3.086666666666666</v>
      </c>
      <c r="O126" s="112">
        <f t="shared" si="28"/>
        <v>17.016666666666666</v>
      </c>
      <c r="P126" s="113">
        <f t="shared" ca="1" si="29"/>
        <v>46168.250767999998</v>
      </c>
      <c r="Q126" s="114">
        <f t="shared" ca="1" si="30"/>
        <v>46183.250767999998</v>
      </c>
      <c r="R126" s="114" t="b">
        <f t="shared" ca="1" si="17"/>
        <v>1</v>
      </c>
      <c r="S126" s="115">
        <f t="shared" ca="1" si="18"/>
        <v>15</v>
      </c>
      <c r="T126" s="126">
        <f t="shared" ca="1" si="19"/>
        <v>46198.250767999998</v>
      </c>
      <c r="U126" s="127" t="str">
        <f t="shared" si="32"/>
        <v>S</v>
      </c>
      <c r="V126" s="128">
        <f t="shared" si="31"/>
        <v>-3.086666666666666</v>
      </c>
      <c r="W126" s="129">
        <f t="shared" si="20"/>
        <v>-3.086666666666666</v>
      </c>
      <c r="X126" s="197"/>
      <c r="Y126" s="115">
        <f t="shared" ca="1" si="21"/>
        <v>346</v>
      </c>
      <c r="Z126" s="118">
        <f t="shared" ca="1" si="22"/>
        <v>5.2054794520547953E-2</v>
      </c>
      <c r="AA126" s="116"/>
      <c r="AB126" s="117">
        <f t="shared" si="23"/>
        <v>0.37649512692159309</v>
      </c>
      <c r="AC126" s="118">
        <f t="shared" si="24"/>
        <v>9.9020630288399705E-2</v>
      </c>
      <c r="AE126" s="55"/>
      <c r="AF126" s="72"/>
      <c r="AG126" s="72"/>
      <c r="AH126" s="66"/>
      <c r="AJ126" t="s">
        <v>597</v>
      </c>
    </row>
    <row r="127" spans="1:36" ht="16" hidden="1" thickBot="1" x14ac:dyDescent="0.25">
      <c r="A127" s="119" t="s">
        <v>598</v>
      </c>
      <c r="B127" s="120" t="s">
        <v>1277</v>
      </c>
      <c r="C127" s="108" t="str">
        <f t="shared" si="25"/>
        <v>/Applications/Stellarium.app/Contents/Resources/nebulae/default/ic4634.png</v>
      </c>
      <c r="D127" s="121" t="s">
        <v>1559</v>
      </c>
      <c r="E127" s="109"/>
      <c r="F127" s="122">
        <v>17</v>
      </c>
      <c r="G127" s="123">
        <v>1</v>
      </c>
      <c r="H127" s="122">
        <v>-22</v>
      </c>
      <c r="I127" s="124">
        <v>10</v>
      </c>
      <c r="J127" s="112" t="s">
        <v>887</v>
      </c>
      <c r="K127" s="125">
        <v>13.5</v>
      </c>
      <c r="L127" s="196"/>
      <c r="M127" s="110">
        <f t="shared" si="26"/>
        <v>-21.833333333333332</v>
      </c>
      <c r="N127" s="111">
        <f t="shared" si="27"/>
        <v>15.946666666666669</v>
      </c>
      <c r="O127" s="112">
        <f t="shared" si="28"/>
        <v>17.016666666666666</v>
      </c>
      <c r="P127" s="113">
        <f t="shared" ca="1" si="29"/>
        <v>46168.250767999998</v>
      </c>
      <c r="Q127" s="114">
        <f t="shared" ca="1" si="30"/>
        <v>46183.250767999998</v>
      </c>
      <c r="R127" s="114" t="b">
        <f t="shared" ca="1" si="17"/>
        <v>1</v>
      </c>
      <c r="S127" s="115">
        <f t="shared" ca="1" si="18"/>
        <v>15</v>
      </c>
      <c r="T127" s="126">
        <f t="shared" ca="1" si="19"/>
        <v>46198.250767999998</v>
      </c>
      <c r="U127" s="127" t="str">
        <f t="shared" si="32"/>
        <v>S</v>
      </c>
      <c r="V127" s="128">
        <f t="shared" si="31"/>
        <v>15.946666666666669</v>
      </c>
      <c r="W127" s="129">
        <f t="shared" si="20"/>
        <v>15.946666666666669</v>
      </c>
      <c r="X127" s="197"/>
      <c r="Y127" s="115">
        <f t="shared" ca="1" si="21"/>
        <v>346</v>
      </c>
      <c r="Z127" s="118">
        <f t="shared" ca="1" si="22"/>
        <v>5.2054794520547953E-2</v>
      </c>
      <c r="AA127" s="116"/>
      <c r="AB127" s="117">
        <f t="shared" si="23"/>
        <v>0.37649512692159309</v>
      </c>
      <c r="AC127" s="118">
        <f t="shared" si="24"/>
        <v>9.9020630288399705E-2</v>
      </c>
      <c r="AE127" s="55"/>
      <c r="AF127" s="72"/>
      <c r="AG127" s="72"/>
      <c r="AH127" s="66"/>
      <c r="AJ127" t="s">
        <v>598</v>
      </c>
    </row>
    <row r="128" spans="1:36" ht="16" hidden="1" thickBot="1" x14ac:dyDescent="0.25">
      <c r="A128" s="119" t="s">
        <v>111</v>
      </c>
      <c r="B128" s="120" t="s">
        <v>1191</v>
      </c>
      <c r="C128" s="108" t="str">
        <f t="shared" si="25"/>
        <v>/Applications/Stellarium.app/Contents/Resources/nebulae/default/m19.png</v>
      </c>
      <c r="D128" s="121" t="s">
        <v>1560</v>
      </c>
      <c r="E128" s="109"/>
      <c r="F128" s="122">
        <v>17</v>
      </c>
      <c r="G128" s="123">
        <v>3</v>
      </c>
      <c r="H128" s="122">
        <v>-27</v>
      </c>
      <c r="I128" s="124">
        <v>35</v>
      </c>
      <c r="J128" s="112" t="s">
        <v>733</v>
      </c>
      <c r="K128" s="125">
        <v>14.2</v>
      </c>
      <c r="L128" s="196"/>
      <c r="M128" s="110">
        <f t="shared" si="26"/>
        <v>-26.416666666666668</v>
      </c>
      <c r="N128" s="111">
        <f t="shared" si="27"/>
        <v>11.363333333333333</v>
      </c>
      <c r="O128" s="112">
        <f t="shared" si="28"/>
        <v>17.05</v>
      </c>
      <c r="P128" s="113">
        <f t="shared" ca="1" si="29"/>
        <v>46168.758048000003</v>
      </c>
      <c r="Q128" s="114">
        <f t="shared" ca="1" si="30"/>
        <v>46183.758048000003</v>
      </c>
      <c r="R128" s="114" t="b">
        <f t="shared" ca="1" si="17"/>
        <v>1</v>
      </c>
      <c r="S128" s="115">
        <f t="shared" ca="1" si="18"/>
        <v>15</v>
      </c>
      <c r="T128" s="126">
        <f t="shared" ca="1" si="19"/>
        <v>46198.758048000003</v>
      </c>
      <c r="U128" s="127" t="str">
        <f t="shared" si="32"/>
        <v>S</v>
      </c>
      <c r="V128" s="128">
        <f t="shared" si="31"/>
        <v>11.363333333333333</v>
      </c>
      <c r="W128" s="129">
        <f t="shared" si="20"/>
        <v>11.363333333333333</v>
      </c>
      <c r="X128" s="197"/>
      <c r="Y128" s="115">
        <f t="shared" ca="1" si="21"/>
        <v>345</v>
      </c>
      <c r="Z128" s="118">
        <f t="shared" ca="1" si="22"/>
        <v>5.4794520547945202E-2</v>
      </c>
      <c r="AA128" s="116"/>
      <c r="AB128" s="117">
        <f t="shared" si="23"/>
        <v>0.40973744579925725</v>
      </c>
      <c r="AC128" s="118">
        <f t="shared" si="24"/>
        <v>0.10040572690830239</v>
      </c>
      <c r="AE128" s="55"/>
      <c r="AF128" s="72"/>
      <c r="AG128" s="72"/>
      <c r="AH128" s="66"/>
      <c r="AJ128" t="s">
        <v>111</v>
      </c>
    </row>
    <row r="129" spans="1:36" ht="16" hidden="1" thickBot="1" x14ac:dyDescent="0.25">
      <c r="A129" s="119" t="s">
        <v>459</v>
      </c>
      <c r="B129" s="120" t="s">
        <v>1191</v>
      </c>
      <c r="C129" s="108" t="str">
        <f t="shared" si="25"/>
        <v>/Applications/Stellarium.app/Contents/Resources/nebulae/default/n6284-dss.png</v>
      </c>
      <c r="D129" s="121" t="s">
        <v>1561</v>
      </c>
      <c r="E129" s="109"/>
      <c r="F129" s="122">
        <v>17</v>
      </c>
      <c r="G129" s="123">
        <v>4</v>
      </c>
      <c r="H129" s="122">
        <v>-25</v>
      </c>
      <c r="I129" s="124">
        <v>9</v>
      </c>
      <c r="J129" s="112" t="s">
        <v>1013</v>
      </c>
      <c r="K129" s="125">
        <v>13.4</v>
      </c>
      <c r="L129" s="196"/>
      <c r="M129" s="110">
        <f t="shared" si="26"/>
        <v>-24.85</v>
      </c>
      <c r="N129" s="111">
        <f t="shared" si="27"/>
        <v>12.93</v>
      </c>
      <c r="O129" s="112">
        <f t="shared" si="28"/>
        <v>17.066666666666666</v>
      </c>
      <c r="P129" s="113">
        <f t="shared" ca="1" si="29"/>
        <v>46169.011687999999</v>
      </c>
      <c r="Q129" s="114">
        <f t="shared" ca="1" si="30"/>
        <v>46184.011687999999</v>
      </c>
      <c r="R129" s="114" t="b">
        <f t="shared" ca="1" si="17"/>
        <v>1</v>
      </c>
      <c r="S129" s="115">
        <f t="shared" ca="1" si="18"/>
        <v>15</v>
      </c>
      <c r="T129" s="126">
        <f t="shared" ca="1" si="19"/>
        <v>46199.011687999999</v>
      </c>
      <c r="U129" s="127" t="str">
        <f t="shared" si="32"/>
        <v>S</v>
      </c>
      <c r="V129" s="128">
        <f t="shared" si="31"/>
        <v>12.93</v>
      </c>
      <c r="W129" s="129">
        <f t="shared" si="20"/>
        <v>12.93</v>
      </c>
      <c r="X129" s="197"/>
      <c r="Y129" s="115">
        <f t="shared" ca="1" si="21"/>
        <v>345</v>
      </c>
      <c r="Z129" s="118">
        <f t="shared" ca="1" si="22"/>
        <v>5.4794520547945202E-2</v>
      </c>
      <c r="AA129" s="116"/>
      <c r="AB129" s="117">
        <f t="shared" si="23"/>
        <v>0.42635860523808755</v>
      </c>
      <c r="AC129" s="118">
        <f t="shared" si="24"/>
        <v>0.10109827521825365</v>
      </c>
      <c r="AE129" s="55"/>
      <c r="AF129" s="72"/>
      <c r="AG129" s="72"/>
      <c r="AH129" s="66"/>
      <c r="AJ129" t="s">
        <v>459</v>
      </c>
    </row>
    <row r="130" spans="1:36" ht="16" hidden="1" thickBot="1" x14ac:dyDescent="0.25">
      <c r="A130" s="119" t="s">
        <v>460</v>
      </c>
      <c r="B130" s="120" t="s">
        <v>1191</v>
      </c>
      <c r="C130" s="108" t="str">
        <f t="shared" si="25"/>
        <v>/Applications/Stellarium.app/Contents/Resources/nebulae/default/n6287-dss.png</v>
      </c>
      <c r="D130" s="121" t="s">
        <v>1562</v>
      </c>
      <c r="E130" s="109"/>
      <c r="F130" s="122">
        <v>17</v>
      </c>
      <c r="G130" s="123">
        <v>5</v>
      </c>
      <c r="H130" s="122">
        <v>-23</v>
      </c>
      <c r="I130" s="124">
        <v>15</v>
      </c>
      <c r="J130" s="112" t="s">
        <v>1014</v>
      </c>
      <c r="K130" s="125">
        <v>14.5</v>
      </c>
      <c r="L130" s="196"/>
      <c r="M130" s="110">
        <f t="shared" si="26"/>
        <v>-22.75</v>
      </c>
      <c r="N130" s="111">
        <f t="shared" si="27"/>
        <v>15.030000000000001</v>
      </c>
      <c r="O130" s="112">
        <f t="shared" si="28"/>
        <v>17.083333333333332</v>
      </c>
      <c r="P130" s="113">
        <f t="shared" ca="1" si="29"/>
        <v>46169.265328000001</v>
      </c>
      <c r="Q130" s="114">
        <f t="shared" ca="1" si="30"/>
        <v>46184.265328000001</v>
      </c>
      <c r="R130" s="114" t="b">
        <f t="shared" ca="1" si="17"/>
        <v>1</v>
      </c>
      <c r="S130" s="115">
        <f t="shared" ca="1" si="18"/>
        <v>15</v>
      </c>
      <c r="T130" s="126">
        <f t="shared" ca="1" si="19"/>
        <v>46199.265328000001</v>
      </c>
      <c r="U130" s="127" t="str">
        <f t="shared" si="32"/>
        <v>S</v>
      </c>
      <c r="V130" s="128">
        <f t="shared" si="31"/>
        <v>15.030000000000001</v>
      </c>
      <c r="W130" s="129">
        <f t="shared" si="20"/>
        <v>15.030000000000001</v>
      </c>
      <c r="X130" s="197"/>
      <c r="Y130" s="115">
        <f t="shared" ca="1" si="21"/>
        <v>345</v>
      </c>
      <c r="Z130" s="118">
        <f t="shared" ca="1" si="22"/>
        <v>5.4794520547945202E-2</v>
      </c>
      <c r="AA130" s="116"/>
      <c r="AB130" s="117">
        <f t="shared" si="23"/>
        <v>0.44297976467691785</v>
      </c>
      <c r="AC130" s="118">
        <f t="shared" si="24"/>
        <v>0.10179082352820491</v>
      </c>
      <c r="AE130" s="55"/>
      <c r="AF130" s="72"/>
      <c r="AG130" s="72"/>
      <c r="AH130" s="66"/>
      <c r="AJ130" t="s">
        <v>460</v>
      </c>
    </row>
    <row r="131" spans="1:36" ht="16" hidden="1" thickBot="1" x14ac:dyDescent="0.25">
      <c r="A131" s="119" t="s">
        <v>461</v>
      </c>
      <c r="B131" s="120" t="s">
        <v>1191</v>
      </c>
      <c r="C131" s="108" t="str">
        <f t="shared" si="25"/>
        <v>/Applications/Stellarium.app/Contents/Resources/nebulae/default/n6293.png</v>
      </c>
      <c r="D131" s="121" t="s">
        <v>1563</v>
      </c>
      <c r="E131" s="109"/>
      <c r="F131" s="122">
        <v>17</v>
      </c>
      <c r="G131" s="123">
        <v>10</v>
      </c>
      <c r="H131" s="122">
        <v>-27</v>
      </c>
      <c r="I131" s="124">
        <v>21</v>
      </c>
      <c r="J131" s="112" t="s">
        <v>1007</v>
      </c>
      <c r="K131" s="125">
        <v>13.6</v>
      </c>
      <c r="L131" s="196"/>
      <c r="M131" s="110">
        <f t="shared" si="26"/>
        <v>-26.65</v>
      </c>
      <c r="N131" s="111">
        <f t="shared" si="27"/>
        <v>11.130000000000003</v>
      </c>
      <c r="O131" s="112">
        <f t="shared" si="28"/>
        <v>17.166666666666668</v>
      </c>
      <c r="P131" s="113">
        <f t="shared" ca="1" si="29"/>
        <v>46170.533528</v>
      </c>
      <c r="Q131" s="114">
        <f t="shared" ca="1" si="30"/>
        <v>46185.533528</v>
      </c>
      <c r="R131" s="114" t="b">
        <f t="shared" ca="1" si="17"/>
        <v>1</v>
      </c>
      <c r="S131" s="115">
        <f t="shared" ca="1" si="18"/>
        <v>15</v>
      </c>
      <c r="T131" s="126">
        <f t="shared" ca="1" si="19"/>
        <v>46200.533528</v>
      </c>
      <c r="U131" s="127" t="str">
        <f t="shared" si="32"/>
        <v>S</v>
      </c>
      <c r="V131" s="128">
        <f t="shared" si="31"/>
        <v>11.130000000000003</v>
      </c>
      <c r="W131" s="129">
        <f t="shared" si="20"/>
        <v>11.130000000000003</v>
      </c>
      <c r="X131" s="197"/>
      <c r="Y131" s="115">
        <f t="shared" ca="1" si="21"/>
        <v>343</v>
      </c>
      <c r="Z131" s="118">
        <f t="shared" ca="1" si="22"/>
        <v>6.02739726027397E-2</v>
      </c>
      <c r="AA131" s="116"/>
      <c r="AB131" s="117">
        <f t="shared" si="23"/>
        <v>0.52608556187107647</v>
      </c>
      <c r="AC131" s="118">
        <f t="shared" si="24"/>
        <v>0.10525356507796152</v>
      </c>
      <c r="AE131" s="55"/>
      <c r="AF131" s="72"/>
      <c r="AG131" s="72"/>
      <c r="AH131" s="66"/>
      <c r="AJ131" t="s">
        <v>461</v>
      </c>
    </row>
    <row r="132" spans="1:36" ht="16" hidden="1" thickBot="1" x14ac:dyDescent="0.25">
      <c r="A132" s="119" t="s">
        <v>462</v>
      </c>
      <c r="B132" s="120" t="s">
        <v>1314</v>
      </c>
      <c r="C132" s="108" t="str">
        <f t="shared" si="25"/>
        <v>/Applications/Stellarium.app/Contents/Resources/nebulae/default/n6302.png</v>
      </c>
      <c r="D132" s="121" t="s">
        <v>1564</v>
      </c>
      <c r="E132" s="109"/>
      <c r="F132" s="122">
        <v>17</v>
      </c>
      <c r="G132" s="123">
        <v>13</v>
      </c>
      <c r="H132" s="122">
        <v>-38</v>
      </c>
      <c r="I132" s="124">
        <v>50</v>
      </c>
      <c r="J132" s="112" t="s">
        <v>1015</v>
      </c>
      <c r="K132" s="125">
        <v>10.5</v>
      </c>
      <c r="L132" s="196"/>
      <c r="M132" s="110">
        <f t="shared" si="26"/>
        <v>-37.166666666666664</v>
      </c>
      <c r="N132" s="111">
        <f t="shared" si="27"/>
        <v>0.61333333333333684</v>
      </c>
      <c r="O132" s="112">
        <f t="shared" si="28"/>
        <v>17.216666666666665</v>
      </c>
      <c r="P132" s="113">
        <f t="shared" ca="1" si="29"/>
        <v>46171.294448000001</v>
      </c>
      <c r="Q132" s="114">
        <f t="shared" ca="1" si="30"/>
        <v>46186.294448000001</v>
      </c>
      <c r="R132" s="114" t="b">
        <f t="shared" ca="1" si="17"/>
        <v>1</v>
      </c>
      <c r="S132" s="115">
        <f t="shared" ca="1" si="18"/>
        <v>15</v>
      </c>
      <c r="T132" s="126">
        <f t="shared" ca="1" si="19"/>
        <v>46201.294448000001</v>
      </c>
      <c r="U132" s="127" t="str">
        <f t="shared" si="32"/>
        <v>S</v>
      </c>
      <c r="V132" s="128">
        <f t="shared" si="31"/>
        <v>0.61333333333333684</v>
      </c>
      <c r="W132" s="129">
        <f t="shared" si="20"/>
        <v>0.61333333333333684</v>
      </c>
      <c r="X132" s="197"/>
      <c r="Y132" s="115">
        <f t="shared" ca="1" si="21"/>
        <v>343</v>
      </c>
      <c r="Z132" s="118">
        <f t="shared" ca="1" si="22"/>
        <v>6.02739726027397E-2</v>
      </c>
      <c r="AA132" s="116"/>
      <c r="AB132" s="117">
        <f t="shared" si="23"/>
        <v>0.57594904018756743</v>
      </c>
      <c r="AC132" s="118">
        <f t="shared" si="24"/>
        <v>0.10733121000781531</v>
      </c>
      <c r="AE132" s="55"/>
      <c r="AF132" s="72"/>
      <c r="AG132" s="72"/>
      <c r="AH132" s="66"/>
      <c r="AJ132" t="s">
        <v>462</v>
      </c>
    </row>
    <row r="133" spans="1:36" ht="16" hidden="1" thickBot="1" x14ac:dyDescent="0.25">
      <c r="A133" s="119" t="s">
        <v>463</v>
      </c>
      <c r="B133" s="120" t="s">
        <v>1191</v>
      </c>
      <c r="C133" s="108" t="str">
        <f t="shared" si="25"/>
        <v>/Applications/Stellarium.app/Contents/Resources/nebulae/default/n6304.png</v>
      </c>
      <c r="D133" s="121" t="s">
        <v>1565</v>
      </c>
      <c r="E133" s="109"/>
      <c r="F133" s="122">
        <v>17</v>
      </c>
      <c r="G133" s="123">
        <v>14</v>
      </c>
      <c r="H133" s="122">
        <v>-30</v>
      </c>
      <c r="I133" s="124">
        <v>29</v>
      </c>
      <c r="J133" s="112" t="s">
        <v>1016</v>
      </c>
      <c r="K133" s="125">
        <v>13.6</v>
      </c>
      <c r="L133" s="196"/>
      <c r="M133" s="110">
        <f t="shared" si="26"/>
        <v>-29.516666666666666</v>
      </c>
      <c r="N133" s="111">
        <f t="shared" si="27"/>
        <v>8.2633333333333354</v>
      </c>
      <c r="O133" s="112">
        <f t="shared" si="28"/>
        <v>17.233333333333334</v>
      </c>
      <c r="P133" s="113">
        <f t="shared" ca="1" si="29"/>
        <v>46171.548088000003</v>
      </c>
      <c r="Q133" s="114">
        <f t="shared" ca="1" si="30"/>
        <v>46186.548088000003</v>
      </c>
      <c r="R133" s="114" t="b">
        <f t="shared" ca="1" si="17"/>
        <v>1</v>
      </c>
      <c r="S133" s="115">
        <f t="shared" ca="1" si="18"/>
        <v>15</v>
      </c>
      <c r="T133" s="126">
        <f t="shared" ca="1" si="19"/>
        <v>46201.548088000003</v>
      </c>
      <c r="U133" s="127" t="str">
        <f t="shared" si="32"/>
        <v>S</v>
      </c>
      <c r="V133" s="128">
        <f t="shared" si="31"/>
        <v>8.2633333333333354</v>
      </c>
      <c r="W133" s="129">
        <f t="shared" si="20"/>
        <v>8.2633333333333354</v>
      </c>
      <c r="X133" s="197"/>
      <c r="Y133" s="115">
        <f t="shared" ca="1" si="21"/>
        <v>342</v>
      </c>
      <c r="Z133" s="118">
        <f t="shared" ca="1" si="22"/>
        <v>6.3013698630136949E-2</v>
      </c>
      <c r="AA133" s="116"/>
      <c r="AB133" s="117">
        <f t="shared" si="23"/>
        <v>0.59257019962640123</v>
      </c>
      <c r="AC133" s="118">
        <f t="shared" si="24"/>
        <v>0.10802375831776671</v>
      </c>
      <c r="AE133" s="55"/>
      <c r="AF133" s="72"/>
      <c r="AG133" s="72"/>
      <c r="AH133" s="66"/>
      <c r="AJ133" t="s">
        <v>463</v>
      </c>
    </row>
    <row r="134" spans="1:36" ht="16" hidden="1" thickBot="1" x14ac:dyDescent="0.25">
      <c r="A134" s="119" t="s">
        <v>464</v>
      </c>
      <c r="B134" s="120" t="s">
        <v>1315</v>
      </c>
      <c r="C134" s="108" t="str">
        <f t="shared" si="25"/>
        <v>/Applications/Stellarium.app/Contents/Resources/nebulae/default/n6309.png</v>
      </c>
      <c r="D134" s="121" t="s">
        <v>1566</v>
      </c>
      <c r="E134" s="109"/>
      <c r="F134" s="122">
        <v>17</v>
      </c>
      <c r="G134" s="123">
        <v>14</v>
      </c>
      <c r="H134" s="122">
        <v>-13</v>
      </c>
      <c r="I134" s="124">
        <v>4</v>
      </c>
      <c r="J134" s="112" t="s">
        <v>904</v>
      </c>
      <c r="K134" s="125">
        <v>12.5</v>
      </c>
      <c r="L134" s="196"/>
      <c r="M134" s="110">
        <f t="shared" si="26"/>
        <v>-12.933333333333334</v>
      </c>
      <c r="N134" s="111">
        <f t="shared" si="27"/>
        <v>24.846666666666668</v>
      </c>
      <c r="O134" s="112">
        <f t="shared" si="28"/>
        <v>17.233333333333334</v>
      </c>
      <c r="P134" s="113">
        <f t="shared" ca="1" si="29"/>
        <v>46171.548088000003</v>
      </c>
      <c r="Q134" s="114">
        <f t="shared" ca="1" si="30"/>
        <v>46186.548088000003</v>
      </c>
      <c r="R134" s="114" t="b">
        <f t="shared" ca="1" si="17"/>
        <v>1</v>
      </c>
      <c r="S134" s="115">
        <f t="shared" ca="1" si="18"/>
        <v>15</v>
      </c>
      <c r="T134" s="126">
        <f t="shared" ca="1" si="19"/>
        <v>46201.548088000003</v>
      </c>
      <c r="U134" s="127" t="str">
        <f t="shared" si="32"/>
        <v>S</v>
      </c>
      <c r="V134" s="128">
        <f t="shared" si="31"/>
        <v>24.846666666666668</v>
      </c>
      <c r="W134" s="129">
        <f t="shared" si="20"/>
        <v>24.846666666666668</v>
      </c>
      <c r="X134" s="197"/>
      <c r="Y134" s="115">
        <f t="shared" ca="1" si="21"/>
        <v>342</v>
      </c>
      <c r="Z134" s="118">
        <f t="shared" ca="1" si="22"/>
        <v>6.3013698630136949E-2</v>
      </c>
      <c r="AA134" s="116"/>
      <c r="AB134" s="117">
        <f t="shared" si="23"/>
        <v>0.59257019962640123</v>
      </c>
      <c r="AC134" s="118">
        <f t="shared" si="24"/>
        <v>0.10802375831776671</v>
      </c>
      <c r="AE134" s="55"/>
      <c r="AF134" s="72"/>
      <c r="AG134" s="72"/>
      <c r="AH134" s="66"/>
      <c r="AJ134" t="s">
        <v>464</v>
      </c>
    </row>
    <row r="135" spans="1:36" ht="16" hidden="1" thickBot="1" x14ac:dyDescent="0.25">
      <c r="A135" s="119" t="s">
        <v>465</v>
      </c>
      <c r="B135" s="120" t="s">
        <v>1191</v>
      </c>
      <c r="C135" s="108" t="str">
        <f t="shared" si="25"/>
        <v>/Applications/Stellarium.app/Contents/Resources/nebulae/default/n6316.png</v>
      </c>
      <c r="D135" s="121" t="s">
        <v>1567</v>
      </c>
      <c r="E135" s="109"/>
      <c r="F135" s="122">
        <v>17</v>
      </c>
      <c r="G135" s="123">
        <v>16</v>
      </c>
      <c r="H135" s="122">
        <v>-29</v>
      </c>
      <c r="I135" s="124">
        <v>48</v>
      </c>
      <c r="J135" s="112" t="s">
        <v>1017</v>
      </c>
      <c r="K135" s="125">
        <v>13.6</v>
      </c>
      <c r="L135" s="196"/>
      <c r="M135" s="110">
        <f t="shared" si="26"/>
        <v>-28.2</v>
      </c>
      <c r="N135" s="111">
        <f t="shared" si="27"/>
        <v>9.5800000000000018</v>
      </c>
      <c r="O135" s="112">
        <f t="shared" si="28"/>
        <v>17.266666666666666</v>
      </c>
      <c r="P135" s="113">
        <f t="shared" ca="1" si="29"/>
        <v>46172.055368000001</v>
      </c>
      <c r="Q135" s="114">
        <f t="shared" ca="1" si="30"/>
        <v>46187.055368000001</v>
      </c>
      <c r="R135" s="114" t="b">
        <f t="shared" ca="1" si="17"/>
        <v>1</v>
      </c>
      <c r="S135" s="115">
        <f t="shared" ca="1" si="18"/>
        <v>15</v>
      </c>
      <c r="T135" s="126">
        <f t="shared" ca="1" si="19"/>
        <v>46202.055368000001</v>
      </c>
      <c r="U135" s="127" t="str">
        <f t="shared" si="32"/>
        <v>S</v>
      </c>
      <c r="V135" s="128">
        <f t="shared" si="31"/>
        <v>9.5800000000000018</v>
      </c>
      <c r="W135" s="129">
        <f t="shared" si="20"/>
        <v>9.5800000000000018</v>
      </c>
      <c r="X135" s="197"/>
      <c r="Y135" s="115">
        <f t="shared" ca="1" si="21"/>
        <v>342</v>
      </c>
      <c r="Z135" s="118">
        <f t="shared" ca="1" si="22"/>
        <v>6.3013698630136949E-2</v>
      </c>
      <c r="AA135" s="116"/>
      <c r="AB135" s="117">
        <f t="shared" si="23"/>
        <v>0.62581251850406183</v>
      </c>
      <c r="AC135" s="118">
        <f t="shared" si="24"/>
        <v>0.10940885493766923</v>
      </c>
      <c r="AE135" s="55"/>
      <c r="AF135" s="72"/>
      <c r="AG135" s="72"/>
      <c r="AH135" s="66"/>
      <c r="AJ135" t="s">
        <v>465</v>
      </c>
    </row>
    <row r="136" spans="1:36" ht="16" thickBot="1" x14ac:dyDescent="0.25">
      <c r="A136" s="119" t="s">
        <v>179</v>
      </c>
      <c r="B136" s="120" t="s">
        <v>1191</v>
      </c>
      <c r="C136" s="108" t="str">
        <f t="shared" si="25"/>
        <v>/Applications/Stellarium.app/Contents/Resources/nebulae/default/m92.png</v>
      </c>
      <c r="D136" s="121" t="s">
        <v>1568</v>
      </c>
      <c r="E136" s="109"/>
      <c r="F136" s="122">
        <v>17</v>
      </c>
      <c r="G136" s="123">
        <v>17</v>
      </c>
      <c r="H136" s="122">
        <v>43</v>
      </c>
      <c r="I136" s="124">
        <v>0</v>
      </c>
      <c r="J136" s="112" t="s">
        <v>728</v>
      </c>
      <c r="K136" s="125">
        <v>13.5</v>
      </c>
      <c r="L136" s="196"/>
      <c r="M136" s="110">
        <f t="shared" si="26"/>
        <v>43</v>
      </c>
      <c r="N136" s="111">
        <f t="shared" si="27"/>
        <v>80.78</v>
      </c>
      <c r="O136" s="112">
        <f t="shared" si="28"/>
        <v>17.283333333333335</v>
      </c>
      <c r="P136" s="113">
        <f t="shared" ca="1" si="29"/>
        <v>46172.309007999997</v>
      </c>
      <c r="Q136" s="114">
        <f t="shared" ca="1" si="30"/>
        <v>46187.309007999997</v>
      </c>
      <c r="R136" s="114" t="b">
        <f t="shared" ca="1" si="17"/>
        <v>1</v>
      </c>
      <c r="S136" s="115">
        <f t="shared" ca="1" si="18"/>
        <v>15</v>
      </c>
      <c r="T136" s="126">
        <f t="shared" ca="1" si="19"/>
        <v>46202.309007999997</v>
      </c>
      <c r="U136" s="127" t="str">
        <f t="shared" si="32"/>
        <v>S</v>
      </c>
      <c r="V136" s="128">
        <f t="shared" si="31"/>
        <v>80.78</v>
      </c>
      <c r="W136" s="129">
        <f t="shared" si="20"/>
        <v>80.78</v>
      </c>
      <c r="X136" s="197"/>
      <c r="Y136" s="115">
        <f t="shared" ca="1" si="21"/>
        <v>342</v>
      </c>
      <c r="Z136" s="118">
        <f t="shared" ca="1" si="22"/>
        <v>6.3013698630136949E-2</v>
      </c>
      <c r="AA136" s="116"/>
      <c r="AB136" s="117">
        <f t="shared" si="23"/>
        <v>0.64243367794289574</v>
      </c>
      <c r="AC136" s="118">
        <f t="shared" si="24"/>
        <v>0.11010140324762065</v>
      </c>
      <c r="AE136" s="55"/>
      <c r="AF136" s="72"/>
      <c r="AG136" s="72"/>
      <c r="AH136" s="66"/>
      <c r="AJ136" t="s">
        <v>179</v>
      </c>
    </row>
    <row r="137" spans="1:36" ht="16" hidden="1" thickBot="1" x14ac:dyDescent="0.25">
      <c r="A137" s="119" t="s">
        <v>466</v>
      </c>
      <c r="B137" s="120" t="s">
        <v>1191</v>
      </c>
      <c r="C137" s="108" t="str">
        <f t="shared" si="25"/>
        <v>/Applications/Stellarium.app/Contents/Resources/nebulae/default/n6325.png</v>
      </c>
      <c r="D137" s="121" t="s">
        <v>1569</v>
      </c>
      <c r="E137" s="109"/>
      <c r="F137" s="122">
        <v>17</v>
      </c>
      <c r="G137" s="123">
        <v>18</v>
      </c>
      <c r="H137" s="122">
        <v>-24</v>
      </c>
      <c r="I137" s="124">
        <v>12</v>
      </c>
      <c r="J137" s="112" t="s">
        <v>1018</v>
      </c>
      <c r="K137" s="125">
        <v>13.4</v>
      </c>
      <c r="L137" s="196"/>
      <c r="M137" s="110">
        <f t="shared" si="26"/>
        <v>-23.8</v>
      </c>
      <c r="N137" s="111">
        <f t="shared" si="27"/>
        <v>13.98</v>
      </c>
      <c r="O137" s="112">
        <f t="shared" si="28"/>
        <v>17.3</v>
      </c>
      <c r="P137" s="113">
        <f t="shared" ca="1" si="29"/>
        <v>46172.562647999999</v>
      </c>
      <c r="Q137" s="114">
        <f t="shared" ca="1" si="30"/>
        <v>46187.562647999999</v>
      </c>
      <c r="R137" s="114" t="b">
        <f t="shared" ca="1" si="17"/>
        <v>1</v>
      </c>
      <c r="S137" s="115">
        <f t="shared" ca="1" si="18"/>
        <v>15</v>
      </c>
      <c r="T137" s="126">
        <f t="shared" ca="1" si="19"/>
        <v>46202.562647999999</v>
      </c>
      <c r="U137" s="127" t="str">
        <f t="shared" si="32"/>
        <v>S</v>
      </c>
      <c r="V137" s="128">
        <f t="shared" si="31"/>
        <v>13.98</v>
      </c>
      <c r="W137" s="129">
        <f t="shared" si="20"/>
        <v>13.98</v>
      </c>
      <c r="X137" s="197"/>
      <c r="Y137" s="115">
        <f t="shared" ca="1" si="21"/>
        <v>341</v>
      </c>
      <c r="Z137" s="118">
        <f t="shared" ca="1" si="22"/>
        <v>6.5753424657534199E-2</v>
      </c>
      <c r="AA137" s="116"/>
      <c r="AB137" s="117">
        <f t="shared" si="23"/>
        <v>0.65905483738172599</v>
      </c>
      <c r="AC137" s="118">
        <f t="shared" si="24"/>
        <v>0.11079395155757192</v>
      </c>
      <c r="AE137" s="55"/>
      <c r="AF137" s="72"/>
      <c r="AG137" s="72"/>
      <c r="AH137" s="66"/>
      <c r="AJ137" t="s">
        <v>466</v>
      </c>
    </row>
    <row r="138" spans="1:36" ht="16" hidden="1" thickBot="1" x14ac:dyDescent="0.25">
      <c r="A138" s="119" t="s">
        <v>101</v>
      </c>
      <c r="B138" s="120" t="s">
        <v>1191</v>
      </c>
      <c r="C138" s="108" t="str">
        <f t="shared" si="25"/>
        <v>/Applications/Stellarium.app/Contents/Resources/nebulae/default/m9.png</v>
      </c>
      <c r="D138" s="121" t="s">
        <v>1570</v>
      </c>
      <c r="E138" s="109"/>
      <c r="F138" s="122">
        <v>17</v>
      </c>
      <c r="G138" s="123">
        <v>19</v>
      </c>
      <c r="H138" s="122">
        <v>-19</v>
      </c>
      <c r="I138" s="124">
        <v>24</v>
      </c>
      <c r="J138" s="112" t="s">
        <v>726</v>
      </c>
      <c r="K138" s="125">
        <v>14.4</v>
      </c>
      <c r="L138" s="196"/>
      <c r="M138" s="110">
        <f t="shared" si="26"/>
        <v>-18.600000000000001</v>
      </c>
      <c r="N138" s="111">
        <f t="shared" si="27"/>
        <v>19.18</v>
      </c>
      <c r="O138" s="112">
        <f t="shared" si="28"/>
        <v>17.316666666666666</v>
      </c>
      <c r="P138" s="113">
        <f t="shared" ca="1" si="29"/>
        <v>46172.816288000002</v>
      </c>
      <c r="Q138" s="114">
        <f t="shared" ca="1" si="30"/>
        <v>46187.816288000002</v>
      </c>
      <c r="R138" s="114" t="b">
        <f t="shared" ca="1" si="17"/>
        <v>1</v>
      </c>
      <c r="S138" s="115">
        <f t="shared" ca="1" si="18"/>
        <v>15</v>
      </c>
      <c r="T138" s="126">
        <f t="shared" ca="1" si="19"/>
        <v>46202.816288000002</v>
      </c>
      <c r="U138" s="127" t="str">
        <f t="shared" si="32"/>
        <v>S</v>
      </c>
      <c r="V138" s="128">
        <f t="shared" si="31"/>
        <v>19.18</v>
      </c>
      <c r="W138" s="129">
        <f t="shared" si="20"/>
        <v>19.18</v>
      </c>
      <c r="X138" s="197"/>
      <c r="Y138" s="115">
        <f t="shared" ca="1" si="21"/>
        <v>341</v>
      </c>
      <c r="Z138" s="118">
        <f t="shared" ca="1" si="22"/>
        <v>6.5753424657534199E-2</v>
      </c>
      <c r="AA138" s="116"/>
      <c r="AB138" s="117">
        <f t="shared" si="23"/>
        <v>0.67567599682055635</v>
      </c>
      <c r="AC138" s="118">
        <f t="shared" si="24"/>
        <v>0.11148649986752318</v>
      </c>
      <c r="AE138" s="55"/>
      <c r="AF138" s="72"/>
      <c r="AG138" s="72"/>
      <c r="AH138" s="66"/>
      <c r="AJ138" t="s">
        <v>101</v>
      </c>
    </row>
    <row r="139" spans="1:36" ht="16" hidden="1" thickBot="1" x14ac:dyDescent="0.25">
      <c r="A139" s="119" t="s">
        <v>467</v>
      </c>
      <c r="B139" s="120" t="s">
        <v>1271</v>
      </c>
      <c r="C139" s="108" t="str">
        <f t="shared" si="25"/>
        <v>/Applications/Stellarium.app/Contents/Resources/nebulae/default/n6334.png</v>
      </c>
      <c r="D139" s="121" t="s">
        <v>1571</v>
      </c>
      <c r="E139" s="109"/>
      <c r="F139" s="122">
        <v>17</v>
      </c>
      <c r="G139" s="123">
        <v>21</v>
      </c>
      <c r="H139" s="122">
        <v>-37</v>
      </c>
      <c r="I139" s="124">
        <v>26</v>
      </c>
      <c r="J139" s="112" t="s">
        <v>1019</v>
      </c>
      <c r="K139" s="125">
        <v>14.2</v>
      </c>
      <c r="L139" s="196"/>
      <c r="M139" s="110">
        <f t="shared" si="26"/>
        <v>-36.56666666666667</v>
      </c>
      <c r="N139" s="111">
        <f t="shared" si="27"/>
        <v>1.2133333333333312</v>
      </c>
      <c r="O139" s="112">
        <f t="shared" si="28"/>
        <v>17.350000000000001</v>
      </c>
      <c r="P139" s="113">
        <f t="shared" ca="1" si="29"/>
        <v>46173.323568</v>
      </c>
      <c r="Q139" s="114">
        <f t="shared" ca="1" si="30"/>
        <v>46188.323568</v>
      </c>
      <c r="R139" s="114" t="b">
        <f t="shared" ref="R139:R202" ca="1" si="33">AND(Q139&gt;=DATE(YEAR(Q139),3,31)-WEEKDAY(DATE(YEAR(Q139),3,31),2),Q139&lt;DATE(YEAR(Q139),10,31)-WEEKDAY(DATE(YEAR(Q139),10,31),2))</f>
        <v>1</v>
      </c>
      <c r="S139" s="115">
        <f t="shared" ref="S139:S202" ca="1" si="34">IF(R139,15,0)</f>
        <v>15</v>
      </c>
      <c r="T139" s="126">
        <f t="shared" ref="T139:T202" ca="1" si="35">Q139+S139</f>
        <v>46203.323568</v>
      </c>
      <c r="U139" s="127" t="str">
        <f t="shared" si="32"/>
        <v>S</v>
      </c>
      <c r="V139" s="128">
        <f t="shared" si="31"/>
        <v>1.2133333333333312</v>
      </c>
      <c r="W139" s="129">
        <f t="shared" ref="W139:W202" si="36">IF(M139&lt;&gt;0,V139,"")</f>
        <v>1.2133333333333312</v>
      </c>
      <c r="X139" s="197"/>
      <c r="Y139" s="115">
        <f t="shared" ref="Y139:Y202" ca="1" si="37">INT(IF(AC$7&gt;T139,AC$7-T139,AC$7+365-T139)+0.5)+S139</f>
        <v>341</v>
      </c>
      <c r="Z139" s="118">
        <f t="shared" ref="Z139:Z202" ca="1" si="38">$AB$5-Y139/365</f>
        <v>6.5753424657534199E-2</v>
      </c>
      <c r="AA139" s="116"/>
      <c r="AB139" s="117">
        <f t="shared" ref="AB139:AB202" si="39">MOD(O139-AB$10,24)/1.00273790935</f>
        <v>0.7089183156982205</v>
      </c>
      <c r="AC139" s="118">
        <f t="shared" ref="AC139:AC202" si="40">(IF(M139&lt;&gt;0,MOD(AB139+AB$11,24)/24,""))</f>
        <v>0.11287159648742585</v>
      </c>
      <c r="AE139" s="55"/>
      <c r="AF139" s="72"/>
      <c r="AG139" s="72"/>
      <c r="AH139" s="66"/>
      <c r="AJ139" t="s">
        <v>467</v>
      </c>
    </row>
    <row r="140" spans="1:36" ht="16" hidden="1" thickBot="1" x14ac:dyDescent="0.25">
      <c r="A140" s="119" t="s">
        <v>469</v>
      </c>
      <c r="B140" s="120" t="s">
        <v>1191</v>
      </c>
      <c r="C140" s="108" t="str">
        <f t="shared" ref="C140:C203" si="41">CONCATENATE(A$9&amp;D140)</f>
        <v>/Applications/Stellarium.app/Contents/Resources/nebulae/default/n6342.png</v>
      </c>
      <c r="D140" s="121" t="s">
        <v>1572</v>
      </c>
      <c r="E140" s="109"/>
      <c r="F140" s="122">
        <v>17</v>
      </c>
      <c r="G140" s="123">
        <v>21</v>
      </c>
      <c r="H140" s="122">
        <v>-20</v>
      </c>
      <c r="I140" s="124">
        <v>21</v>
      </c>
      <c r="J140" s="112" t="s">
        <v>937</v>
      </c>
      <c r="K140" s="125">
        <v>14.2</v>
      </c>
      <c r="L140" s="196"/>
      <c r="M140" s="110">
        <f t="shared" ref="M140:M203" si="42">H140+I140/60</f>
        <v>-19.649999999999999</v>
      </c>
      <c r="N140" s="111">
        <f t="shared" ref="N140:N203" si="43">90-$B$6+M140</f>
        <v>18.130000000000003</v>
      </c>
      <c r="O140" s="112">
        <f t="shared" ref="O140:O203" si="44">F140+G140/60</f>
        <v>17.350000000000001</v>
      </c>
      <c r="P140" s="113">
        <f t="shared" ref="P140:P203" ca="1" si="45">DATE(YEAR(TODAY()),3,21)+MOD(O140-12-$B$7/15,24)*15.2184</f>
        <v>46173.323568</v>
      </c>
      <c r="Q140" s="114">
        <f t="shared" ref="Q140:Q203" ca="1" si="46">DATE(YEAR(TODAY()),3,21)+MOD(O140-12-$B$7/15,24)*15.2184+15</f>
        <v>46188.323568</v>
      </c>
      <c r="R140" s="114" t="b">
        <f t="shared" ca="1" si="33"/>
        <v>1</v>
      </c>
      <c r="S140" s="115">
        <f t="shared" ca="1" si="34"/>
        <v>15</v>
      </c>
      <c r="T140" s="126">
        <f t="shared" ca="1" si="35"/>
        <v>46203.323568</v>
      </c>
      <c r="U140" s="127" t="str">
        <f t="shared" si="32"/>
        <v>S</v>
      </c>
      <c r="V140" s="128">
        <f t="shared" ref="V140:V203" si="47">IF(90-B$6+M140&gt;90,180-90+B$6-M140,90-B$6+M140)</f>
        <v>18.130000000000003</v>
      </c>
      <c r="W140" s="129">
        <f t="shared" si="36"/>
        <v>18.130000000000003</v>
      </c>
      <c r="X140" s="197"/>
      <c r="Y140" s="115">
        <f t="shared" ca="1" si="37"/>
        <v>341</v>
      </c>
      <c r="Z140" s="118">
        <f t="shared" ca="1" si="38"/>
        <v>6.5753424657534199E-2</v>
      </c>
      <c r="AA140" s="116"/>
      <c r="AB140" s="117">
        <f t="shared" si="39"/>
        <v>0.7089183156982205</v>
      </c>
      <c r="AC140" s="118">
        <f t="shared" si="40"/>
        <v>0.11287159648742585</v>
      </c>
      <c r="AE140" s="55"/>
      <c r="AF140" s="72"/>
      <c r="AG140" s="72"/>
      <c r="AH140" s="66"/>
      <c r="AJ140" t="s">
        <v>469</v>
      </c>
    </row>
    <row r="141" spans="1:36" ht="16" hidden="1" thickBot="1" x14ac:dyDescent="0.25">
      <c r="A141" s="119" t="s">
        <v>468</v>
      </c>
      <c r="B141" s="120" t="s">
        <v>1316</v>
      </c>
      <c r="C141" s="108" t="str">
        <f t="shared" si="41"/>
        <v>/Applications/Stellarium.app/Contents/Resources/nebulae/default/n6337.png</v>
      </c>
      <c r="D141" s="121" t="s">
        <v>1573</v>
      </c>
      <c r="E141" s="109"/>
      <c r="F141" s="122">
        <v>17</v>
      </c>
      <c r="G141" s="123">
        <v>22</v>
      </c>
      <c r="H141" s="122">
        <v>-39</v>
      </c>
      <c r="I141" s="124">
        <v>29</v>
      </c>
      <c r="J141" s="112" t="s">
        <v>1020</v>
      </c>
      <c r="K141" s="125">
        <v>14.2</v>
      </c>
      <c r="L141" s="196"/>
      <c r="M141" s="110">
        <f t="shared" si="42"/>
        <v>-38.516666666666666</v>
      </c>
      <c r="N141" s="111">
        <f t="shared" si="43"/>
        <v>-0.73666666666666458</v>
      </c>
      <c r="O141" s="112">
        <f t="shared" si="44"/>
        <v>17.366666666666667</v>
      </c>
      <c r="P141" s="113">
        <f t="shared" ca="1" si="45"/>
        <v>46173.577208000002</v>
      </c>
      <c r="Q141" s="114">
        <f t="shared" ca="1" si="46"/>
        <v>46188.577208000002</v>
      </c>
      <c r="R141" s="114" t="b">
        <f t="shared" ca="1" si="33"/>
        <v>1</v>
      </c>
      <c r="S141" s="115">
        <f t="shared" ca="1" si="34"/>
        <v>15</v>
      </c>
      <c r="T141" s="126">
        <f t="shared" ca="1" si="35"/>
        <v>46203.577208000002</v>
      </c>
      <c r="U141" s="127" t="str">
        <f t="shared" si="32"/>
        <v>S</v>
      </c>
      <c r="V141" s="128">
        <f t="shared" si="47"/>
        <v>-0.73666666666666458</v>
      </c>
      <c r="W141" s="129">
        <f t="shared" si="36"/>
        <v>-0.73666666666666458</v>
      </c>
      <c r="X141" s="197"/>
      <c r="Y141" s="115">
        <f t="shared" ca="1" si="37"/>
        <v>340</v>
      </c>
      <c r="Z141" s="118">
        <f t="shared" ca="1" si="38"/>
        <v>6.8493150684931559E-2</v>
      </c>
      <c r="AA141" s="116"/>
      <c r="AB141" s="117">
        <f t="shared" si="39"/>
        <v>0.72553947513705075</v>
      </c>
      <c r="AC141" s="118">
        <f t="shared" si="40"/>
        <v>0.11356414479737713</v>
      </c>
      <c r="AE141" s="55"/>
      <c r="AF141" s="72"/>
      <c r="AG141" s="72"/>
      <c r="AH141" s="66"/>
      <c r="AJ141" t="s">
        <v>468</v>
      </c>
    </row>
    <row r="142" spans="1:36" ht="16" thickBot="1" x14ac:dyDescent="0.25">
      <c r="A142" s="119" t="s">
        <v>673</v>
      </c>
      <c r="B142" s="120" t="s">
        <v>1415</v>
      </c>
      <c r="C142" s="108" t="str">
        <f t="shared" si="41"/>
        <v>/Applications/Stellarium.app/Contents/Resources/nebulae/default/u10822.png</v>
      </c>
      <c r="D142" s="121" t="s">
        <v>1574</v>
      </c>
      <c r="E142" s="109"/>
      <c r="F142" s="122">
        <v>17</v>
      </c>
      <c r="G142" s="123">
        <v>22</v>
      </c>
      <c r="H142" s="122">
        <v>57</v>
      </c>
      <c r="I142" s="124">
        <v>31</v>
      </c>
      <c r="J142" s="112" t="s">
        <v>1155</v>
      </c>
      <c r="K142" s="125">
        <v>15.3</v>
      </c>
      <c r="L142" s="196"/>
      <c r="M142" s="110">
        <f t="shared" si="42"/>
        <v>57.516666666666666</v>
      </c>
      <c r="N142" s="111">
        <f t="shared" si="43"/>
        <v>95.296666666666667</v>
      </c>
      <c r="O142" s="112">
        <f t="shared" si="44"/>
        <v>17.366666666666667</v>
      </c>
      <c r="P142" s="113">
        <f t="shared" ca="1" si="45"/>
        <v>46173.577208000002</v>
      </c>
      <c r="Q142" s="114">
        <f t="shared" ca="1" si="46"/>
        <v>46188.577208000002</v>
      </c>
      <c r="R142" s="114" t="b">
        <f t="shared" ca="1" si="33"/>
        <v>1</v>
      </c>
      <c r="S142" s="115">
        <f t="shared" ca="1" si="34"/>
        <v>15</v>
      </c>
      <c r="T142" s="126">
        <f t="shared" ca="1" si="35"/>
        <v>46203.577208000002</v>
      </c>
      <c r="U142" s="127" t="str">
        <f t="shared" si="32"/>
        <v>N</v>
      </c>
      <c r="V142" s="128">
        <f t="shared" si="47"/>
        <v>84.703333333333333</v>
      </c>
      <c r="W142" s="129">
        <f t="shared" si="36"/>
        <v>84.703333333333333</v>
      </c>
      <c r="X142" s="197"/>
      <c r="Y142" s="115">
        <f t="shared" ca="1" si="37"/>
        <v>340</v>
      </c>
      <c r="Z142" s="118">
        <f t="shared" ca="1" si="38"/>
        <v>6.8493150684931559E-2</v>
      </c>
      <c r="AA142" s="116"/>
      <c r="AB142" s="117">
        <f t="shared" si="39"/>
        <v>0.72553947513705075</v>
      </c>
      <c r="AC142" s="118">
        <f t="shared" si="40"/>
        <v>0.11356414479737713</v>
      </c>
      <c r="AE142" s="55"/>
      <c r="AF142" s="72"/>
      <c r="AG142" s="72"/>
      <c r="AH142" s="66"/>
      <c r="AJ142" t="s">
        <v>673</v>
      </c>
    </row>
    <row r="143" spans="1:36" ht="16" hidden="1" thickBot="1" x14ac:dyDescent="0.25">
      <c r="A143" s="119" t="s">
        <v>472</v>
      </c>
      <c r="B143" s="120" t="s">
        <v>1191</v>
      </c>
      <c r="C143" s="108" t="str">
        <f t="shared" si="41"/>
        <v>/Applications/Stellarium.app/Contents/Resources/nebulae/default/n6356.png</v>
      </c>
      <c r="D143" s="121" t="s">
        <v>1575</v>
      </c>
      <c r="E143" s="109"/>
      <c r="F143" s="122">
        <v>17</v>
      </c>
      <c r="G143" s="123">
        <v>23</v>
      </c>
      <c r="H143" s="122">
        <v>-18</v>
      </c>
      <c r="I143" s="124">
        <v>8</v>
      </c>
      <c r="J143" s="112" t="s">
        <v>972</v>
      </c>
      <c r="K143" s="125">
        <v>9.4</v>
      </c>
      <c r="L143" s="196"/>
      <c r="M143" s="110">
        <f t="shared" si="42"/>
        <v>-17.866666666666667</v>
      </c>
      <c r="N143" s="111">
        <f t="shared" si="43"/>
        <v>19.913333333333334</v>
      </c>
      <c r="O143" s="112">
        <f t="shared" si="44"/>
        <v>17.383333333333333</v>
      </c>
      <c r="P143" s="113">
        <f t="shared" ca="1" si="45"/>
        <v>46173.830847999998</v>
      </c>
      <c r="Q143" s="114">
        <f t="shared" ca="1" si="46"/>
        <v>46188.830847999998</v>
      </c>
      <c r="R143" s="114" t="b">
        <f t="shared" ca="1" si="33"/>
        <v>1</v>
      </c>
      <c r="S143" s="115">
        <f t="shared" ca="1" si="34"/>
        <v>15</v>
      </c>
      <c r="T143" s="126">
        <f t="shared" ca="1" si="35"/>
        <v>46203.830847999998</v>
      </c>
      <c r="U143" s="127" t="str">
        <f t="shared" si="32"/>
        <v>S</v>
      </c>
      <c r="V143" s="128">
        <f t="shared" si="47"/>
        <v>19.913333333333334</v>
      </c>
      <c r="W143" s="129">
        <f t="shared" si="36"/>
        <v>19.913333333333334</v>
      </c>
      <c r="X143" s="197"/>
      <c r="Y143" s="115">
        <f t="shared" ca="1" si="37"/>
        <v>340</v>
      </c>
      <c r="Z143" s="118">
        <f t="shared" ca="1" si="38"/>
        <v>6.8493150684931559E-2</v>
      </c>
      <c r="AA143" s="116"/>
      <c r="AB143" s="117">
        <f t="shared" si="39"/>
        <v>0.74216063457588111</v>
      </c>
      <c r="AC143" s="118">
        <f t="shared" si="40"/>
        <v>0.11425669310732837</v>
      </c>
      <c r="AE143" s="55"/>
      <c r="AF143" s="72"/>
      <c r="AG143" s="72"/>
      <c r="AH143" s="66"/>
      <c r="AJ143" t="s">
        <v>472</v>
      </c>
    </row>
    <row r="144" spans="1:36" ht="16" hidden="1" thickBot="1" x14ac:dyDescent="0.25">
      <c r="A144" s="119" t="s">
        <v>471</v>
      </c>
      <c r="B144" s="120" t="s">
        <v>1191</v>
      </c>
      <c r="C144" s="108" t="str">
        <f t="shared" si="41"/>
        <v>/Applications/Stellarium.app/Contents/Resources/nebulae/default/n6355.png</v>
      </c>
      <c r="D144" s="121" t="s">
        <v>1576</v>
      </c>
      <c r="E144" s="109"/>
      <c r="F144" s="122">
        <v>17</v>
      </c>
      <c r="G144" s="123">
        <v>24</v>
      </c>
      <c r="H144" s="122">
        <v>-27</v>
      </c>
      <c r="I144" s="124">
        <v>36</v>
      </c>
      <c r="J144" s="112" t="s">
        <v>1021</v>
      </c>
      <c r="K144" s="125">
        <v>13.4</v>
      </c>
      <c r="L144" s="196"/>
      <c r="M144" s="110">
        <f t="shared" si="42"/>
        <v>-26.4</v>
      </c>
      <c r="N144" s="111">
        <f t="shared" si="43"/>
        <v>11.380000000000003</v>
      </c>
      <c r="O144" s="112">
        <f t="shared" si="44"/>
        <v>17.399999999999999</v>
      </c>
      <c r="P144" s="113">
        <f t="shared" ca="1" si="45"/>
        <v>46174.084488</v>
      </c>
      <c r="Q144" s="114">
        <f t="shared" ca="1" si="46"/>
        <v>46189.084488</v>
      </c>
      <c r="R144" s="114" t="b">
        <f t="shared" ca="1" si="33"/>
        <v>1</v>
      </c>
      <c r="S144" s="115">
        <f t="shared" ca="1" si="34"/>
        <v>15</v>
      </c>
      <c r="T144" s="126">
        <f t="shared" ca="1" si="35"/>
        <v>46204.084488</v>
      </c>
      <c r="U144" s="127" t="str">
        <f t="shared" si="32"/>
        <v>S</v>
      </c>
      <c r="V144" s="128">
        <f t="shared" si="47"/>
        <v>11.380000000000003</v>
      </c>
      <c r="W144" s="129">
        <f t="shared" si="36"/>
        <v>11.380000000000003</v>
      </c>
      <c r="X144" s="197"/>
      <c r="Y144" s="115">
        <f t="shared" ca="1" si="37"/>
        <v>340</v>
      </c>
      <c r="Z144" s="118">
        <f t="shared" ca="1" si="38"/>
        <v>6.8493150684931559E-2</v>
      </c>
      <c r="AA144" s="116"/>
      <c r="AB144" s="117">
        <f t="shared" si="39"/>
        <v>0.75878179401471135</v>
      </c>
      <c r="AC144" s="118">
        <f t="shared" si="40"/>
        <v>0.11494924141727964</v>
      </c>
      <c r="AE144" s="55"/>
      <c r="AF144" s="72"/>
      <c r="AG144" s="72"/>
      <c r="AH144" s="66"/>
      <c r="AJ144" t="s">
        <v>471</v>
      </c>
    </row>
    <row r="145" spans="1:36" ht="16" hidden="1" thickBot="1" x14ac:dyDescent="0.25">
      <c r="A145" s="119" t="s">
        <v>470</v>
      </c>
      <c r="B145" s="120" t="s">
        <v>1191</v>
      </c>
      <c r="C145" s="108" t="str">
        <f t="shared" si="41"/>
        <v>/Applications/Stellarium.app/Contents/Resources/nebulae/default/n6352.png</v>
      </c>
      <c r="D145" s="121" t="s">
        <v>1577</v>
      </c>
      <c r="E145" s="109"/>
      <c r="F145" s="122">
        <v>17</v>
      </c>
      <c r="G145" s="123">
        <v>25</v>
      </c>
      <c r="H145" s="122">
        <v>-49</v>
      </c>
      <c r="I145" s="124">
        <v>30</v>
      </c>
      <c r="J145" s="112" t="s">
        <v>994</v>
      </c>
      <c r="K145" s="125">
        <v>13.4</v>
      </c>
      <c r="L145" s="196"/>
      <c r="M145" s="110">
        <f t="shared" si="42"/>
        <v>-48.5</v>
      </c>
      <c r="N145" s="111">
        <f t="shared" si="43"/>
        <v>-10.719999999999999</v>
      </c>
      <c r="O145" s="112">
        <f t="shared" si="44"/>
        <v>17.416666666666668</v>
      </c>
      <c r="P145" s="113">
        <f t="shared" ca="1" si="45"/>
        <v>46174.338128000003</v>
      </c>
      <c r="Q145" s="114">
        <f t="shared" ca="1" si="46"/>
        <v>46189.338128000003</v>
      </c>
      <c r="R145" s="114" t="b">
        <f t="shared" ca="1" si="33"/>
        <v>1</v>
      </c>
      <c r="S145" s="115">
        <f t="shared" ca="1" si="34"/>
        <v>15</v>
      </c>
      <c r="T145" s="126">
        <f t="shared" ca="1" si="35"/>
        <v>46204.338128000003</v>
      </c>
      <c r="U145" s="127" t="str">
        <f t="shared" si="32"/>
        <v>S</v>
      </c>
      <c r="V145" s="128">
        <f t="shared" si="47"/>
        <v>-10.719999999999999</v>
      </c>
      <c r="W145" s="129">
        <f t="shared" si="36"/>
        <v>-10.719999999999999</v>
      </c>
      <c r="X145" s="197"/>
      <c r="Y145" s="115">
        <f t="shared" ca="1" si="37"/>
        <v>340</v>
      </c>
      <c r="Z145" s="118">
        <f t="shared" ca="1" si="38"/>
        <v>6.8493150684931559E-2</v>
      </c>
      <c r="AA145" s="116"/>
      <c r="AB145" s="117">
        <f t="shared" si="39"/>
        <v>0.77540295345354526</v>
      </c>
      <c r="AC145" s="118">
        <f t="shared" si="40"/>
        <v>0.11564178972723105</v>
      </c>
      <c r="AE145" s="55"/>
      <c r="AF145" s="72"/>
      <c r="AG145" s="72"/>
      <c r="AH145" s="66"/>
      <c r="AJ145" t="s">
        <v>470</v>
      </c>
    </row>
    <row r="146" spans="1:36" ht="16" hidden="1" thickBot="1" x14ac:dyDescent="0.25">
      <c r="A146" s="119" t="s">
        <v>604</v>
      </c>
      <c r="B146" s="120" t="s">
        <v>1386</v>
      </c>
      <c r="C146" s="108" t="str">
        <f t="shared" si="41"/>
        <v>/Applications/Stellarium.app/Contents/Resources/nebulae/default/barnard72.png</v>
      </c>
      <c r="D146" s="121" t="s">
        <v>1578</v>
      </c>
      <c r="E146" s="109"/>
      <c r="F146" s="122">
        <v>17</v>
      </c>
      <c r="G146" s="123">
        <v>26</v>
      </c>
      <c r="H146" s="122">
        <v>-25</v>
      </c>
      <c r="I146" s="124">
        <v>51</v>
      </c>
      <c r="J146" s="112" t="s">
        <v>1115</v>
      </c>
      <c r="K146" s="125">
        <v>15.5</v>
      </c>
      <c r="L146" s="196"/>
      <c r="M146" s="110">
        <f t="shared" si="42"/>
        <v>-24.15</v>
      </c>
      <c r="N146" s="111">
        <f t="shared" si="43"/>
        <v>13.630000000000003</v>
      </c>
      <c r="O146" s="112">
        <f t="shared" si="44"/>
        <v>17.433333333333334</v>
      </c>
      <c r="P146" s="113">
        <f t="shared" ca="1" si="45"/>
        <v>46174.591767999998</v>
      </c>
      <c r="Q146" s="114">
        <f t="shared" ca="1" si="46"/>
        <v>46189.591767999998</v>
      </c>
      <c r="R146" s="114" t="b">
        <f t="shared" ca="1" si="33"/>
        <v>1</v>
      </c>
      <c r="S146" s="115">
        <f t="shared" ca="1" si="34"/>
        <v>15</v>
      </c>
      <c r="T146" s="126">
        <f t="shared" ca="1" si="35"/>
        <v>46204.591767999998</v>
      </c>
      <c r="U146" s="127" t="str">
        <f t="shared" si="32"/>
        <v>S</v>
      </c>
      <c r="V146" s="128">
        <f t="shared" si="47"/>
        <v>13.630000000000003</v>
      </c>
      <c r="W146" s="129">
        <f t="shared" si="36"/>
        <v>13.630000000000003</v>
      </c>
      <c r="X146" s="197"/>
      <c r="Y146" s="115">
        <f t="shared" ca="1" si="37"/>
        <v>339</v>
      </c>
      <c r="Z146" s="118">
        <f t="shared" ca="1" si="38"/>
        <v>7.1232876712328808E-2</v>
      </c>
      <c r="AA146" s="116"/>
      <c r="AB146" s="117">
        <f t="shared" si="39"/>
        <v>0.79202411289237551</v>
      </c>
      <c r="AC146" s="118">
        <f t="shared" si="40"/>
        <v>0.11633433803718231</v>
      </c>
      <c r="AE146" s="55"/>
      <c r="AF146" s="72"/>
      <c r="AG146" s="72"/>
      <c r="AH146" s="66"/>
      <c r="AJ146" t="s">
        <v>604</v>
      </c>
    </row>
    <row r="147" spans="1:36" ht="16" hidden="1" thickBot="1" x14ac:dyDescent="0.25">
      <c r="A147" s="119" t="s">
        <v>475</v>
      </c>
      <c r="B147" s="120" t="s">
        <v>1191</v>
      </c>
      <c r="C147" s="108" t="str">
        <f t="shared" si="41"/>
        <v>/Applications/Stellarium.app/Contents/Resources/nebulae/default/n6366.png</v>
      </c>
      <c r="D147" s="121" t="s">
        <v>1579</v>
      </c>
      <c r="E147" s="109"/>
      <c r="F147" s="122">
        <v>17</v>
      </c>
      <c r="G147" s="123">
        <v>28</v>
      </c>
      <c r="H147" s="122">
        <v>-6</v>
      </c>
      <c r="I147" s="124">
        <v>45</v>
      </c>
      <c r="J147" s="112" t="s">
        <v>1024</v>
      </c>
      <c r="K147" s="125">
        <v>14.5</v>
      </c>
      <c r="L147" s="196"/>
      <c r="M147" s="110">
        <f t="shared" si="42"/>
        <v>-5.25</v>
      </c>
      <c r="N147" s="111">
        <f t="shared" si="43"/>
        <v>32.53</v>
      </c>
      <c r="O147" s="112">
        <f t="shared" si="44"/>
        <v>17.466666666666665</v>
      </c>
      <c r="P147" s="113">
        <f t="shared" ca="1" si="45"/>
        <v>46175.099047999996</v>
      </c>
      <c r="Q147" s="114">
        <f t="shared" ca="1" si="46"/>
        <v>46190.099047999996</v>
      </c>
      <c r="R147" s="114" t="b">
        <f t="shared" ca="1" si="33"/>
        <v>1</v>
      </c>
      <c r="S147" s="115">
        <f t="shared" ca="1" si="34"/>
        <v>15</v>
      </c>
      <c r="T147" s="126">
        <f t="shared" ca="1" si="35"/>
        <v>46205.099047999996</v>
      </c>
      <c r="U147" s="127" t="str">
        <f t="shared" si="32"/>
        <v>S</v>
      </c>
      <c r="V147" s="128">
        <f t="shared" si="47"/>
        <v>32.53</v>
      </c>
      <c r="W147" s="129">
        <f t="shared" si="36"/>
        <v>32.53</v>
      </c>
      <c r="X147" s="197"/>
      <c r="Y147" s="115">
        <f t="shared" ca="1" si="37"/>
        <v>339</v>
      </c>
      <c r="Z147" s="118">
        <f t="shared" ca="1" si="38"/>
        <v>7.1232876712328808E-2</v>
      </c>
      <c r="AA147" s="116"/>
      <c r="AB147" s="117">
        <f t="shared" si="39"/>
        <v>0.82526643177003611</v>
      </c>
      <c r="AC147" s="118">
        <f t="shared" si="40"/>
        <v>0.11771943465708484</v>
      </c>
      <c r="AE147" s="55"/>
      <c r="AF147" s="72"/>
      <c r="AG147" s="72"/>
      <c r="AH147" s="66"/>
      <c r="AJ147" t="s">
        <v>475</v>
      </c>
    </row>
    <row r="148" spans="1:36" ht="16" hidden="1" thickBot="1" x14ac:dyDescent="0.25">
      <c r="A148" s="119" t="s">
        <v>476</v>
      </c>
      <c r="B148" s="120" t="s">
        <v>1318</v>
      </c>
      <c r="C148" s="108" t="str">
        <f t="shared" si="41"/>
        <v>/Applications/Stellarium.app/Contents/Resources/nebulae/default/n6369.png</v>
      </c>
      <c r="D148" s="121" t="s">
        <v>1580</v>
      </c>
      <c r="E148" s="109"/>
      <c r="F148" s="122">
        <v>17</v>
      </c>
      <c r="G148" s="123">
        <v>29</v>
      </c>
      <c r="H148" s="122">
        <v>-24</v>
      </c>
      <c r="I148" s="124">
        <v>12</v>
      </c>
      <c r="J148" s="112" t="s">
        <v>1025</v>
      </c>
      <c r="K148" s="125">
        <v>13.4</v>
      </c>
      <c r="L148" s="196"/>
      <c r="M148" s="110">
        <f t="shared" si="42"/>
        <v>-23.8</v>
      </c>
      <c r="N148" s="111">
        <f t="shared" si="43"/>
        <v>13.98</v>
      </c>
      <c r="O148" s="112">
        <f t="shared" si="44"/>
        <v>17.483333333333334</v>
      </c>
      <c r="P148" s="113">
        <f t="shared" ca="1" si="45"/>
        <v>46175.352687999999</v>
      </c>
      <c r="Q148" s="114">
        <f t="shared" ca="1" si="46"/>
        <v>46190.352687999999</v>
      </c>
      <c r="R148" s="114" t="b">
        <f t="shared" ca="1" si="33"/>
        <v>1</v>
      </c>
      <c r="S148" s="115">
        <f t="shared" ca="1" si="34"/>
        <v>15</v>
      </c>
      <c r="T148" s="126">
        <f t="shared" ca="1" si="35"/>
        <v>46205.352687999999</v>
      </c>
      <c r="U148" s="127" t="str">
        <f t="shared" si="32"/>
        <v>S</v>
      </c>
      <c r="V148" s="128">
        <f t="shared" si="47"/>
        <v>13.98</v>
      </c>
      <c r="W148" s="129">
        <f t="shared" si="36"/>
        <v>13.98</v>
      </c>
      <c r="X148" s="197"/>
      <c r="Y148" s="115">
        <f t="shared" ca="1" si="37"/>
        <v>339</v>
      </c>
      <c r="Z148" s="118">
        <f t="shared" ca="1" si="38"/>
        <v>7.1232876712328808E-2</v>
      </c>
      <c r="AA148" s="116"/>
      <c r="AB148" s="117">
        <f t="shared" si="39"/>
        <v>0.84188759120887002</v>
      </c>
      <c r="AC148" s="118">
        <f t="shared" si="40"/>
        <v>0.11841198296703626</v>
      </c>
      <c r="AE148" s="55"/>
      <c r="AF148" s="72"/>
      <c r="AG148" s="72"/>
      <c r="AH148" s="66"/>
      <c r="AJ148" t="s">
        <v>476</v>
      </c>
    </row>
    <row r="149" spans="1:36" ht="16" hidden="1" thickBot="1" x14ac:dyDescent="0.25">
      <c r="A149" s="119" t="s">
        <v>473</v>
      </c>
      <c r="B149" s="120" t="s">
        <v>1271</v>
      </c>
      <c r="C149" s="108" t="str">
        <f t="shared" si="41"/>
        <v>/Applications/Stellarium.app/Contents/Resources/nebulae/default/n6357.png</v>
      </c>
      <c r="D149" s="121" t="s">
        <v>1581</v>
      </c>
      <c r="E149" s="109"/>
      <c r="F149" s="122">
        <v>17</v>
      </c>
      <c r="G149" s="123">
        <v>30</v>
      </c>
      <c r="H149" s="122">
        <v>-36</v>
      </c>
      <c r="I149" s="124">
        <v>53</v>
      </c>
      <c r="J149" s="112" t="s">
        <v>1022</v>
      </c>
      <c r="K149" s="125">
        <v>14.2</v>
      </c>
      <c r="L149" s="196"/>
      <c r="M149" s="110">
        <f t="shared" si="42"/>
        <v>-35.116666666666667</v>
      </c>
      <c r="N149" s="111">
        <f t="shared" si="43"/>
        <v>2.663333333333334</v>
      </c>
      <c r="O149" s="112">
        <f t="shared" si="44"/>
        <v>17.5</v>
      </c>
      <c r="P149" s="113">
        <f t="shared" ca="1" si="45"/>
        <v>46175.606328000002</v>
      </c>
      <c r="Q149" s="114">
        <f t="shared" ca="1" si="46"/>
        <v>46190.606328000002</v>
      </c>
      <c r="R149" s="114" t="b">
        <f t="shared" ca="1" si="33"/>
        <v>1</v>
      </c>
      <c r="S149" s="115">
        <f t="shared" ca="1" si="34"/>
        <v>15</v>
      </c>
      <c r="T149" s="126">
        <f t="shared" ca="1" si="35"/>
        <v>46205.606328000002</v>
      </c>
      <c r="U149" s="127" t="str">
        <f t="shared" si="32"/>
        <v>S</v>
      </c>
      <c r="V149" s="128">
        <f t="shared" si="47"/>
        <v>2.663333333333334</v>
      </c>
      <c r="W149" s="129">
        <f t="shared" si="36"/>
        <v>2.663333333333334</v>
      </c>
      <c r="X149" s="197"/>
      <c r="Y149" s="115">
        <f t="shared" ca="1" si="37"/>
        <v>338</v>
      </c>
      <c r="Z149" s="118">
        <f t="shared" ca="1" si="38"/>
        <v>7.3972602739726057E-2</v>
      </c>
      <c r="AA149" s="116"/>
      <c r="AB149" s="117">
        <f t="shared" si="39"/>
        <v>0.85850875064770027</v>
      </c>
      <c r="AC149" s="118">
        <f t="shared" si="40"/>
        <v>0.1191045312769875</v>
      </c>
      <c r="AE149" s="55"/>
      <c r="AF149" s="72"/>
      <c r="AG149" s="72"/>
      <c r="AH149" s="66"/>
      <c r="AJ149" t="s">
        <v>473</v>
      </c>
    </row>
    <row r="150" spans="1:36" ht="16" hidden="1" thickBot="1" x14ac:dyDescent="0.25">
      <c r="A150" s="119" t="s">
        <v>474</v>
      </c>
      <c r="B150" s="120" t="s">
        <v>1317</v>
      </c>
      <c r="C150" s="108" t="str">
        <f t="shared" si="41"/>
        <v>/Applications/Stellarium.app/Contents/Resources/nebulae/default/n6362.png</v>
      </c>
      <c r="D150" s="121" t="s">
        <v>1582</v>
      </c>
      <c r="E150" s="109"/>
      <c r="F150" s="122">
        <v>17</v>
      </c>
      <c r="G150" s="123">
        <v>33</v>
      </c>
      <c r="H150" s="122">
        <v>-68</v>
      </c>
      <c r="I150" s="124">
        <v>50</v>
      </c>
      <c r="J150" s="112" t="s">
        <v>1023</v>
      </c>
      <c r="K150" s="125">
        <v>13.8</v>
      </c>
      <c r="L150" s="196"/>
      <c r="M150" s="110">
        <f t="shared" si="42"/>
        <v>-67.166666666666671</v>
      </c>
      <c r="N150" s="111">
        <f t="shared" si="43"/>
        <v>-29.38666666666667</v>
      </c>
      <c r="O150" s="112">
        <f t="shared" si="44"/>
        <v>17.55</v>
      </c>
      <c r="P150" s="113">
        <f t="shared" ca="1" si="45"/>
        <v>46176.367248000002</v>
      </c>
      <c r="Q150" s="114">
        <f t="shared" ca="1" si="46"/>
        <v>46191.367248000002</v>
      </c>
      <c r="R150" s="114" t="b">
        <f t="shared" ca="1" si="33"/>
        <v>1</v>
      </c>
      <c r="S150" s="115">
        <f t="shared" ca="1" si="34"/>
        <v>15</v>
      </c>
      <c r="T150" s="126">
        <f t="shared" ca="1" si="35"/>
        <v>46206.367248000002</v>
      </c>
      <c r="U150" s="127" t="str">
        <f t="shared" si="32"/>
        <v>S</v>
      </c>
      <c r="V150" s="128">
        <f t="shared" si="47"/>
        <v>-29.38666666666667</v>
      </c>
      <c r="W150" s="129">
        <f t="shared" si="36"/>
        <v>-29.38666666666667</v>
      </c>
      <c r="X150" s="197"/>
      <c r="Y150" s="115">
        <f t="shared" ca="1" si="37"/>
        <v>338</v>
      </c>
      <c r="Z150" s="118">
        <f t="shared" ca="1" si="38"/>
        <v>7.3972602739726057E-2</v>
      </c>
      <c r="AA150" s="116"/>
      <c r="AB150" s="117">
        <f t="shared" si="39"/>
        <v>0.90837222896419478</v>
      </c>
      <c r="AC150" s="118">
        <f t="shared" si="40"/>
        <v>0.12118217620684145</v>
      </c>
      <c r="AE150" s="55"/>
      <c r="AF150" s="72"/>
      <c r="AG150" s="72"/>
      <c r="AH150" s="66"/>
      <c r="AJ150" t="s">
        <v>474</v>
      </c>
    </row>
    <row r="151" spans="1:36" ht="16" hidden="1" thickBot="1" x14ac:dyDescent="0.25">
      <c r="A151" s="119" t="s">
        <v>477</v>
      </c>
      <c r="B151" s="120" t="s">
        <v>1191</v>
      </c>
      <c r="C151" s="108" t="str">
        <f t="shared" si="41"/>
        <v>/Applications/Stellarium.app/Contents/Resources/nebulae/default/n6388.png</v>
      </c>
      <c r="D151" s="121" t="s">
        <v>1583</v>
      </c>
      <c r="E151" s="109"/>
      <c r="F151" s="122">
        <v>17</v>
      </c>
      <c r="G151" s="123">
        <v>36</v>
      </c>
      <c r="H151" s="122">
        <v>-45</v>
      </c>
      <c r="I151" s="124">
        <v>12</v>
      </c>
      <c r="J151" s="112" t="s">
        <v>1026</v>
      </c>
      <c r="K151" s="125">
        <v>12.5</v>
      </c>
      <c r="L151" s="196"/>
      <c r="M151" s="110">
        <f t="shared" si="42"/>
        <v>-44.8</v>
      </c>
      <c r="N151" s="111">
        <f t="shared" si="43"/>
        <v>-7.019999999999996</v>
      </c>
      <c r="O151" s="112">
        <f t="shared" si="44"/>
        <v>17.600000000000001</v>
      </c>
      <c r="P151" s="113">
        <f t="shared" ca="1" si="45"/>
        <v>46177.128168000003</v>
      </c>
      <c r="Q151" s="114">
        <f t="shared" ca="1" si="46"/>
        <v>46192.128168000003</v>
      </c>
      <c r="R151" s="114" t="b">
        <f t="shared" ca="1" si="33"/>
        <v>1</v>
      </c>
      <c r="S151" s="115">
        <f t="shared" ca="1" si="34"/>
        <v>15</v>
      </c>
      <c r="T151" s="126">
        <f t="shared" ca="1" si="35"/>
        <v>46207.128168000003</v>
      </c>
      <c r="U151" s="127" t="str">
        <f t="shared" si="32"/>
        <v>S</v>
      </c>
      <c r="V151" s="128">
        <f t="shared" si="47"/>
        <v>-7.019999999999996</v>
      </c>
      <c r="W151" s="129">
        <f t="shared" si="36"/>
        <v>-7.019999999999996</v>
      </c>
      <c r="X151" s="197"/>
      <c r="Y151" s="115">
        <f t="shared" ca="1" si="37"/>
        <v>337</v>
      </c>
      <c r="Z151" s="118">
        <f t="shared" ca="1" si="38"/>
        <v>7.6712328767123306E-2</v>
      </c>
      <c r="AA151" s="116"/>
      <c r="AB151" s="117">
        <f t="shared" si="39"/>
        <v>0.95823570728068919</v>
      </c>
      <c r="AC151" s="118">
        <f t="shared" si="40"/>
        <v>0.12325982113669538</v>
      </c>
      <c r="AE151" s="55"/>
      <c r="AF151" s="72"/>
      <c r="AG151" s="72"/>
      <c r="AH151" s="66"/>
      <c r="AJ151" t="s">
        <v>477</v>
      </c>
    </row>
    <row r="152" spans="1:36" ht="16" hidden="1" thickBot="1" x14ac:dyDescent="0.25">
      <c r="A152" s="119" t="s">
        <v>106</v>
      </c>
      <c r="B152" s="120" t="s">
        <v>1191</v>
      </c>
      <c r="C152" s="108" t="str">
        <f t="shared" si="41"/>
        <v>/Applications/Stellarium.app/Contents/Resources/nebulae/default/m14.png</v>
      </c>
      <c r="D152" s="121" t="s">
        <v>1584</v>
      </c>
      <c r="E152" s="109"/>
      <c r="F152" s="122">
        <v>17</v>
      </c>
      <c r="G152" s="123">
        <v>38</v>
      </c>
      <c r="H152" s="122">
        <v>-4</v>
      </c>
      <c r="I152" s="124">
        <v>38</v>
      </c>
      <c r="J152" s="112" t="s">
        <v>730</v>
      </c>
      <c r="K152" s="125">
        <v>14</v>
      </c>
      <c r="L152" s="196"/>
      <c r="M152" s="110">
        <f t="shared" si="42"/>
        <v>-3.3666666666666667</v>
      </c>
      <c r="N152" s="111">
        <f t="shared" si="43"/>
        <v>34.413333333333334</v>
      </c>
      <c r="O152" s="112">
        <f t="shared" si="44"/>
        <v>17.633333333333333</v>
      </c>
      <c r="P152" s="113">
        <f t="shared" ca="1" si="45"/>
        <v>46177.635448000001</v>
      </c>
      <c r="Q152" s="114">
        <f t="shared" ca="1" si="46"/>
        <v>46192.635448000001</v>
      </c>
      <c r="R152" s="114" t="b">
        <f t="shared" ca="1" si="33"/>
        <v>1</v>
      </c>
      <c r="S152" s="115">
        <f t="shared" ca="1" si="34"/>
        <v>15</v>
      </c>
      <c r="T152" s="126">
        <f t="shared" ca="1" si="35"/>
        <v>46207.635448000001</v>
      </c>
      <c r="U152" s="127" t="str">
        <f t="shared" si="32"/>
        <v>S</v>
      </c>
      <c r="V152" s="128">
        <f t="shared" si="47"/>
        <v>34.413333333333334</v>
      </c>
      <c r="W152" s="129">
        <f t="shared" si="36"/>
        <v>34.413333333333334</v>
      </c>
      <c r="X152" s="197"/>
      <c r="Y152" s="115">
        <f t="shared" ca="1" si="37"/>
        <v>336</v>
      </c>
      <c r="Z152" s="118">
        <f t="shared" ca="1" si="38"/>
        <v>7.9452054794520555E-2</v>
      </c>
      <c r="AA152" s="116"/>
      <c r="AB152" s="117">
        <f t="shared" si="39"/>
        <v>0.99147802615834979</v>
      </c>
      <c r="AC152" s="118">
        <f t="shared" si="40"/>
        <v>0.12464491775659792</v>
      </c>
      <c r="AE152" s="55"/>
      <c r="AF152" s="72"/>
      <c r="AG152" s="72"/>
      <c r="AH152" s="66"/>
      <c r="AJ152" t="s">
        <v>106</v>
      </c>
    </row>
    <row r="153" spans="1:36" ht="16" hidden="1" thickBot="1" x14ac:dyDescent="0.25">
      <c r="A153" s="119" t="s">
        <v>479</v>
      </c>
      <c r="B153" s="120" t="s">
        <v>1302</v>
      </c>
      <c r="C153" s="108" t="str">
        <f t="shared" si="41"/>
        <v>/Applications/Stellarium.app/Contents/Resources/nebulae/default/n6401.png</v>
      </c>
      <c r="D153" s="121" t="s">
        <v>1585</v>
      </c>
      <c r="E153" s="109"/>
      <c r="F153" s="122">
        <v>17</v>
      </c>
      <c r="G153" s="123">
        <v>38</v>
      </c>
      <c r="H153" s="122">
        <v>-24</v>
      </c>
      <c r="I153" s="124">
        <v>2</v>
      </c>
      <c r="J153" s="112" t="s">
        <v>1014</v>
      </c>
      <c r="K153" s="125">
        <v>13.8</v>
      </c>
      <c r="L153" s="196"/>
      <c r="M153" s="110">
        <f t="shared" si="42"/>
        <v>-23.966666666666665</v>
      </c>
      <c r="N153" s="111">
        <f t="shared" si="43"/>
        <v>13.813333333333336</v>
      </c>
      <c r="O153" s="112">
        <f t="shared" si="44"/>
        <v>17.633333333333333</v>
      </c>
      <c r="P153" s="113">
        <f t="shared" ca="1" si="45"/>
        <v>46177.635448000001</v>
      </c>
      <c r="Q153" s="114">
        <f t="shared" ca="1" si="46"/>
        <v>46192.635448000001</v>
      </c>
      <c r="R153" s="114" t="b">
        <f t="shared" ca="1" si="33"/>
        <v>1</v>
      </c>
      <c r="S153" s="115">
        <f t="shared" ca="1" si="34"/>
        <v>15</v>
      </c>
      <c r="T153" s="126">
        <f t="shared" ca="1" si="35"/>
        <v>46207.635448000001</v>
      </c>
      <c r="U153" s="127" t="str">
        <f t="shared" si="32"/>
        <v>S</v>
      </c>
      <c r="V153" s="128">
        <f t="shared" si="47"/>
        <v>13.813333333333336</v>
      </c>
      <c r="W153" s="129">
        <f t="shared" si="36"/>
        <v>13.813333333333336</v>
      </c>
      <c r="X153" s="197"/>
      <c r="Y153" s="115">
        <f t="shared" ca="1" si="37"/>
        <v>336</v>
      </c>
      <c r="Z153" s="118">
        <f t="shared" ca="1" si="38"/>
        <v>7.9452054794520555E-2</v>
      </c>
      <c r="AA153" s="116"/>
      <c r="AB153" s="117">
        <f t="shared" si="39"/>
        <v>0.99147802615834979</v>
      </c>
      <c r="AC153" s="118">
        <f t="shared" si="40"/>
        <v>0.12464491775659792</v>
      </c>
      <c r="AE153" s="55"/>
      <c r="AF153" s="72"/>
      <c r="AG153" s="72"/>
      <c r="AH153" s="66"/>
      <c r="AJ153" t="s">
        <v>479</v>
      </c>
    </row>
    <row r="154" spans="1:36" ht="16" hidden="1" thickBot="1" x14ac:dyDescent="0.25">
      <c r="A154" s="119" t="s">
        <v>98</v>
      </c>
      <c r="B154" s="120" t="s">
        <v>1194</v>
      </c>
      <c r="C154" s="108" t="str">
        <f t="shared" si="41"/>
        <v>/Applications/Stellarium.app/Contents/Resources/nebulae/default/m6.png</v>
      </c>
      <c r="D154" s="121" t="s">
        <v>1586</v>
      </c>
      <c r="E154" s="109"/>
      <c r="F154" s="122">
        <v>-7</v>
      </c>
      <c r="G154" s="123">
        <v>41</v>
      </c>
      <c r="H154" s="122">
        <v>-33</v>
      </c>
      <c r="I154" s="124">
        <v>29</v>
      </c>
      <c r="J154" s="112" t="s">
        <v>723</v>
      </c>
      <c r="K154" s="125">
        <v>13</v>
      </c>
      <c r="L154" s="196"/>
      <c r="M154" s="110">
        <f t="shared" si="42"/>
        <v>-32.516666666666666</v>
      </c>
      <c r="N154" s="111">
        <f t="shared" si="43"/>
        <v>5.2633333333333354</v>
      </c>
      <c r="O154" s="112">
        <f t="shared" si="44"/>
        <v>-6.3166666666666664</v>
      </c>
      <c r="P154" s="113">
        <f t="shared" ca="1" si="45"/>
        <v>46178.396368000002</v>
      </c>
      <c r="Q154" s="114">
        <f t="shared" ca="1" si="46"/>
        <v>46193.396368000002</v>
      </c>
      <c r="R154" s="114" t="b">
        <f t="shared" ca="1" si="33"/>
        <v>1</v>
      </c>
      <c r="S154" s="115">
        <f t="shared" ca="1" si="34"/>
        <v>15</v>
      </c>
      <c r="T154" s="126">
        <f t="shared" ca="1" si="35"/>
        <v>46208.396368000002</v>
      </c>
      <c r="U154" s="127" t="str">
        <f t="shared" si="32"/>
        <v>S</v>
      </c>
      <c r="V154" s="128">
        <f t="shared" si="47"/>
        <v>5.2633333333333354</v>
      </c>
      <c r="W154" s="129">
        <f t="shared" si="36"/>
        <v>5.2633333333333354</v>
      </c>
      <c r="X154" s="197"/>
      <c r="Y154" s="115">
        <f t="shared" ca="1" si="37"/>
        <v>336</v>
      </c>
      <c r="Z154" s="118">
        <f t="shared" ca="1" si="38"/>
        <v>7.9452054794520555E-2</v>
      </c>
      <c r="AA154" s="116"/>
      <c r="AB154" s="117">
        <f t="shared" si="39"/>
        <v>1.0413415044748442</v>
      </c>
      <c r="AC154" s="118">
        <f t="shared" si="40"/>
        <v>0.12672256268645185</v>
      </c>
      <c r="AE154" s="55"/>
      <c r="AF154" s="72"/>
      <c r="AG154" s="72"/>
      <c r="AH154" s="66"/>
      <c r="AJ154" t="s">
        <v>98</v>
      </c>
    </row>
    <row r="155" spans="1:36" ht="16" hidden="1" thickBot="1" x14ac:dyDescent="0.25">
      <c r="A155" s="119" t="s">
        <v>478</v>
      </c>
      <c r="B155" s="120" t="s">
        <v>1191</v>
      </c>
      <c r="C155" s="108" t="str">
        <f t="shared" si="41"/>
        <v>/Applications/Stellarium.app/Contents/Resources/nebulae/default/n6397.png</v>
      </c>
      <c r="D155" s="121" t="s">
        <v>1587</v>
      </c>
      <c r="E155" s="109"/>
      <c r="F155" s="122">
        <v>17</v>
      </c>
      <c r="G155" s="123">
        <v>42</v>
      </c>
      <c r="H155" s="122">
        <v>-54</v>
      </c>
      <c r="I155" s="124">
        <v>1</v>
      </c>
      <c r="J155" s="112" t="s">
        <v>1027</v>
      </c>
      <c r="K155" s="125">
        <v>13.4</v>
      </c>
      <c r="L155" s="196"/>
      <c r="M155" s="110">
        <f t="shared" si="42"/>
        <v>-53.983333333333334</v>
      </c>
      <c r="N155" s="111">
        <f t="shared" si="43"/>
        <v>-16.203333333333333</v>
      </c>
      <c r="O155" s="112">
        <f t="shared" si="44"/>
        <v>17.7</v>
      </c>
      <c r="P155" s="113">
        <f t="shared" ca="1" si="45"/>
        <v>46178.650007999997</v>
      </c>
      <c r="Q155" s="114">
        <f t="shared" ca="1" si="46"/>
        <v>46193.650007999997</v>
      </c>
      <c r="R155" s="114" t="b">
        <f t="shared" ca="1" si="33"/>
        <v>1</v>
      </c>
      <c r="S155" s="115">
        <f t="shared" ca="1" si="34"/>
        <v>15</v>
      </c>
      <c r="T155" s="126">
        <f t="shared" ca="1" si="35"/>
        <v>46208.650007999997</v>
      </c>
      <c r="U155" s="127" t="str">
        <f t="shared" si="32"/>
        <v>S</v>
      </c>
      <c r="V155" s="128">
        <f t="shared" si="47"/>
        <v>-16.203333333333333</v>
      </c>
      <c r="W155" s="129">
        <f t="shared" si="36"/>
        <v>-16.203333333333333</v>
      </c>
      <c r="X155" s="197"/>
      <c r="Y155" s="115">
        <f t="shared" ca="1" si="37"/>
        <v>335</v>
      </c>
      <c r="Z155" s="118">
        <f t="shared" ca="1" si="38"/>
        <v>8.2191780821917804E-2</v>
      </c>
      <c r="AA155" s="116"/>
      <c r="AB155" s="117">
        <f t="shared" si="39"/>
        <v>1.0579626639136746</v>
      </c>
      <c r="AC155" s="118">
        <f t="shared" si="40"/>
        <v>0.1274151109964031</v>
      </c>
      <c r="AE155" s="55"/>
      <c r="AF155" s="72"/>
      <c r="AG155" s="72"/>
      <c r="AH155" s="66"/>
      <c r="AJ155" t="s">
        <v>478</v>
      </c>
    </row>
    <row r="156" spans="1:36" ht="16" hidden="1" thickBot="1" x14ac:dyDescent="0.25">
      <c r="A156" s="119" t="s">
        <v>480</v>
      </c>
      <c r="B156" s="120" t="s">
        <v>1191</v>
      </c>
      <c r="C156" s="108" t="str">
        <f t="shared" si="41"/>
        <v>/Applications/Stellarium.app/Contents/Resources/nebulae/default/n6440.png</v>
      </c>
      <c r="D156" s="121" t="s">
        <v>1588</v>
      </c>
      <c r="E156" s="109"/>
      <c r="F156" s="122">
        <v>17</v>
      </c>
      <c r="G156" s="123">
        <v>49</v>
      </c>
      <c r="H156" s="122">
        <v>-21</v>
      </c>
      <c r="I156" s="124">
        <v>36</v>
      </c>
      <c r="J156" s="112" t="s">
        <v>937</v>
      </c>
      <c r="K156" s="125">
        <v>13.4</v>
      </c>
      <c r="L156" s="196"/>
      <c r="M156" s="110">
        <f t="shared" si="42"/>
        <v>-20.399999999999999</v>
      </c>
      <c r="N156" s="111">
        <f t="shared" si="43"/>
        <v>17.380000000000003</v>
      </c>
      <c r="O156" s="112">
        <f t="shared" si="44"/>
        <v>17.816666666666666</v>
      </c>
      <c r="P156" s="113">
        <f t="shared" ca="1" si="45"/>
        <v>46180.425488000001</v>
      </c>
      <c r="Q156" s="114">
        <f t="shared" ca="1" si="46"/>
        <v>46195.425488000001</v>
      </c>
      <c r="R156" s="114" t="b">
        <f t="shared" ca="1" si="33"/>
        <v>1</v>
      </c>
      <c r="S156" s="115">
        <f t="shared" ca="1" si="34"/>
        <v>15</v>
      </c>
      <c r="T156" s="126">
        <f t="shared" ca="1" si="35"/>
        <v>46210.425488000001</v>
      </c>
      <c r="U156" s="127" t="str">
        <f t="shared" si="32"/>
        <v>S</v>
      </c>
      <c r="V156" s="128">
        <f t="shared" si="47"/>
        <v>17.380000000000003</v>
      </c>
      <c r="W156" s="129">
        <f t="shared" si="36"/>
        <v>17.380000000000003</v>
      </c>
      <c r="X156" s="197"/>
      <c r="Y156" s="115">
        <f t="shared" ca="1" si="37"/>
        <v>334</v>
      </c>
      <c r="Z156" s="118">
        <f t="shared" ca="1" si="38"/>
        <v>8.4931506849315053E-2</v>
      </c>
      <c r="AA156" s="116"/>
      <c r="AB156" s="117">
        <f t="shared" si="39"/>
        <v>1.1743107799854937</v>
      </c>
      <c r="AC156" s="118">
        <f t="shared" si="40"/>
        <v>0.13226294916606224</v>
      </c>
      <c r="AE156" s="55"/>
      <c r="AF156" s="72"/>
      <c r="AG156" s="72"/>
      <c r="AH156" s="66"/>
      <c r="AJ156" t="s">
        <v>480</v>
      </c>
    </row>
    <row r="157" spans="1:36" ht="16" hidden="1" thickBot="1" x14ac:dyDescent="0.25">
      <c r="A157" s="119" t="s">
        <v>482</v>
      </c>
      <c r="B157" s="120" t="s">
        <v>1315</v>
      </c>
      <c r="C157" s="108" t="str">
        <f t="shared" si="41"/>
        <v>/Applications/Stellarium.app/Contents/Resources/nebulae/default/n6445.png</v>
      </c>
      <c r="D157" s="121" t="s">
        <v>1589</v>
      </c>
      <c r="E157" s="109"/>
      <c r="F157" s="122">
        <v>17</v>
      </c>
      <c r="G157" s="123">
        <v>49</v>
      </c>
      <c r="H157" s="122">
        <v>-21</v>
      </c>
      <c r="I157" s="124">
        <v>57</v>
      </c>
      <c r="J157" s="112" t="s">
        <v>1028</v>
      </c>
      <c r="K157" s="125">
        <v>14.5</v>
      </c>
      <c r="L157" s="196"/>
      <c r="M157" s="110">
        <f t="shared" si="42"/>
        <v>-20.05</v>
      </c>
      <c r="N157" s="111">
        <f t="shared" si="43"/>
        <v>17.73</v>
      </c>
      <c r="O157" s="112">
        <f t="shared" si="44"/>
        <v>17.816666666666666</v>
      </c>
      <c r="P157" s="113">
        <f t="shared" ca="1" si="45"/>
        <v>46180.425488000001</v>
      </c>
      <c r="Q157" s="114">
        <f t="shared" ca="1" si="46"/>
        <v>46195.425488000001</v>
      </c>
      <c r="R157" s="114" t="b">
        <f t="shared" ca="1" si="33"/>
        <v>1</v>
      </c>
      <c r="S157" s="115">
        <f t="shared" ca="1" si="34"/>
        <v>15</v>
      </c>
      <c r="T157" s="126">
        <f t="shared" ca="1" si="35"/>
        <v>46210.425488000001</v>
      </c>
      <c r="U157" s="127" t="str">
        <f t="shared" si="32"/>
        <v>S</v>
      </c>
      <c r="V157" s="128">
        <f t="shared" si="47"/>
        <v>17.73</v>
      </c>
      <c r="W157" s="129">
        <f t="shared" si="36"/>
        <v>17.73</v>
      </c>
      <c r="X157" s="197"/>
      <c r="Y157" s="115">
        <f t="shared" ca="1" si="37"/>
        <v>334</v>
      </c>
      <c r="Z157" s="118">
        <f t="shared" ca="1" si="38"/>
        <v>8.4931506849315053E-2</v>
      </c>
      <c r="AA157" s="116"/>
      <c r="AB157" s="117">
        <f t="shared" si="39"/>
        <v>1.1743107799854937</v>
      </c>
      <c r="AC157" s="118">
        <f t="shared" si="40"/>
        <v>0.13226294916606224</v>
      </c>
      <c r="AE157" s="55"/>
      <c r="AF157" s="72"/>
      <c r="AG157" s="72"/>
      <c r="AH157" s="66"/>
      <c r="AJ157" t="s">
        <v>482</v>
      </c>
    </row>
    <row r="158" spans="1:36" ht="16" hidden="1" thickBot="1" x14ac:dyDescent="0.25">
      <c r="A158" s="119" t="s">
        <v>481</v>
      </c>
      <c r="B158" s="120" t="s">
        <v>1191</v>
      </c>
      <c r="C158" s="108" t="str">
        <f t="shared" si="41"/>
        <v>/Applications/Stellarium.app/Contents/Resources/nebulae/default/n6441-2mass.png</v>
      </c>
      <c r="D158" s="121" t="s">
        <v>1590</v>
      </c>
      <c r="E158" s="109"/>
      <c r="F158" s="122">
        <v>17</v>
      </c>
      <c r="G158" s="123">
        <v>50</v>
      </c>
      <c r="H158" s="122">
        <v>-38</v>
      </c>
      <c r="I158" s="124">
        <v>54</v>
      </c>
      <c r="J158" s="112" t="s">
        <v>1004</v>
      </c>
      <c r="K158" s="125">
        <v>13.4</v>
      </c>
      <c r="L158" s="196"/>
      <c r="M158" s="110">
        <f t="shared" si="42"/>
        <v>-37.1</v>
      </c>
      <c r="N158" s="111">
        <f t="shared" si="43"/>
        <v>0.67999999999999972</v>
      </c>
      <c r="O158" s="112">
        <f t="shared" si="44"/>
        <v>17.833333333333332</v>
      </c>
      <c r="P158" s="113">
        <f t="shared" ca="1" si="45"/>
        <v>46180.679128000003</v>
      </c>
      <c r="Q158" s="114">
        <f t="shared" ca="1" si="46"/>
        <v>46195.679128000003</v>
      </c>
      <c r="R158" s="114" t="b">
        <f t="shared" ca="1" si="33"/>
        <v>1</v>
      </c>
      <c r="S158" s="115">
        <f t="shared" ca="1" si="34"/>
        <v>15</v>
      </c>
      <c r="T158" s="126">
        <f t="shared" ca="1" si="35"/>
        <v>46210.679128000003</v>
      </c>
      <c r="U158" s="127" t="str">
        <f t="shared" si="32"/>
        <v>S</v>
      </c>
      <c r="V158" s="128">
        <f t="shared" si="47"/>
        <v>0.67999999999999972</v>
      </c>
      <c r="W158" s="129">
        <f t="shared" si="36"/>
        <v>0.67999999999999972</v>
      </c>
      <c r="X158" s="197"/>
      <c r="Y158" s="115">
        <f t="shared" ca="1" si="37"/>
        <v>333</v>
      </c>
      <c r="Z158" s="118">
        <f t="shared" ca="1" si="38"/>
        <v>8.7671232876712302E-2</v>
      </c>
      <c r="AA158" s="116"/>
      <c r="AB158" s="117">
        <f t="shared" si="39"/>
        <v>1.1909319394243241</v>
      </c>
      <c r="AC158" s="118">
        <f t="shared" si="40"/>
        <v>0.13295549747601351</v>
      </c>
      <c r="AE158" s="55"/>
      <c r="AF158" s="72"/>
      <c r="AG158" s="72"/>
      <c r="AH158" s="66"/>
      <c r="AJ158" t="s">
        <v>481</v>
      </c>
    </row>
    <row r="159" spans="1:36" ht="16" hidden="1" thickBot="1" x14ac:dyDescent="0.25">
      <c r="A159" s="119" t="s">
        <v>484</v>
      </c>
      <c r="B159" s="120" t="s">
        <v>1319</v>
      </c>
      <c r="C159" s="108" t="str">
        <f t="shared" si="41"/>
        <v>/Applications/Stellarium.app/Contents/Resources/nebulae/default/n6503.png</v>
      </c>
      <c r="D159" s="121" t="s">
        <v>1591</v>
      </c>
      <c r="E159" s="109"/>
      <c r="F159" s="122">
        <v>17</v>
      </c>
      <c r="G159" s="123">
        <v>50</v>
      </c>
      <c r="H159" s="122">
        <v>70</v>
      </c>
      <c r="I159" s="124">
        <v>3</v>
      </c>
      <c r="J159" s="112" t="s">
        <v>955</v>
      </c>
      <c r="K159" s="125">
        <v>13.6</v>
      </c>
      <c r="L159" s="196"/>
      <c r="M159" s="110">
        <f t="shared" si="42"/>
        <v>70.05</v>
      </c>
      <c r="N159" s="111">
        <f t="shared" si="43"/>
        <v>107.83</v>
      </c>
      <c r="O159" s="112">
        <f t="shared" si="44"/>
        <v>17.833333333333332</v>
      </c>
      <c r="P159" s="113">
        <f t="shared" ca="1" si="45"/>
        <v>46180.679128000003</v>
      </c>
      <c r="Q159" s="114">
        <f t="shared" ca="1" si="46"/>
        <v>46195.679128000003</v>
      </c>
      <c r="R159" s="114" t="b">
        <f t="shared" ca="1" si="33"/>
        <v>1</v>
      </c>
      <c r="S159" s="115">
        <f t="shared" ca="1" si="34"/>
        <v>15</v>
      </c>
      <c r="T159" s="126">
        <f t="shared" ca="1" si="35"/>
        <v>46210.679128000003</v>
      </c>
      <c r="U159" s="127" t="str">
        <f t="shared" si="32"/>
        <v>N</v>
      </c>
      <c r="V159" s="128">
        <f t="shared" si="47"/>
        <v>72.17</v>
      </c>
      <c r="W159" s="129">
        <f t="shared" si="36"/>
        <v>72.17</v>
      </c>
      <c r="X159" s="197"/>
      <c r="Y159" s="115">
        <f t="shared" ca="1" si="37"/>
        <v>333</v>
      </c>
      <c r="Z159" s="118">
        <f t="shared" ca="1" si="38"/>
        <v>8.7671232876712302E-2</v>
      </c>
      <c r="AA159" s="116"/>
      <c r="AB159" s="117">
        <f t="shared" si="39"/>
        <v>1.1909319394243241</v>
      </c>
      <c r="AC159" s="118">
        <f t="shared" si="40"/>
        <v>0.13295549747601351</v>
      </c>
      <c r="AE159" s="55"/>
      <c r="AF159" s="72"/>
      <c r="AG159" s="72"/>
      <c r="AH159" s="66"/>
      <c r="AJ159" t="s">
        <v>484</v>
      </c>
    </row>
    <row r="160" spans="1:36" ht="16" hidden="1" thickBot="1" x14ac:dyDescent="0.25">
      <c r="A160" s="119" t="s">
        <v>99</v>
      </c>
      <c r="B160" s="120" t="s">
        <v>1195</v>
      </c>
      <c r="C160" s="108" t="str">
        <f t="shared" si="41"/>
        <v>/Applications/Stellarium.app/Contents/Resources/nebulae/default/m7.png</v>
      </c>
      <c r="D160" s="121" t="s">
        <v>1592</v>
      </c>
      <c r="E160" s="109"/>
      <c r="F160" s="122">
        <v>17</v>
      </c>
      <c r="G160" s="123">
        <v>55</v>
      </c>
      <c r="H160" s="122">
        <v>-36</v>
      </c>
      <c r="I160" s="124">
        <v>56</v>
      </c>
      <c r="J160" s="112" t="s">
        <v>724</v>
      </c>
      <c r="K160" s="125">
        <v>13.9</v>
      </c>
      <c r="L160" s="196"/>
      <c r="M160" s="110">
        <f t="shared" si="42"/>
        <v>-35.06666666666667</v>
      </c>
      <c r="N160" s="111">
        <f t="shared" si="43"/>
        <v>2.7133333333333312</v>
      </c>
      <c r="O160" s="112">
        <f t="shared" si="44"/>
        <v>17.916666666666668</v>
      </c>
      <c r="P160" s="113">
        <f t="shared" ca="1" si="45"/>
        <v>46181.947328000002</v>
      </c>
      <c r="Q160" s="114">
        <f t="shared" ca="1" si="46"/>
        <v>46196.947328000002</v>
      </c>
      <c r="R160" s="114" t="b">
        <f t="shared" ca="1" si="33"/>
        <v>1</v>
      </c>
      <c r="S160" s="115">
        <f t="shared" ca="1" si="34"/>
        <v>15</v>
      </c>
      <c r="T160" s="126">
        <f t="shared" ca="1" si="35"/>
        <v>46211.947328000002</v>
      </c>
      <c r="U160" s="127" t="str">
        <f t="shared" si="32"/>
        <v>S</v>
      </c>
      <c r="V160" s="128">
        <f t="shared" si="47"/>
        <v>2.7133333333333312</v>
      </c>
      <c r="W160" s="129">
        <f t="shared" si="36"/>
        <v>2.7133333333333312</v>
      </c>
      <c r="X160" s="197"/>
      <c r="Y160" s="115">
        <f t="shared" ca="1" si="37"/>
        <v>332</v>
      </c>
      <c r="Z160" s="118">
        <f t="shared" ca="1" si="38"/>
        <v>9.0410958904109551E-2</v>
      </c>
      <c r="AA160" s="116"/>
      <c r="AB160" s="117">
        <f t="shared" si="39"/>
        <v>1.2740377366184827</v>
      </c>
      <c r="AC160" s="118">
        <f t="shared" si="40"/>
        <v>0.1364182390257701</v>
      </c>
      <c r="AE160" s="55"/>
      <c r="AF160" s="72"/>
      <c r="AG160" s="72"/>
      <c r="AH160" s="66"/>
      <c r="AJ160" t="s">
        <v>99</v>
      </c>
    </row>
    <row r="161" spans="1:36" ht="16" hidden="1" thickBot="1" x14ac:dyDescent="0.25">
      <c r="A161" s="119" t="s">
        <v>115</v>
      </c>
      <c r="B161" s="120" t="s">
        <v>1207</v>
      </c>
      <c r="C161" s="108" t="str">
        <f t="shared" si="41"/>
        <v>/Applications/Stellarium.app/Contents/Resources/nebulae/default/m23.png</v>
      </c>
      <c r="D161" s="121" t="s">
        <v>1593</v>
      </c>
      <c r="E161" s="109"/>
      <c r="F161" s="122">
        <v>-7</v>
      </c>
      <c r="G161" s="123">
        <v>57</v>
      </c>
      <c r="H161" s="122">
        <v>-20</v>
      </c>
      <c r="I161" s="124">
        <v>52</v>
      </c>
      <c r="J161" s="112" t="s">
        <v>723</v>
      </c>
      <c r="K161" s="125">
        <v>13.7</v>
      </c>
      <c r="L161" s="196"/>
      <c r="M161" s="110">
        <f t="shared" si="42"/>
        <v>-19.133333333333333</v>
      </c>
      <c r="N161" s="111">
        <f t="shared" si="43"/>
        <v>18.646666666666668</v>
      </c>
      <c r="O161" s="112">
        <f t="shared" si="44"/>
        <v>-6.05</v>
      </c>
      <c r="P161" s="113">
        <f t="shared" ca="1" si="45"/>
        <v>46182.454608</v>
      </c>
      <c r="Q161" s="114">
        <f t="shared" ca="1" si="46"/>
        <v>46197.454608</v>
      </c>
      <c r="R161" s="114" t="b">
        <f t="shared" ca="1" si="33"/>
        <v>1</v>
      </c>
      <c r="S161" s="115">
        <f t="shared" ca="1" si="34"/>
        <v>15</v>
      </c>
      <c r="T161" s="126">
        <f t="shared" ca="1" si="35"/>
        <v>46212.454608</v>
      </c>
      <c r="U161" s="127" t="str">
        <f t="shared" si="32"/>
        <v>S</v>
      </c>
      <c r="V161" s="128">
        <f t="shared" si="47"/>
        <v>18.646666666666668</v>
      </c>
      <c r="W161" s="129">
        <f t="shared" si="36"/>
        <v>18.646666666666668</v>
      </c>
      <c r="X161" s="197"/>
      <c r="Y161" s="115">
        <f t="shared" ca="1" si="37"/>
        <v>332</v>
      </c>
      <c r="Z161" s="118">
        <f t="shared" ca="1" si="38"/>
        <v>9.0410958904109551E-2</v>
      </c>
      <c r="AA161" s="116"/>
      <c r="AB161" s="117">
        <f t="shared" si="39"/>
        <v>1.3072800554961435</v>
      </c>
      <c r="AC161" s="118">
        <f t="shared" si="40"/>
        <v>0.13780333564567263</v>
      </c>
      <c r="AE161" s="55"/>
      <c r="AF161" s="72"/>
      <c r="AG161" s="72"/>
      <c r="AH161" s="66"/>
      <c r="AJ161" t="s">
        <v>115</v>
      </c>
    </row>
    <row r="162" spans="1:36" ht="16" hidden="1" thickBot="1" x14ac:dyDescent="0.25">
      <c r="A162" s="119" t="s">
        <v>483</v>
      </c>
      <c r="B162" s="120" t="s">
        <v>1191</v>
      </c>
      <c r="C162" s="108" t="str">
        <f t="shared" si="41"/>
        <v>/Applications/Stellarium.app/Contents/Resources/nebulae/default/n6496.png</v>
      </c>
      <c r="D162" s="121" t="s">
        <v>1594</v>
      </c>
      <c r="E162" s="109"/>
      <c r="F162" s="122">
        <v>17</v>
      </c>
      <c r="G162" s="123">
        <v>59</v>
      </c>
      <c r="H162" s="122">
        <v>-45</v>
      </c>
      <c r="I162" s="124">
        <v>39</v>
      </c>
      <c r="J162" s="112" t="s">
        <v>1029</v>
      </c>
      <c r="K162" s="125">
        <v>14</v>
      </c>
      <c r="L162" s="196"/>
      <c r="M162" s="110">
        <f t="shared" si="42"/>
        <v>-44.35</v>
      </c>
      <c r="N162" s="111">
        <f t="shared" si="43"/>
        <v>-6.57</v>
      </c>
      <c r="O162" s="112">
        <f t="shared" si="44"/>
        <v>17.983333333333334</v>
      </c>
      <c r="P162" s="113">
        <f t="shared" ca="1" si="45"/>
        <v>46182.961887999998</v>
      </c>
      <c r="Q162" s="114">
        <f t="shared" ca="1" si="46"/>
        <v>46197.961887999998</v>
      </c>
      <c r="R162" s="114" t="b">
        <f t="shared" ca="1" si="33"/>
        <v>1</v>
      </c>
      <c r="S162" s="115">
        <f t="shared" ca="1" si="34"/>
        <v>15</v>
      </c>
      <c r="T162" s="126">
        <f t="shared" ca="1" si="35"/>
        <v>46212.961887999998</v>
      </c>
      <c r="U162" s="127" t="str">
        <f t="shared" si="32"/>
        <v>S</v>
      </c>
      <c r="V162" s="128">
        <f t="shared" si="47"/>
        <v>-6.57</v>
      </c>
      <c r="W162" s="129">
        <f t="shared" si="36"/>
        <v>-6.57</v>
      </c>
      <c r="X162" s="197"/>
      <c r="Y162" s="115">
        <f t="shared" ca="1" si="37"/>
        <v>331</v>
      </c>
      <c r="Z162" s="118">
        <f t="shared" ca="1" si="38"/>
        <v>9.31506849315068E-2</v>
      </c>
      <c r="AA162" s="116"/>
      <c r="AB162" s="117">
        <f t="shared" si="39"/>
        <v>1.3405223743738075</v>
      </c>
      <c r="AC162" s="118">
        <f t="shared" si="40"/>
        <v>0.13918843226557531</v>
      </c>
      <c r="AE162" s="55"/>
      <c r="AF162" s="72"/>
      <c r="AG162" s="72"/>
      <c r="AH162" s="66"/>
      <c r="AJ162" t="s">
        <v>483</v>
      </c>
    </row>
    <row r="163" spans="1:36" ht="16" hidden="1" thickBot="1" x14ac:dyDescent="0.25">
      <c r="A163" s="119" t="s">
        <v>491</v>
      </c>
      <c r="B163" s="120" t="s">
        <v>1191</v>
      </c>
      <c r="C163" s="108" t="str">
        <f t="shared" si="41"/>
        <v>/Applications/Stellarium.app/Contents/Resources/nebulae/default/n6543.png</v>
      </c>
      <c r="D163" s="121" t="s">
        <v>1595</v>
      </c>
      <c r="E163" s="109"/>
      <c r="F163" s="122">
        <v>17</v>
      </c>
      <c r="G163" s="123">
        <v>59</v>
      </c>
      <c r="H163" s="122">
        <v>66</v>
      </c>
      <c r="I163" s="124">
        <v>33</v>
      </c>
      <c r="J163" s="112" t="s">
        <v>1001</v>
      </c>
      <c r="K163" s="125">
        <v>13</v>
      </c>
      <c r="L163" s="196"/>
      <c r="M163" s="110">
        <f t="shared" si="42"/>
        <v>66.55</v>
      </c>
      <c r="N163" s="111">
        <f t="shared" si="43"/>
        <v>104.33</v>
      </c>
      <c r="O163" s="112">
        <f t="shared" si="44"/>
        <v>17.983333333333334</v>
      </c>
      <c r="P163" s="113">
        <f t="shared" ca="1" si="45"/>
        <v>46182.961887999998</v>
      </c>
      <c r="Q163" s="114">
        <f t="shared" ca="1" si="46"/>
        <v>46197.961887999998</v>
      </c>
      <c r="R163" s="114" t="b">
        <f t="shared" ca="1" si="33"/>
        <v>1</v>
      </c>
      <c r="S163" s="115">
        <f t="shared" ca="1" si="34"/>
        <v>15</v>
      </c>
      <c r="T163" s="126">
        <f t="shared" ca="1" si="35"/>
        <v>46212.961887999998</v>
      </c>
      <c r="U163" s="127" t="str">
        <f t="shared" si="32"/>
        <v>N</v>
      </c>
      <c r="V163" s="128">
        <f t="shared" si="47"/>
        <v>75.67</v>
      </c>
      <c r="W163" s="129">
        <f t="shared" si="36"/>
        <v>75.67</v>
      </c>
      <c r="X163" s="197"/>
      <c r="Y163" s="115">
        <f t="shared" ca="1" si="37"/>
        <v>331</v>
      </c>
      <c r="Z163" s="118">
        <f t="shared" ca="1" si="38"/>
        <v>9.31506849315068E-2</v>
      </c>
      <c r="AA163" s="116"/>
      <c r="AB163" s="117">
        <f t="shared" si="39"/>
        <v>1.3405223743738075</v>
      </c>
      <c r="AC163" s="118">
        <f t="shared" si="40"/>
        <v>0.13918843226557531</v>
      </c>
      <c r="AE163" s="55"/>
      <c r="AF163" s="72"/>
      <c r="AG163" s="72"/>
      <c r="AH163" s="66"/>
      <c r="AJ163" t="s">
        <v>491</v>
      </c>
    </row>
    <row r="164" spans="1:36" ht="16" hidden="1" thickBot="1" x14ac:dyDescent="0.25">
      <c r="A164" s="119" t="s">
        <v>485</v>
      </c>
      <c r="B164" s="120" t="s">
        <v>1191</v>
      </c>
      <c r="C164" s="108" t="str">
        <f t="shared" si="41"/>
        <v>/Applications/Stellarium.app/Contents/Resources/nebulae/default/n6517.png</v>
      </c>
      <c r="D164" s="121" t="s">
        <v>1596</v>
      </c>
      <c r="E164" s="109"/>
      <c r="F164" s="122">
        <v>18</v>
      </c>
      <c r="G164" s="123">
        <v>2</v>
      </c>
      <c r="H164" s="122">
        <v>-10</v>
      </c>
      <c r="I164" s="124">
        <v>59</v>
      </c>
      <c r="J164" s="112" t="s">
        <v>918</v>
      </c>
      <c r="K164" s="125">
        <v>13.6</v>
      </c>
      <c r="L164" s="196"/>
      <c r="M164" s="110">
        <f t="shared" si="42"/>
        <v>-9.0166666666666675</v>
      </c>
      <c r="N164" s="111">
        <f t="shared" si="43"/>
        <v>28.763333333333335</v>
      </c>
      <c r="O164" s="112">
        <f t="shared" si="44"/>
        <v>18.033333333333335</v>
      </c>
      <c r="P164" s="113">
        <f t="shared" ca="1" si="45"/>
        <v>46183.722807999999</v>
      </c>
      <c r="Q164" s="114">
        <f t="shared" ca="1" si="46"/>
        <v>46198.722807999999</v>
      </c>
      <c r="R164" s="114" t="b">
        <f t="shared" ca="1" si="33"/>
        <v>1</v>
      </c>
      <c r="S164" s="115">
        <f t="shared" ca="1" si="34"/>
        <v>15</v>
      </c>
      <c r="T164" s="126">
        <f t="shared" ca="1" si="35"/>
        <v>46213.722807999999</v>
      </c>
      <c r="U164" s="127" t="str">
        <f t="shared" si="32"/>
        <v>S</v>
      </c>
      <c r="V164" s="128">
        <f t="shared" si="47"/>
        <v>28.763333333333335</v>
      </c>
      <c r="W164" s="129">
        <f t="shared" si="36"/>
        <v>28.763333333333335</v>
      </c>
      <c r="X164" s="197"/>
      <c r="Y164" s="115">
        <f t="shared" ca="1" si="37"/>
        <v>330</v>
      </c>
      <c r="Z164" s="118">
        <f t="shared" ca="1" si="38"/>
        <v>9.589041095890416E-2</v>
      </c>
      <c r="AA164" s="116"/>
      <c r="AB164" s="117">
        <f t="shared" si="39"/>
        <v>1.3903858526903019</v>
      </c>
      <c r="AC164" s="118">
        <f t="shared" si="40"/>
        <v>0.14126607719542925</v>
      </c>
      <c r="AE164" s="55"/>
      <c r="AF164" s="72"/>
      <c r="AG164" s="72"/>
      <c r="AH164" s="66"/>
      <c r="AJ164" t="s">
        <v>485</v>
      </c>
    </row>
    <row r="165" spans="1:36" ht="16" hidden="1" thickBot="1" x14ac:dyDescent="0.25">
      <c r="A165" s="119" t="s">
        <v>112</v>
      </c>
      <c r="B165" s="120" t="s">
        <v>1204</v>
      </c>
      <c r="C165" s="108" t="str">
        <f t="shared" si="41"/>
        <v>/Applications/Stellarium.app/Contents/Resources/nebulae/default/m20.png</v>
      </c>
      <c r="D165" s="121" t="s">
        <v>1597</v>
      </c>
      <c r="E165" s="109"/>
      <c r="F165" s="122">
        <v>18</v>
      </c>
      <c r="G165" s="123">
        <v>3</v>
      </c>
      <c r="H165" s="122">
        <v>-24</v>
      </c>
      <c r="I165" s="124">
        <v>44</v>
      </c>
      <c r="J165" s="112" t="s">
        <v>727</v>
      </c>
      <c r="K165" s="125">
        <v>14.2</v>
      </c>
      <c r="L165" s="196"/>
      <c r="M165" s="110">
        <f t="shared" si="42"/>
        <v>-23.266666666666666</v>
      </c>
      <c r="N165" s="111">
        <f t="shared" si="43"/>
        <v>14.513333333333335</v>
      </c>
      <c r="O165" s="112">
        <f t="shared" si="44"/>
        <v>18.05</v>
      </c>
      <c r="P165" s="113">
        <f t="shared" ca="1" si="45"/>
        <v>46183.976448000001</v>
      </c>
      <c r="Q165" s="114">
        <f t="shared" ca="1" si="46"/>
        <v>46198.976448000001</v>
      </c>
      <c r="R165" s="114" t="b">
        <f t="shared" ca="1" si="33"/>
        <v>1</v>
      </c>
      <c r="S165" s="115">
        <f t="shared" ca="1" si="34"/>
        <v>15</v>
      </c>
      <c r="T165" s="126">
        <f t="shared" ca="1" si="35"/>
        <v>46213.976448000001</v>
      </c>
      <c r="U165" s="127" t="str">
        <f t="shared" si="32"/>
        <v>S</v>
      </c>
      <c r="V165" s="128">
        <f t="shared" si="47"/>
        <v>14.513333333333335</v>
      </c>
      <c r="W165" s="129">
        <f t="shared" si="36"/>
        <v>14.513333333333335</v>
      </c>
      <c r="X165" s="197"/>
      <c r="Y165" s="115">
        <f t="shared" ca="1" si="37"/>
        <v>330</v>
      </c>
      <c r="Z165" s="118">
        <f t="shared" ca="1" si="38"/>
        <v>9.589041095890416E-2</v>
      </c>
      <c r="AA165" s="116"/>
      <c r="AB165" s="117">
        <f t="shared" si="39"/>
        <v>1.4070070121291323</v>
      </c>
      <c r="AC165" s="118">
        <f t="shared" si="40"/>
        <v>0.14195862550538052</v>
      </c>
      <c r="AE165" s="55"/>
      <c r="AF165" s="72"/>
      <c r="AG165" s="72"/>
      <c r="AH165" s="66"/>
      <c r="AJ165" t="s">
        <v>112</v>
      </c>
    </row>
    <row r="166" spans="1:36" ht="16" hidden="1" thickBot="1" x14ac:dyDescent="0.25">
      <c r="A166" s="119" t="s">
        <v>487</v>
      </c>
      <c r="B166" s="120" t="s">
        <v>1191</v>
      </c>
      <c r="C166" s="108" t="str">
        <f t="shared" si="41"/>
        <v>/Applications/Stellarium.app/Contents/Resources/nebulae/default/n6535.png</v>
      </c>
      <c r="D166" s="121" t="s">
        <v>1598</v>
      </c>
      <c r="E166" s="109"/>
      <c r="F166" s="122">
        <v>18</v>
      </c>
      <c r="G166" s="123">
        <v>3</v>
      </c>
      <c r="H166" s="122">
        <v>-1</v>
      </c>
      <c r="I166" s="124">
        <v>39</v>
      </c>
      <c r="J166" s="112" t="s">
        <v>1031</v>
      </c>
      <c r="K166" s="125">
        <v>13.2</v>
      </c>
      <c r="L166" s="196"/>
      <c r="M166" s="110">
        <f t="shared" si="42"/>
        <v>-0.35</v>
      </c>
      <c r="N166" s="111">
        <f t="shared" si="43"/>
        <v>37.43</v>
      </c>
      <c r="O166" s="112">
        <f t="shared" si="44"/>
        <v>18.05</v>
      </c>
      <c r="P166" s="113">
        <f t="shared" ca="1" si="45"/>
        <v>46183.976448000001</v>
      </c>
      <c r="Q166" s="114">
        <f t="shared" ca="1" si="46"/>
        <v>46198.976448000001</v>
      </c>
      <c r="R166" s="114" t="b">
        <f t="shared" ca="1" si="33"/>
        <v>1</v>
      </c>
      <c r="S166" s="115">
        <f t="shared" ca="1" si="34"/>
        <v>15</v>
      </c>
      <c r="T166" s="126">
        <f t="shared" ca="1" si="35"/>
        <v>46213.976448000001</v>
      </c>
      <c r="U166" s="127" t="str">
        <f t="shared" si="32"/>
        <v>S</v>
      </c>
      <c r="V166" s="128">
        <f t="shared" si="47"/>
        <v>37.43</v>
      </c>
      <c r="W166" s="129">
        <f t="shared" si="36"/>
        <v>37.43</v>
      </c>
      <c r="X166" s="197"/>
      <c r="Y166" s="115">
        <f t="shared" ca="1" si="37"/>
        <v>330</v>
      </c>
      <c r="Z166" s="118">
        <f t="shared" ca="1" si="38"/>
        <v>9.589041095890416E-2</v>
      </c>
      <c r="AA166" s="116"/>
      <c r="AB166" s="117">
        <f t="shared" si="39"/>
        <v>1.4070070121291323</v>
      </c>
      <c r="AC166" s="118">
        <f t="shared" si="40"/>
        <v>0.14195862550538052</v>
      </c>
      <c r="AE166" s="55"/>
      <c r="AF166" s="72"/>
      <c r="AG166" s="72"/>
      <c r="AH166" s="66"/>
      <c r="AJ166" t="s">
        <v>487</v>
      </c>
    </row>
    <row r="167" spans="1:36" ht="16" hidden="1" thickBot="1" x14ac:dyDescent="0.25">
      <c r="A167" s="119" t="s">
        <v>113</v>
      </c>
      <c r="B167" s="120" t="s">
        <v>1205</v>
      </c>
      <c r="C167" s="108" t="str">
        <f t="shared" si="41"/>
        <v>/Applications/Stellarium.app/Contents/Resources/nebulae/default/m21-trev.png</v>
      </c>
      <c r="D167" s="121" t="s">
        <v>1599</v>
      </c>
      <c r="E167" s="109"/>
      <c r="F167" s="122">
        <v>18</v>
      </c>
      <c r="G167" s="123">
        <v>4</v>
      </c>
      <c r="H167" s="122">
        <v>-23</v>
      </c>
      <c r="I167" s="124">
        <v>24</v>
      </c>
      <c r="J167" s="112" t="s">
        <v>720</v>
      </c>
      <c r="K167" s="125">
        <v>13.2</v>
      </c>
      <c r="L167" s="196"/>
      <c r="M167" s="110">
        <f t="shared" si="42"/>
        <v>-22.6</v>
      </c>
      <c r="N167" s="111">
        <f t="shared" si="43"/>
        <v>15.18</v>
      </c>
      <c r="O167" s="112">
        <f t="shared" si="44"/>
        <v>18.066666666666666</v>
      </c>
      <c r="P167" s="113">
        <f t="shared" ca="1" si="45"/>
        <v>46184.230087999997</v>
      </c>
      <c r="Q167" s="114">
        <f t="shared" ca="1" si="46"/>
        <v>46199.230087999997</v>
      </c>
      <c r="R167" s="114" t="b">
        <f t="shared" ca="1" si="33"/>
        <v>1</v>
      </c>
      <c r="S167" s="115">
        <f t="shared" ca="1" si="34"/>
        <v>15</v>
      </c>
      <c r="T167" s="126">
        <f t="shared" ca="1" si="35"/>
        <v>46214.230087999997</v>
      </c>
      <c r="U167" s="127" t="str">
        <f t="shared" si="32"/>
        <v>S</v>
      </c>
      <c r="V167" s="128">
        <f t="shared" si="47"/>
        <v>15.18</v>
      </c>
      <c r="W167" s="129">
        <f t="shared" si="36"/>
        <v>15.18</v>
      </c>
      <c r="X167" s="197"/>
      <c r="Y167" s="115">
        <f t="shared" ca="1" si="37"/>
        <v>330</v>
      </c>
      <c r="Z167" s="118">
        <f t="shared" ca="1" si="38"/>
        <v>9.589041095890416E-2</v>
      </c>
      <c r="AA167" s="116"/>
      <c r="AB167" s="117">
        <f t="shared" si="39"/>
        <v>1.4236281715679626</v>
      </c>
      <c r="AC167" s="118">
        <f t="shared" si="40"/>
        <v>0.14265117381533177</v>
      </c>
      <c r="AE167" s="55"/>
      <c r="AF167" s="72"/>
      <c r="AG167" s="72"/>
      <c r="AH167" s="66"/>
      <c r="AJ167" t="s">
        <v>113</v>
      </c>
    </row>
    <row r="168" spans="1:36" ht="16" hidden="1" thickBot="1" x14ac:dyDescent="0.25">
      <c r="A168" s="119" t="s">
        <v>486</v>
      </c>
      <c r="B168" s="120" t="s">
        <v>1207</v>
      </c>
      <c r="C168" s="108" t="str">
        <f t="shared" si="41"/>
        <v>/Applications/Stellarium.app/Contents/Resources/nebulae/default/n6522.png</v>
      </c>
      <c r="D168" s="121" t="s">
        <v>1600</v>
      </c>
      <c r="E168" s="109"/>
      <c r="F168" s="122">
        <v>18</v>
      </c>
      <c r="G168" s="123">
        <v>4</v>
      </c>
      <c r="H168" s="122">
        <v>-31</v>
      </c>
      <c r="I168" s="124">
        <v>45</v>
      </c>
      <c r="J168" s="112" t="s">
        <v>1030</v>
      </c>
      <c r="K168" s="125">
        <v>14.8</v>
      </c>
      <c r="L168" s="196"/>
      <c r="M168" s="110">
        <f t="shared" si="42"/>
        <v>-30.25</v>
      </c>
      <c r="N168" s="111">
        <f t="shared" si="43"/>
        <v>7.5300000000000011</v>
      </c>
      <c r="O168" s="112">
        <f t="shared" si="44"/>
        <v>18.066666666666666</v>
      </c>
      <c r="P168" s="113">
        <f t="shared" ca="1" si="45"/>
        <v>46184.230087999997</v>
      </c>
      <c r="Q168" s="114">
        <f t="shared" ca="1" si="46"/>
        <v>46199.230087999997</v>
      </c>
      <c r="R168" s="114" t="b">
        <f t="shared" ca="1" si="33"/>
        <v>1</v>
      </c>
      <c r="S168" s="115">
        <f t="shared" ca="1" si="34"/>
        <v>15</v>
      </c>
      <c r="T168" s="126">
        <f t="shared" ca="1" si="35"/>
        <v>46214.230087999997</v>
      </c>
      <c r="U168" s="127" t="str">
        <f t="shared" si="32"/>
        <v>S</v>
      </c>
      <c r="V168" s="128">
        <f t="shared" si="47"/>
        <v>7.5300000000000011</v>
      </c>
      <c r="W168" s="129">
        <f t="shared" si="36"/>
        <v>7.5300000000000011</v>
      </c>
      <c r="X168" s="197"/>
      <c r="Y168" s="115">
        <f t="shared" ca="1" si="37"/>
        <v>330</v>
      </c>
      <c r="Z168" s="118">
        <f t="shared" ca="1" si="38"/>
        <v>9.589041095890416E-2</v>
      </c>
      <c r="AA168" s="116"/>
      <c r="AB168" s="117">
        <f t="shared" si="39"/>
        <v>1.4236281715679626</v>
      </c>
      <c r="AC168" s="118">
        <f t="shared" si="40"/>
        <v>0.14265117381533177</v>
      </c>
      <c r="AE168" s="55"/>
      <c r="AF168" s="72"/>
      <c r="AG168" s="72"/>
      <c r="AH168" s="66"/>
      <c r="AJ168" t="s">
        <v>486</v>
      </c>
    </row>
    <row r="169" spans="1:36" ht="16" hidden="1" thickBot="1" x14ac:dyDescent="0.25">
      <c r="A169" s="119" t="s">
        <v>488</v>
      </c>
      <c r="B169" s="120" t="s">
        <v>1320</v>
      </c>
      <c r="C169" s="108" t="str">
        <f t="shared" si="41"/>
        <v>/Applications/Stellarium.app/Contents/Resources/nebulae/default/n6537.png</v>
      </c>
      <c r="D169" s="121" t="s">
        <v>1601</v>
      </c>
      <c r="E169" s="109"/>
      <c r="F169" s="122">
        <v>18</v>
      </c>
      <c r="G169" s="123">
        <v>5</v>
      </c>
      <c r="H169" s="122">
        <v>-20</v>
      </c>
      <c r="I169" s="124">
        <v>7</v>
      </c>
      <c r="J169" s="112" t="s">
        <v>1032</v>
      </c>
      <c r="K169" s="125">
        <v>14</v>
      </c>
      <c r="L169" s="196"/>
      <c r="M169" s="110">
        <f t="shared" si="42"/>
        <v>-19.883333333333333</v>
      </c>
      <c r="N169" s="111">
        <f t="shared" si="43"/>
        <v>17.896666666666668</v>
      </c>
      <c r="O169" s="112">
        <f t="shared" si="44"/>
        <v>18.083333333333332</v>
      </c>
      <c r="P169" s="113">
        <f t="shared" ca="1" si="45"/>
        <v>46184.483727999999</v>
      </c>
      <c r="Q169" s="114">
        <f t="shared" ca="1" si="46"/>
        <v>46199.483727999999</v>
      </c>
      <c r="R169" s="114" t="b">
        <f t="shared" ca="1" si="33"/>
        <v>1</v>
      </c>
      <c r="S169" s="115">
        <f t="shared" ca="1" si="34"/>
        <v>15</v>
      </c>
      <c r="T169" s="126">
        <f t="shared" ca="1" si="35"/>
        <v>46214.483727999999</v>
      </c>
      <c r="U169" s="127" t="str">
        <f t="shared" si="32"/>
        <v>S</v>
      </c>
      <c r="V169" s="128">
        <f t="shared" si="47"/>
        <v>17.896666666666668</v>
      </c>
      <c r="W169" s="129">
        <f t="shared" si="36"/>
        <v>17.896666666666668</v>
      </c>
      <c r="X169" s="197"/>
      <c r="Y169" s="115">
        <f t="shared" ca="1" si="37"/>
        <v>330</v>
      </c>
      <c r="Z169" s="118">
        <f t="shared" ca="1" si="38"/>
        <v>9.589041095890416E-2</v>
      </c>
      <c r="AA169" s="116"/>
      <c r="AB169" s="117">
        <f t="shared" si="39"/>
        <v>1.440249331006793</v>
      </c>
      <c r="AC169" s="118">
        <f t="shared" si="40"/>
        <v>0.14334372212528304</v>
      </c>
      <c r="AE169" s="55"/>
      <c r="AF169" s="72"/>
      <c r="AG169" s="72"/>
      <c r="AH169" s="66"/>
      <c r="AJ169" t="s">
        <v>488</v>
      </c>
    </row>
    <row r="170" spans="1:36" ht="16" hidden="1" thickBot="1" x14ac:dyDescent="0.25">
      <c r="A170" s="119" t="s">
        <v>489</v>
      </c>
      <c r="B170" s="120" t="s">
        <v>1191</v>
      </c>
      <c r="C170" s="108" t="str">
        <f t="shared" si="41"/>
        <v>/Applications/Stellarium.app/Contents/Resources/nebulae/default/n6539.png</v>
      </c>
      <c r="D170" s="121" t="s">
        <v>1602</v>
      </c>
      <c r="E170" s="109"/>
      <c r="F170" s="122">
        <v>18</v>
      </c>
      <c r="G170" s="123">
        <v>5</v>
      </c>
      <c r="H170" s="122">
        <v>-8</v>
      </c>
      <c r="I170" s="124">
        <v>20</v>
      </c>
      <c r="J170" s="112" t="s">
        <v>1033</v>
      </c>
      <c r="K170" s="125">
        <v>12.8</v>
      </c>
      <c r="L170" s="196"/>
      <c r="M170" s="110">
        <f t="shared" si="42"/>
        <v>-7.666666666666667</v>
      </c>
      <c r="N170" s="111">
        <f t="shared" si="43"/>
        <v>30.113333333333333</v>
      </c>
      <c r="O170" s="112">
        <f t="shared" si="44"/>
        <v>18.083333333333332</v>
      </c>
      <c r="P170" s="113">
        <f t="shared" ca="1" si="45"/>
        <v>46184.483727999999</v>
      </c>
      <c r="Q170" s="114">
        <f t="shared" ca="1" si="46"/>
        <v>46199.483727999999</v>
      </c>
      <c r="R170" s="114" t="b">
        <f t="shared" ca="1" si="33"/>
        <v>1</v>
      </c>
      <c r="S170" s="115">
        <f t="shared" ca="1" si="34"/>
        <v>15</v>
      </c>
      <c r="T170" s="126">
        <f t="shared" ca="1" si="35"/>
        <v>46214.483727999999</v>
      </c>
      <c r="U170" s="127" t="str">
        <f t="shared" si="32"/>
        <v>S</v>
      </c>
      <c r="V170" s="128">
        <f t="shared" si="47"/>
        <v>30.113333333333333</v>
      </c>
      <c r="W170" s="129">
        <f t="shared" si="36"/>
        <v>30.113333333333333</v>
      </c>
      <c r="X170" s="197"/>
      <c r="Y170" s="115">
        <f t="shared" ca="1" si="37"/>
        <v>330</v>
      </c>
      <c r="Z170" s="118">
        <f t="shared" ca="1" si="38"/>
        <v>9.589041095890416E-2</v>
      </c>
      <c r="AA170" s="116"/>
      <c r="AB170" s="117">
        <f t="shared" si="39"/>
        <v>1.440249331006793</v>
      </c>
      <c r="AC170" s="118">
        <f t="shared" si="40"/>
        <v>0.14334372212528304</v>
      </c>
      <c r="AE170" s="55"/>
      <c r="AF170" s="72"/>
      <c r="AG170" s="72"/>
      <c r="AH170" s="66"/>
      <c r="AJ170" t="s">
        <v>489</v>
      </c>
    </row>
    <row r="171" spans="1:36" ht="16" hidden="1" thickBot="1" x14ac:dyDescent="0.25">
      <c r="A171" s="119" t="s">
        <v>492</v>
      </c>
      <c r="B171" s="120" t="s">
        <v>1191</v>
      </c>
      <c r="C171" s="108" t="str">
        <f t="shared" si="41"/>
        <v>/Applications/Stellarium.app/Contents/Resources/nebulae/default/n6544.png</v>
      </c>
      <c r="D171" s="121" t="s">
        <v>1603</v>
      </c>
      <c r="E171" s="109"/>
      <c r="F171" s="122">
        <v>18</v>
      </c>
      <c r="G171" s="123">
        <v>7</v>
      </c>
      <c r="H171" s="122">
        <v>-26</v>
      </c>
      <c r="I171" s="124">
        <v>52</v>
      </c>
      <c r="J171" s="112" t="s">
        <v>1034</v>
      </c>
      <c r="K171" s="125">
        <v>14.2</v>
      </c>
      <c r="L171" s="196"/>
      <c r="M171" s="110">
        <f t="shared" si="42"/>
        <v>-25.133333333333333</v>
      </c>
      <c r="N171" s="111">
        <f t="shared" si="43"/>
        <v>12.646666666666668</v>
      </c>
      <c r="O171" s="112">
        <f t="shared" si="44"/>
        <v>18.116666666666667</v>
      </c>
      <c r="P171" s="113">
        <f t="shared" ca="1" si="45"/>
        <v>46184.991007999997</v>
      </c>
      <c r="Q171" s="114">
        <f t="shared" ca="1" si="46"/>
        <v>46199.991007999997</v>
      </c>
      <c r="R171" s="114" t="b">
        <f t="shared" ca="1" si="33"/>
        <v>1</v>
      </c>
      <c r="S171" s="115">
        <f t="shared" ca="1" si="34"/>
        <v>15</v>
      </c>
      <c r="T171" s="126">
        <f t="shared" ca="1" si="35"/>
        <v>46214.991007999997</v>
      </c>
      <c r="U171" s="127" t="str">
        <f t="shared" si="32"/>
        <v>S</v>
      </c>
      <c r="V171" s="128">
        <f t="shared" si="47"/>
        <v>12.646666666666668</v>
      </c>
      <c r="W171" s="129">
        <f t="shared" si="36"/>
        <v>12.646666666666668</v>
      </c>
      <c r="X171" s="197"/>
      <c r="Y171" s="115">
        <f t="shared" ca="1" si="37"/>
        <v>329</v>
      </c>
      <c r="Z171" s="118">
        <f t="shared" ca="1" si="38"/>
        <v>9.8630136986301409E-2</v>
      </c>
      <c r="AA171" s="116"/>
      <c r="AB171" s="117">
        <f t="shared" si="39"/>
        <v>1.473491649884457</v>
      </c>
      <c r="AC171" s="118">
        <f t="shared" si="40"/>
        <v>0.1447288187451857</v>
      </c>
      <c r="AE171" s="55"/>
      <c r="AF171" s="72"/>
      <c r="AG171" s="72"/>
      <c r="AH171" s="66"/>
      <c r="AJ171" t="s">
        <v>492</v>
      </c>
    </row>
    <row r="172" spans="1:36" ht="16" hidden="1" thickBot="1" x14ac:dyDescent="0.25">
      <c r="A172" s="119" t="s">
        <v>490</v>
      </c>
      <c r="B172" s="120" t="s">
        <v>1191</v>
      </c>
      <c r="C172" s="108" t="str">
        <f t="shared" si="41"/>
        <v>/Applications/Stellarium.app/Contents/Resources/nebulae/default/n6541.png</v>
      </c>
      <c r="D172" s="121" t="s">
        <v>1604</v>
      </c>
      <c r="E172" s="109"/>
      <c r="F172" s="122">
        <v>18</v>
      </c>
      <c r="G172" s="123">
        <v>8</v>
      </c>
      <c r="H172" s="122">
        <v>-44</v>
      </c>
      <c r="I172" s="124">
        <v>9</v>
      </c>
      <c r="J172" s="112" t="s">
        <v>740</v>
      </c>
      <c r="K172" s="125">
        <v>13.2</v>
      </c>
      <c r="L172" s="196"/>
      <c r="M172" s="110">
        <f t="shared" si="42"/>
        <v>-43.85</v>
      </c>
      <c r="N172" s="111">
        <f t="shared" si="43"/>
        <v>-6.07</v>
      </c>
      <c r="O172" s="112">
        <f t="shared" si="44"/>
        <v>18.133333333333333</v>
      </c>
      <c r="P172" s="113">
        <f t="shared" ca="1" si="45"/>
        <v>46185.244648</v>
      </c>
      <c r="Q172" s="114">
        <f t="shared" ca="1" si="46"/>
        <v>46200.244648</v>
      </c>
      <c r="R172" s="114" t="b">
        <f t="shared" ca="1" si="33"/>
        <v>1</v>
      </c>
      <c r="S172" s="115">
        <f t="shared" ca="1" si="34"/>
        <v>15</v>
      </c>
      <c r="T172" s="126">
        <f t="shared" ca="1" si="35"/>
        <v>46215.244648</v>
      </c>
      <c r="U172" s="127" t="str">
        <f t="shared" si="32"/>
        <v>S</v>
      </c>
      <c r="V172" s="128">
        <f t="shared" si="47"/>
        <v>-6.07</v>
      </c>
      <c r="W172" s="129">
        <f t="shared" si="36"/>
        <v>-6.07</v>
      </c>
      <c r="X172" s="197"/>
      <c r="Y172" s="115">
        <f t="shared" ca="1" si="37"/>
        <v>329</v>
      </c>
      <c r="Z172" s="118">
        <f t="shared" ca="1" si="38"/>
        <v>9.8630136986301409E-2</v>
      </c>
      <c r="AA172" s="116"/>
      <c r="AB172" s="117">
        <f t="shared" si="39"/>
        <v>1.4901128093232874</v>
      </c>
      <c r="AC172" s="118">
        <f t="shared" si="40"/>
        <v>0.14542136705513697</v>
      </c>
      <c r="AE172" s="55"/>
      <c r="AF172" s="72"/>
      <c r="AG172" s="72"/>
      <c r="AH172" s="66"/>
      <c r="AJ172" t="s">
        <v>490</v>
      </c>
    </row>
    <row r="173" spans="1:36" ht="16" hidden="1" thickBot="1" x14ac:dyDescent="0.25">
      <c r="A173" s="119" t="s">
        <v>657</v>
      </c>
      <c r="B173" s="120" t="s">
        <v>1411</v>
      </c>
      <c r="C173" s="108" t="str">
        <f t="shared" si="41"/>
        <v>/Applications/Stellarium.app/Contents/Resources/nebulae/default/rcw158-trev.png</v>
      </c>
      <c r="D173" s="121" t="s">
        <v>1605</v>
      </c>
      <c r="E173" s="109"/>
      <c r="F173" s="122">
        <v>18</v>
      </c>
      <c r="G173" s="123">
        <v>8</v>
      </c>
      <c r="H173" s="122">
        <v>-15</v>
      </c>
      <c r="I173" s="124">
        <v>12</v>
      </c>
      <c r="J173" s="112" t="s">
        <v>1091</v>
      </c>
      <c r="K173" s="125">
        <v>13.4</v>
      </c>
      <c r="L173" s="196"/>
      <c r="M173" s="110">
        <f t="shared" si="42"/>
        <v>-14.8</v>
      </c>
      <c r="N173" s="111">
        <f t="shared" si="43"/>
        <v>22.98</v>
      </c>
      <c r="O173" s="112">
        <f t="shared" si="44"/>
        <v>18.133333333333333</v>
      </c>
      <c r="P173" s="113">
        <f t="shared" ca="1" si="45"/>
        <v>46185.244648</v>
      </c>
      <c r="Q173" s="114">
        <f t="shared" ca="1" si="46"/>
        <v>46200.244648</v>
      </c>
      <c r="R173" s="114" t="b">
        <f t="shared" ca="1" si="33"/>
        <v>1</v>
      </c>
      <c r="S173" s="115">
        <f t="shared" ca="1" si="34"/>
        <v>15</v>
      </c>
      <c r="T173" s="126">
        <f t="shared" ca="1" si="35"/>
        <v>46215.244648</v>
      </c>
      <c r="U173" s="127" t="str">
        <f t="shared" si="32"/>
        <v>S</v>
      </c>
      <c r="V173" s="128">
        <f t="shared" si="47"/>
        <v>22.98</v>
      </c>
      <c r="W173" s="129">
        <f t="shared" si="36"/>
        <v>22.98</v>
      </c>
      <c r="X173" s="197"/>
      <c r="Y173" s="115">
        <f t="shared" ca="1" si="37"/>
        <v>329</v>
      </c>
      <c r="Z173" s="118">
        <f t="shared" ca="1" si="38"/>
        <v>9.8630136986301409E-2</v>
      </c>
      <c r="AA173" s="116"/>
      <c r="AB173" s="117">
        <f t="shared" si="39"/>
        <v>1.4901128093232874</v>
      </c>
      <c r="AC173" s="118">
        <f t="shared" si="40"/>
        <v>0.14542136705513697</v>
      </c>
      <c r="AE173" s="55"/>
      <c r="AF173" s="72"/>
      <c r="AG173" s="72"/>
      <c r="AH173" s="66"/>
      <c r="AJ173" t="s">
        <v>657</v>
      </c>
    </row>
    <row r="174" spans="1:36" ht="16" hidden="1" thickBot="1" x14ac:dyDescent="0.25">
      <c r="A174" s="119" t="s">
        <v>493</v>
      </c>
      <c r="B174" s="120" t="s">
        <v>1191</v>
      </c>
      <c r="C174" s="108" t="str">
        <f t="shared" si="41"/>
        <v>/Applications/Stellarium.app/Contents/Resources/nebulae/default/n6553.png</v>
      </c>
      <c r="D174" s="121" t="s">
        <v>1606</v>
      </c>
      <c r="E174" s="109"/>
      <c r="F174" s="122">
        <v>18</v>
      </c>
      <c r="G174" s="123">
        <v>9</v>
      </c>
      <c r="H174" s="122">
        <v>-26</v>
      </c>
      <c r="I174" s="124">
        <v>0</v>
      </c>
      <c r="J174" s="112" t="s">
        <v>1034</v>
      </c>
      <c r="K174" s="125">
        <v>14.2</v>
      </c>
      <c r="L174" s="196"/>
      <c r="M174" s="110">
        <f t="shared" si="42"/>
        <v>-26</v>
      </c>
      <c r="N174" s="111">
        <f t="shared" si="43"/>
        <v>11.780000000000001</v>
      </c>
      <c r="O174" s="112">
        <f t="shared" si="44"/>
        <v>18.149999999999999</v>
      </c>
      <c r="P174" s="113">
        <f t="shared" ca="1" si="45"/>
        <v>46185.498288000003</v>
      </c>
      <c r="Q174" s="114">
        <f t="shared" ca="1" si="46"/>
        <v>46200.498288000003</v>
      </c>
      <c r="R174" s="114" t="b">
        <f t="shared" ca="1" si="33"/>
        <v>1</v>
      </c>
      <c r="S174" s="115">
        <f t="shared" ca="1" si="34"/>
        <v>15</v>
      </c>
      <c r="T174" s="126">
        <f t="shared" ca="1" si="35"/>
        <v>46215.498288000003</v>
      </c>
      <c r="U174" s="127" t="str">
        <f t="shared" si="32"/>
        <v>S</v>
      </c>
      <c r="V174" s="128">
        <f t="shared" si="47"/>
        <v>11.780000000000001</v>
      </c>
      <c r="W174" s="129">
        <f t="shared" si="36"/>
        <v>11.780000000000001</v>
      </c>
      <c r="X174" s="197"/>
      <c r="Y174" s="115">
        <f t="shared" ca="1" si="37"/>
        <v>329</v>
      </c>
      <c r="Z174" s="118">
        <f t="shared" ca="1" si="38"/>
        <v>9.8630136986301409E-2</v>
      </c>
      <c r="AA174" s="116"/>
      <c r="AB174" s="117">
        <f t="shared" si="39"/>
        <v>1.5067339687621177</v>
      </c>
      <c r="AC174" s="118">
        <f t="shared" si="40"/>
        <v>0.14611391536508825</v>
      </c>
      <c r="AE174" s="55"/>
      <c r="AF174" s="72"/>
      <c r="AG174" s="72"/>
      <c r="AH174" s="66"/>
      <c r="AJ174" t="s">
        <v>493</v>
      </c>
    </row>
    <row r="175" spans="1:36" ht="16" hidden="1" thickBot="1" x14ac:dyDescent="0.25">
      <c r="A175" s="119" t="s">
        <v>100</v>
      </c>
      <c r="B175" s="120" t="s">
        <v>1196</v>
      </c>
      <c r="C175" s="108" t="str">
        <f t="shared" si="41"/>
        <v>/Applications/Stellarium.app/Contents/Resources/nebulae/default/m8.png</v>
      </c>
      <c r="D175" s="121" t="s">
        <v>1607</v>
      </c>
      <c r="E175" s="109"/>
      <c r="F175" s="122">
        <v>18</v>
      </c>
      <c r="G175" s="123">
        <v>11</v>
      </c>
      <c r="H175" s="122">
        <v>-26</v>
      </c>
      <c r="I175" s="124">
        <v>48</v>
      </c>
      <c r="J175" s="112" t="s">
        <v>725</v>
      </c>
      <c r="K175" s="125">
        <v>13.8</v>
      </c>
      <c r="L175" s="196"/>
      <c r="M175" s="110">
        <f t="shared" si="42"/>
        <v>-25.2</v>
      </c>
      <c r="N175" s="111">
        <f t="shared" si="43"/>
        <v>12.580000000000002</v>
      </c>
      <c r="O175" s="112">
        <f t="shared" si="44"/>
        <v>18.183333333333334</v>
      </c>
      <c r="P175" s="113">
        <f t="shared" ca="1" si="45"/>
        <v>46186.005568</v>
      </c>
      <c r="Q175" s="114">
        <f t="shared" ca="1" si="46"/>
        <v>46201.005568</v>
      </c>
      <c r="R175" s="114" t="b">
        <f t="shared" ca="1" si="33"/>
        <v>1</v>
      </c>
      <c r="S175" s="115">
        <f t="shared" ca="1" si="34"/>
        <v>15</v>
      </c>
      <c r="T175" s="126">
        <f t="shared" ca="1" si="35"/>
        <v>46216.005568</v>
      </c>
      <c r="U175" s="127" t="str">
        <f t="shared" si="32"/>
        <v>S</v>
      </c>
      <c r="V175" s="128">
        <f t="shared" si="47"/>
        <v>12.580000000000002</v>
      </c>
      <c r="W175" s="129">
        <f t="shared" si="36"/>
        <v>12.580000000000002</v>
      </c>
      <c r="X175" s="197"/>
      <c r="Y175" s="115">
        <f t="shared" ca="1" si="37"/>
        <v>328</v>
      </c>
      <c r="Z175" s="118">
        <f t="shared" ca="1" si="38"/>
        <v>0.10136986301369866</v>
      </c>
      <c r="AA175" s="116"/>
      <c r="AB175" s="117">
        <f t="shared" si="39"/>
        <v>1.5399762876397818</v>
      </c>
      <c r="AC175" s="118">
        <f t="shared" si="40"/>
        <v>0.14749901198499091</v>
      </c>
      <c r="AE175" s="55"/>
      <c r="AF175" s="72"/>
      <c r="AG175" s="72"/>
      <c r="AH175" s="66"/>
      <c r="AJ175" t="s">
        <v>100</v>
      </c>
    </row>
    <row r="176" spans="1:36" ht="16" hidden="1" thickBot="1" x14ac:dyDescent="0.25">
      <c r="A176" s="119" t="s">
        <v>495</v>
      </c>
      <c r="B176" s="120" t="s">
        <v>1277</v>
      </c>
      <c r="C176" s="108" t="str">
        <f t="shared" si="41"/>
        <v>/Applications/Stellarium.app/Contents/Resources/nebulae/default/n6565.png</v>
      </c>
      <c r="D176" s="121" t="s">
        <v>1608</v>
      </c>
      <c r="E176" s="109"/>
      <c r="F176" s="122">
        <v>18</v>
      </c>
      <c r="G176" s="123">
        <v>11</v>
      </c>
      <c r="H176" s="122">
        <v>-29</v>
      </c>
      <c r="I176" s="124">
        <v>49</v>
      </c>
      <c r="J176" s="112" t="s">
        <v>988</v>
      </c>
      <c r="K176" s="125">
        <v>13.1</v>
      </c>
      <c r="L176" s="196"/>
      <c r="M176" s="110">
        <f t="shared" si="42"/>
        <v>-28.183333333333334</v>
      </c>
      <c r="N176" s="111">
        <f t="shared" si="43"/>
        <v>9.5966666666666676</v>
      </c>
      <c r="O176" s="112">
        <f t="shared" si="44"/>
        <v>18.183333333333334</v>
      </c>
      <c r="P176" s="113">
        <f t="shared" ca="1" si="45"/>
        <v>46186.005568</v>
      </c>
      <c r="Q176" s="114">
        <f t="shared" ca="1" si="46"/>
        <v>46201.005568</v>
      </c>
      <c r="R176" s="114" t="b">
        <f t="shared" ca="1" si="33"/>
        <v>1</v>
      </c>
      <c r="S176" s="115">
        <f t="shared" ca="1" si="34"/>
        <v>15</v>
      </c>
      <c r="T176" s="126">
        <f t="shared" ca="1" si="35"/>
        <v>46216.005568</v>
      </c>
      <c r="U176" s="127" t="str">
        <f t="shared" si="32"/>
        <v>S</v>
      </c>
      <c r="V176" s="128">
        <f t="shared" si="47"/>
        <v>9.5966666666666676</v>
      </c>
      <c r="W176" s="129">
        <f t="shared" si="36"/>
        <v>9.5966666666666676</v>
      </c>
      <c r="X176" s="197"/>
      <c r="Y176" s="115">
        <f t="shared" ca="1" si="37"/>
        <v>328</v>
      </c>
      <c r="Z176" s="118">
        <f t="shared" ca="1" si="38"/>
        <v>0.10136986301369866</v>
      </c>
      <c r="AA176" s="116"/>
      <c r="AB176" s="117">
        <f t="shared" si="39"/>
        <v>1.5399762876397818</v>
      </c>
      <c r="AC176" s="118">
        <f t="shared" si="40"/>
        <v>0.14749901198499091</v>
      </c>
      <c r="AE176" s="55"/>
      <c r="AF176" s="72"/>
      <c r="AG176" s="72"/>
      <c r="AH176" s="66"/>
      <c r="AJ176" t="s">
        <v>495</v>
      </c>
    </row>
    <row r="177" spans="1:36" ht="16" hidden="1" thickBot="1" x14ac:dyDescent="0.25">
      <c r="A177" s="119" t="s">
        <v>576</v>
      </c>
      <c r="B177" s="120" t="s">
        <v>1302</v>
      </c>
      <c r="C177" s="108" t="str">
        <f t="shared" si="41"/>
        <v>/Applications/Stellarium.app/Contents/Resources/nebulae/default/ic1276.png</v>
      </c>
      <c r="D177" s="121" t="s">
        <v>1609</v>
      </c>
      <c r="E177" s="109"/>
      <c r="F177" s="122">
        <v>18</v>
      </c>
      <c r="G177" s="123">
        <v>11</v>
      </c>
      <c r="H177" s="122">
        <v>-8</v>
      </c>
      <c r="I177" s="124">
        <v>41</v>
      </c>
      <c r="J177" s="112" t="s">
        <v>1016</v>
      </c>
      <c r="K177" s="125">
        <v>14.5</v>
      </c>
      <c r="L177" s="196"/>
      <c r="M177" s="110">
        <f t="shared" si="42"/>
        <v>-7.3166666666666664</v>
      </c>
      <c r="N177" s="111">
        <f t="shared" si="43"/>
        <v>30.463333333333335</v>
      </c>
      <c r="O177" s="112">
        <f t="shared" si="44"/>
        <v>18.183333333333334</v>
      </c>
      <c r="P177" s="113">
        <f t="shared" ca="1" si="45"/>
        <v>46186.005568</v>
      </c>
      <c r="Q177" s="114">
        <f t="shared" ca="1" si="46"/>
        <v>46201.005568</v>
      </c>
      <c r="R177" s="114" t="b">
        <f t="shared" ca="1" si="33"/>
        <v>1</v>
      </c>
      <c r="S177" s="115">
        <f t="shared" ca="1" si="34"/>
        <v>15</v>
      </c>
      <c r="T177" s="126">
        <f t="shared" ca="1" si="35"/>
        <v>46216.005568</v>
      </c>
      <c r="U177" s="127" t="str">
        <f t="shared" si="32"/>
        <v>S</v>
      </c>
      <c r="V177" s="128">
        <f t="shared" si="47"/>
        <v>30.463333333333335</v>
      </c>
      <c r="W177" s="129">
        <f t="shared" si="36"/>
        <v>30.463333333333335</v>
      </c>
      <c r="X177" s="197"/>
      <c r="Y177" s="115">
        <f t="shared" ca="1" si="37"/>
        <v>328</v>
      </c>
      <c r="Z177" s="118">
        <f t="shared" ca="1" si="38"/>
        <v>0.10136986301369866</v>
      </c>
      <c r="AA177" s="116"/>
      <c r="AB177" s="117">
        <f t="shared" si="39"/>
        <v>1.5399762876397818</v>
      </c>
      <c r="AC177" s="118">
        <f t="shared" si="40"/>
        <v>0.14749901198499091</v>
      </c>
      <c r="AE177" s="55"/>
      <c r="AF177" s="72"/>
      <c r="AG177" s="72"/>
      <c r="AH177" s="66"/>
      <c r="AJ177" t="s">
        <v>576</v>
      </c>
    </row>
    <row r="178" spans="1:36" ht="16" hidden="1" thickBot="1" x14ac:dyDescent="0.25">
      <c r="A178" s="119" t="s">
        <v>494</v>
      </c>
      <c r="B178" s="120" t="s">
        <v>1321</v>
      </c>
      <c r="C178" s="108" t="str">
        <f t="shared" si="41"/>
        <v>/Applications/Stellarium.app/Contents/Resources/nebulae/default/n6563.png</v>
      </c>
      <c r="D178" s="121" t="s">
        <v>1610</v>
      </c>
      <c r="E178" s="109"/>
      <c r="F178" s="122">
        <v>18</v>
      </c>
      <c r="G178" s="123">
        <v>12</v>
      </c>
      <c r="H178" s="122">
        <v>-34</v>
      </c>
      <c r="I178" s="124">
        <v>5</v>
      </c>
      <c r="J178" s="112" t="s">
        <v>1035</v>
      </c>
      <c r="K178" s="125">
        <v>10.1</v>
      </c>
      <c r="L178" s="196"/>
      <c r="M178" s="110">
        <f t="shared" si="42"/>
        <v>-33.916666666666664</v>
      </c>
      <c r="N178" s="111">
        <f t="shared" si="43"/>
        <v>3.8633333333333368</v>
      </c>
      <c r="O178" s="112">
        <f t="shared" si="44"/>
        <v>18.2</v>
      </c>
      <c r="P178" s="113">
        <f t="shared" ca="1" si="45"/>
        <v>46186.259208000003</v>
      </c>
      <c r="Q178" s="114">
        <f t="shared" ca="1" si="46"/>
        <v>46201.259208000003</v>
      </c>
      <c r="R178" s="114" t="b">
        <f t="shared" ca="1" si="33"/>
        <v>1</v>
      </c>
      <c r="S178" s="115">
        <f t="shared" ca="1" si="34"/>
        <v>15</v>
      </c>
      <c r="T178" s="126">
        <f t="shared" ca="1" si="35"/>
        <v>46216.259208000003</v>
      </c>
      <c r="U178" s="127" t="str">
        <f t="shared" si="32"/>
        <v>S</v>
      </c>
      <c r="V178" s="128">
        <f t="shared" si="47"/>
        <v>3.8633333333333368</v>
      </c>
      <c r="W178" s="129">
        <f t="shared" si="36"/>
        <v>3.8633333333333368</v>
      </c>
      <c r="X178" s="197"/>
      <c r="Y178" s="115">
        <f t="shared" ca="1" si="37"/>
        <v>328</v>
      </c>
      <c r="Z178" s="118">
        <f t="shared" ca="1" si="38"/>
        <v>0.10136986301369866</v>
      </c>
      <c r="AA178" s="116"/>
      <c r="AB178" s="117">
        <f t="shared" si="39"/>
        <v>1.5565974470786121</v>
      </c>
      <c r="AC178" s="118">
        <f t="shared" si="40"/>
        <v>0.14819156029494218</v>
      </c>
      <c r="AE178" s="55"/>
      <c r="AF178" s="72"/>
      <c r="AG178" s="72"/>
      <c r="AH178" s="66"/>
      <c r="AJ178" t="s">
        <v>494</v>
      </c>
    </row>
    <row r="179" spans="1:36" ht="16" hidden="1" thickBot="1" x14ac:dyDescent="0.25">
      <c r="A179" s="119" t="s">
        <v>497</v>
      </c>
      <c r="B179" s="120" t="s">
        <v>1322</v>
      </c>
      <c r="C179" s="108" t="str">
        <f t="shared" si="41"/>
        <v>/Applications/Stellarium.app/Contents/Resources/nebulae/default/n6572.png</v>
      </c>
      <c r="D179" s="121" t="s">
        <v>1611</v>
      </c>
      <c r="E179" s="109"/>
      <c r="F179" s="122">
        <v>18</v>
      </c>
      <c r="G179" s="123">
        <v>12</v>
      </c>
      <c r="H179" s="122">
        <v>6</v>
      </c>
      <c r="I179" s="124">
        <v>50</v>
      </c>
      <c r="J179" s="112" t="s">
        <v>1036</v>
      </c>
      <c r="K179" s="125">
        <v>12.5</v>
      </c>
      <c r="L179" s="196"/>
      <c r="M179" s="110">
        <f t="shared" si="42"/>
        <v>6.833333333333333</v>
      </c>
      <c r="N179" s="111">
        <f t="shared" si="43"/>
        <v>44.613333333333337</v>
      </c>
      <c r="O179" s="112">
        <f t="shared" si="44"/>
        <v>18.2</v>
      </c>
      <c r="P179" s="113">
        <f t="shared" ca="1" si="45"/>
        <v>46186.259208000003</v>
      </c>
      <c r="Q179" s="114">
        <f t="shared" ca="1" si="46"/>
        <v>46201.259208000003</v>
      </c>
      <c r="R179" s="114" t="b">
        <f t="shared" ca="1" si="33"/>
        <v>1</v>
      </c>
      <c r="S179" s="115">
        <f t="shared" ca="1" si="34"/>
        <v>15</v>
      </c>
      <c r="T179" s="126">
        <f t="shared" ca="1" si="35"/>
        <v>46216.259208000003</v>
      </c>
      <c r="U179" s="127" t="str">
        <f t="shared" si="32"/>
        <v>S</v>
      </c>
      <c r="V179" s="128">
        <f t="shared" si="47"/>
        <v>44.613333333333337</v>
      </c>
      <c r="W179" s="129">
        <f t="shared" si="36"/>
        <v>44.613333333333337</v>
      </c>
      <c r="X179" s="197"/>
      <c r="Y179" s="115">
        <f t="shared" ca="1" si="37"/>
        <v>328</v>
      </c>
      <c r="Z179" s="118">
        <f t="shared" ca="1" si="38"/>
        <v>0.10136986301369866</v>
      </c>
      <c r="AA179" s="116"/>
      <c r="AB179" s="117">
        <f t="shared" si="39"/>
        <v>1.5565974470786121</v>
      </c>
      <c r="AC179" s="118">
        <f t="shared" si="40"/>
        <v>0.14819156029494218</v>
      </c>
      <c r="AE179" s="55"/>
      <c r="AF179" s="72"/>
      <c r="AG179" s="72"/>
      <c r="AH179" s="66"/>
      <c r="AJ179" t="s">
        <v>497</v>
      </c>
    </row>
    <row r="180" spans="1:36" ht="16" hidden="1" thickBot="1" x14ac:dyDescent="0.25">
      <c r="A180" s="119" t="s">
        <v>496</v>
      </c>
      <c r="B180" s="120" t="s">
        <v>1191</v>
      </c>
      <c r="C180" s="108" t="str">
        <f t="shared" si="41"/>
        <v>/Applications/Stellarium.app/Contents/Resources/nebulae/default/n6569.png</v>
      </c>
      <c r="D180" s="121" t="s">
        <v>1612</v>
      </c>
      <c r="E180" s="109"/>
      <c r="F180" s="122">
        <v>18</v>
      </c>
      <c r="G180" s="123">
        <v>13</v>
      </c>
      <c r="H180" s="122">
        <v>-32</v>
      </c>
      <c r="I180" s="124">
        <v>7</v>
      </c>
      <c r="J180" s="112" t="s">
        <v>829</v>
      </c>
      <c r="K180" s="125">
        <v>13</v>
      </c>
      <c r="L180" s="196"/>
      <c r="M180" s="110">
        <f t="shared" si="42"/>
        <v>-31.883333333333333</v>
      </c>
      <c r="N180" s="111">
        <f t="shared" si="43"/>
        <v>5.8966666666666683</v>
      </c>
      <c r="O180" s="112">
        <f t="shared" si="44"/>
        <v>18.216666666666665</v>
      </c>
      <c r="P180" s="113">
        <f t="shared" ca="1" si="45"/>
        <v>46186.512847999998</v>
      </c>
      <c r="Q180" s="114">
        <f t="shared" ca="1" si="46"/>
        <v>46201.512847999998</v>
      </c>
      <c r="R180" s="114" t="b">
        <f t="shared" ca="1" si="33"/>
        <v>1</v>
      </c>
      <c r="S180" s="115">
        <f t="shared" ca="1" si="34"/>
        <v>15</v>
      </c>
      <c r="T180" s="126">
        <f t="shared" ca="1" si="35"/>
        <v>46216.512847999998</v>
      </c>
      <c r="U180" s="127" t="str">
        <f t="shared" ref="U180:U243" si="48">IF(N180&lt;90,"S","N")</f>
        <v>S</v>
      </c>
      <c r="V180" s="128">
        <f t="shared" si="47"/>
        <v>5.8966666666666683</v>
      </c>
      <c r="W180" s="129">
        <f t="shared" si="36"/>
        <v>5.8966666666666683</v>
      </c>
      <c r="X180" s="197"/>
      <c r="Y180" s="115">
        <f t="shared" ca="1" si="37"/>
        <v>327</v>
      </c>
      <c r="Z180" s="118">
        <f t="shared" ca="1" si="38"/>
        <v>0.10410958904109591</v>
      </c>
      <c r="AA180" s="116"/>
      <c r="AB180" s="117">
        <f t="shared" si="39"/>
        <v>1.5732186065174425</v>
      </c>
      <c r="AC180" s="118">
        <f t="shared" si="40"/>
        <v>0.14888410860489343</v>
      </c>
      <c r="AE180" s="55"/>
      <c r="AF180" s="72"/>
      <c r="AG180" s="72"/>
      <c r="AH180" s="66"/>
      <c r="AJ180" t="s">
        <v>496</v>
      </c>
    </row>
    <row r="181" spans="1:36" ht="16" hidden="1" thickBot="1" x14ac:dyDescent="0.25">
      <c r="A181" s="119" t="s">
        <v>500</v>
      </c>
      <c r="B181" s="120" t="s">
        <v>1324</v>
      </c>
      <c r="C181" s="108" t="str">
        <f t="shared" si="41"/>
        <v>/Applications/Stellarium.app/Contents/Resources/nebulae/default/n6621.png</v>
      </c>
      <c r="D181" s="121" t="s">
        <v>1613</v>
      </c>
      <c r="E181" s="109"/>
      <c r="F181" s="122">
        <v>18</v>
      </c>
      <c r="G181" s="123">
        <v>13</v>
      </c>
      <c r="H181" s="122">
        <v>68</v>
      </c>
      <c r="I181" s="124">
        <v>18</v>
      </c>
      <c r="J181" s="112" t="s">
        <v>1038</v>
      </c>
      <c r="K181" s="125">
        <v>14.8</v>
      </c>
      <c r="L181" s="196"/>
      <c r="M181" s="110">
        <f t="shared" si="42"/>
        <v>68.3</v>
      </c>
      <c r="N181" s="111">
        <f t="shared" si="43"/>
        <v>106.08</v>
      </c>
      <c r="O181" s="112">
        <f t="shared" si="44"/>
        <v>18.216666666666665</v>
      </c>
      <c r="P181" s="113">
        <f t="shared" ca="1" si="45"/>
        <v>46186.512847999998</v>
      </c>
      <c r="Q181" s="114">
        <f t="shared" ca="1" si="46"/>
        <v>46201.512847999998</v>
      </c>
      <c r="R181" s="114" t="b">
        <f t="shared" ca="1" si="33"/>
        <v>1</v>
      </c>
      <c r="S181" s="115">
        <f t="shared" ca="1" si="34"/>
        <v>15</v>
      </c>
      <c r="T181" s="126">
        <f t="shared" ca="1" si="35"/>
        <v>46216.512847999998</v>
      </c>
      <c r="U181" s="127" t="str">
        <f t="shared" si="48"/>
        <v>N</v>
      </c>
      <c r="V181" s="128">
        <f t="shared" si="47"/>
        <v>73.92</v>
      </c>
      <c r="W181" s="129">
        <f t="shared" si="36"/>
        <v>73.92</v>
      </c>
      <c r="X181" s="197"/>
      <c r="Y181" s="115">
        <f t="shared" ca="1" si="37"/>
        <v>327</v>
      </c>
      <c r="Z181" s="118">
        <f t="shared" ca="1" si="38"/>
        <v>0.10410958904109591</v>
      </c>
      <c r="AA181" s="116"/>
      <c r="AB181" s="117">
        <f t="shared" si="39"/>
        <v>1.5732186065174425</v>
      </c>
      <c r="AC181" s="118">
        <f t="shared" si="40"/>
        <v>0.14888410860489343</v>
      </c>
      <c r="AE181" s="55"/>
      <c r="AF181" s="72"/>
      <c r="AG181" s="72"/>
      <c r="AH181" s="66"/>
      <c r="AJ181" t="s">
        <v>500</v>
      </c>
    </row>
    <row r="182" spans="1:36" ht="16" hidden="1" thickBot="1" x14ac:dyDescent="0.25">
      <c r="A182" s="119" t="s">
        <v>499</v>
      </c>
      <c r="B182" s="120" t="s">
        <v>1323</v>
      </c>
      <c r="C182" s="108" t="str">
        <f t="shared" si="41"/>
        <v>/Applications/Stellarium.app/Contents/Resources/nebulae/default/n6590.png</v>
      </c>
      <c r="D182" s="121" t="s">
        <v>1614</v>
      </c>
      <c r="E182" s="109"/>
      <c r="F182" s="122">
        <v>18</v>
      </c>
      <c r="G182" s="123">
        <v>18</v>
      </c>
      <c r="H182" s="122">
        <v>-20</v>
      </c>
      <c r="I182" s="124">
        <v>3</v>
      </c>
      <c r="J182" s="112" t="s">
        <v>730</v>
      </c>
      <c r="K182" s="125">
        <v>14.9</v>
      </c>
      <c r="L182" s="196"/>
      <c r="M182" s="110">
        <f t="shared" si="42"/>
        <v>-19.95</v>
      </c>
      <c r="N182" s="111">
        <f t="shared" si="43"/>
        <v>17.830000000000002</v>
      </c>
      <c r="O182" s="112">
        <f t="shared" si="44"/>
        <v>18.3</v>
      </c>
      <c r="P182" s="113">
        <f t="shared" ca="1" si="45"/>
        <v>46187.781047999997</v>
      </c>
      <c r="Q182" s="114">
        <f t="shared" ca="1" si="46"/>
        <v>46202.781047999997</v>
      </c>
      <c r="R182" s="114" t="b">
        <f t="shared" ca="1" si="33"/>
        <v>1</v>
      </c>
      <c r="S182" s="115">
        <f t="shared" ca="1" si="34"/>
        <v>15</v>
      </c>
      <c r="T182" s="126">
        <f t="shared" ca="1" si="35"/>
        <v>46217.781047999997</v>
      </c>
      <c r="U182" s="127" t="str">
        <f t="shared" si="48"/>
        <v>S</v>
      </c>
      <c r="V182" s="128">
        <f t="shared" si="47"/>
        <v>17.830000000000002</v>
      </c>
      <c r="W182" s="129">
        <f t="shared" si="36"/>
        <v>17.830000000000002</v>
      </c>
      <c r="X182" s="197"/>
      <c r="Y182" s="115">
        <f t="shared" ca="1" si="37"/>
        <v>326</v>
      </c>
      <c r="Z182" s="118">
        <f t="shared" ca="1" si="38"/>
        <v>0.10684931506849316</v>
      </c>
      <c r="AA182" s="116"/>
      <c r="AB182" s="117">
        <f t="shared" si="39"/>
        <v>1.6563244037116009</v>
      </c>
      <c r="AC182" s="118">
        <f t="shared" si="40"/>
        <v>0.15234685015465002</v>
      </c>
      <c r="AE182" s="55"/>
      <c r="AF182" s="72"/>
      <c r="AG182" s="72"/>
      <c r="AH182" s="66"/>
      <c r="AJ182" t="s">
        <v>499</v>
      </c>
    </row>
    <row r="183" spans="1:36" ht="16" hidden="1" thickBot="1" x14ac:dyDescent="0.25">
      <c r="A183" s="119" t="s">
        <v>498</v>
      </c>
      <c r="B183" s="120" t="s">
        <v>1191</v>
      </c>
      <c r="C183" s="108" t="str">
        <f t="shared" si="41"/>
        <v>/Applications/Stellarium.app/Contents/Resources/nebulae/default/n6584.png</v>
      </c>
      <c r="D183" s="121" t="s">
        <v>1615</v>
      </c>
      <c r="E183" s="109"/>
      <c r="F183" s="122">
        <v>18</v>
      </c>
      <c r="G183" s="123">
        <v>19</v>
      </c>
      <c r="H183" s="122">
        <v>-53</v>
      </c>
      <c r="I183" s="124">
        <v>42</v>
      </c>
      <c r="J183" s="112" t="s">
        <v>1037</v>
      </c>
      <c r="K183" s="125">
        <v>12.8</v>
      </c>
      <c r="L183" s="196"/>
      <c r="M183" s="110">
        <f t="shared" si="42"/>
        <v>-52.3</v>
      </c>
      <c r="N183" s="111">
        <f t="shared" si="43"/>
        <v>-14.519999999999996</v>
      </c>
      <c r="O183" s="112">
        <f t="shared" si="44"/>
        <v>18.316666666666666</v>
      </c>
      <c r="P183" s="113">
        <f t="shared" ca="1" si="45"/>
        <v>46188.034688</v>
      </c>
      <c r="Q183" s="114">
        <f t="shared" ca="1" si="46"/>
        <v>46203.034688</v>
      </c>
      <c r="R183" s="114" t="b">
        <f t="shared" ca="1" si="33"/>
        <v>1</v>
      </c>
      <c r="S183" s="115">
        <f t="shared" ca="1" si="34"/>
        <v>15</v>
      </c>
      <c r="T183" s="126">
        <f t="shared" ca="1" si="35"/>
        <v>46218.034688</v>
      </c>
      <c r="U183" s="127" t="str">
        <f t="shared" si="48"/>
        <v>S</v>
      </c>
      <c r="V183" s="128">
        <f t="shared" si="47"/>
        <v>-14.519999999999996</v>
      </c>
      <c r="W183" s="129">
        <f t="shared" si="36"/>
        <v>-14.519999999999996</v>
      </c>
      <c r="X183" s="197"/>
      <c r="Y183" s="115">
        <f t="shared" ca="1" si="37"/>
        <v>326</v>
      </c>
      <c r="Z183" s="118">
        <f t="shared" ca="1" si="38"/>
        <v>0.10684931506849316</v>
      </c>
      <c r="AA183" s="116"/>
      <c r="AB183" s="117">
        <f t="shared" si="39"/>
        <v>1.6729455631504313</v>
      </c>
      <c r="AC183" s="118">
        <f t="shared" si="40"/>
        <v>0.15303939846460132</v>
      </c>
      <c r="AE183" s="55"/>
      <c r="AF183" s="72"/>
      <c r="AG183" s="72"/>
      <c r="AH183" s="66"/>
      <c r="AJ183" t="s">
        <v>498</v>
      </c>
    </row>
    <row r="184" spans="1:36" ht="16" hidden="1" thickBot="1" x14ac:dyDescent="0.25">
      <c r="A184" s="119" t="s">
        <v>110</v>
      </c>
      <c r="B184" s="120" t="s">
        <v>1203</v>
      </c>
      <c r="C184" s="108" t="str">
        <f t="shared" si="41"/>
        <v>/Applications/Stellarium.app/Contents/Resources/nebulae/default/m18.png</v>
      </c>
      <c r="D184" s="121" t="s">
        <v>1616</v>
      </c>
      <c r="E184" s="109"/>
      <c r="F184" s="122">
        <v>-6</v>
      </c>
      <c r="G184" s="123">
        <v>20</v>
      </c>
      <c r="H184" s="122">
        <v>-18</v>
      </c>
      <c r="I184" s="124">
        <v>47</v>
      </c>
      <c r="J184" s="112" t="s">
        <v>732</v>
      </c>
      <c r="K184" s="125">
        <v>12.4</v>
      </c>
      <c r="L184" s="196"/>
      <c r="M184" s="110">
        <f t="shared" si="42"/>
        <v>-17.216666666666665</v>
      </c>
      <c r="N184" s="111">
        <f t="shared" si="43"/>
        <v>20.563333333333336</v>
      </c>
      <c r="O184" s="112">
        <f t="shared" si="44"/>
        <v>-5.666666666666667</v>
      </c>
      <c r="P184" s="113">
        <f t="shared" ca="1" si="45"/>
        <v>46188.288328000002</v>
      </c>
      <c r="Q184" s="114">
        <f t="shared" ca="1" si="46"/>
        <v>46203.288328000002</v>
      </c>
      <c r="R184" s="114" t="b">
        <f t="shared" ca="1" si="33"/>
        <v>1</v>
      </c>
      <c r="S184" s="115">
        <f t="shared" ca="1" si="34"/>
        <v>15</v>
      </c>
      <c r="T184" s="126">
        <f t="shared" ca="1" si="35"/>
        <v>46218.288328000002</v>
      </c>
      <c r="U184" s="127" t="str">
        <f t="shared" si="48"/>
        <v>S</v>
      </c>
      <c r="V184" s="128">
        <f t="shared" si="47"/>
        <v>20.563333333333336</v>
      </c>
      <c r="W184" s="129">
        <f t="shared" si="36"/>
        <v>20.563333333333336</v>
      </c>
      <c r="X184" s="197"/>
      <c r="Y184" s="115">
        <f t="shared" ca="1" si="37"/>
        <v>326</v>
      </c>
      <c r="Z184" s="118">
        <f t="shared" ca="1" si="38"/>
        <v>0.10684931506849316</v>
      </c>
      <c r="AA184" s="116"/>
      <c r="AB184" s="117">
        <f t="shared" si="39"/>
        <v>1.6895667225892617</v>
      </c>
      <c r="AC184" s="118">
        <f t="shared" si="40"/>
        <v>0.15373194677455257</v>
      </c>
      <c r="AE184" s="55"/>
      <c r="AF184" s="72"/>
      <c r="AG184" s="72"/>
      <c r="AH184" s="66"/>
      <c r="AJ184" t="s">
        <v>110</v>
      </c>
    </row>
    <row r="185" spans="1:36" ht="16" hidden="1" thickBot="1" x14ac:dyDescent="0.25">
      <c r="A185" s="119" t="s">
        <v>109</v>
      </c>
      <c r="B185" s="120" t="s">
        <v>1202</v>
      </c>
      <c r="C185" s="108" t="str">
        <f t="shared" si="41"/>
        <v>/Applications/Stellarium.app/Contents/Resources/nebulae/default/m17.png</v>
      </c>
      <c r="D185" s="121" t="s">
        <v>1617</v>
      </c>
      <c r="E185" s="109"/>
      <c r="F185" s="122">
        <v>18</v>
      </c>
      <c r="G185" s="123">
        <v>21</v>
      </c>
      <c r="H185" s="122">
        <v>-17</v>
      </c>
      <c r="I185" s="124">
        <v>25</v>
      </c>
      <c r="J185" s="112" t="s">
        <v>65</v>
      </c>
      <c r="K185" s="125">
        <v>13.4</v>
      </c>
      <c r="L185" s="196"/>
      <c r="M185" s="110">
        <f t="shared" si="42"/>
        <v>-16.583333333333332</v>
      </c>
      <c r="N185" s="111">
        <f t="shared" si="43"/>
        <v>21.196666666666669</v>
      </c>
      <c r="O185" s="112">
        <f t="shared" si="44"/>
        <v>18.350000000000001</v>
      </c>
      <c r="P185" s="113">
        <f t="shared" ca="1" si="45"/>
        <v>46188.541967999998</v>
      </c>
      <c r="Q185" s="114">
        <f t="shared" ca="1" si="46"/>
        <v>46203.541967999998</v>
      </c>
      <c r="R185" s="114" t="b">
        <f t="shared" ca="1" si="33"/>
        <v>1</v>
      </c>
      <c r="S185" s="115">
        <f t="shared" ca="1" si="34"/>
        <v>15</v>
      </c>
      <c r="T185" s="126">
        <f t="shared" ca="1" si="35"/>
        <v>46218.541967999998</v>
      </c>
      <c r="U185" s="127" t="str">
        <f t="shared" si="48"/>
        <v>S</v>
      </c>
      <c r="V185" s="128">
        <f t="shared" si="47"/>
        <v>21.196666666666669</v>
      </c>
      <c r="W185" s="129">
        <f t="shared" si="36"/>
        <v>21.196666666666669</v>
      </c>
      <c r="X185" s="197"/>
      <c r="Y185" s="115">
        <f t="shared" ca="1" si="37"/>
        <v>325</v>
      </c>
      <c r="Z185" s="118">
        <f t="shared" ca="1" si="38"/>
        <v>0.1095890410958904</v>
      </c>
      <c r="AA185" s="116"/>
      <c r="AB185" s="117">
        <f t="shared" si="39"/>
        <v>1.7061878820280956</v>
      </c>
      <c r="AC185" s="118">
        <f t="shared" si="40"/>
        <v>0.15442449508450398</v>
      </c>
      <c r="AE185" s="55"/>
      <c r="AF185" s="72"/>
      <c r="AG185" s="72"/>
      <c r="AH185" s="66"/>
      <c r="AJ185" t="s">
        <v>109</v>
      </c>
    </row>
    <row r="186" spans="1:36" ht="16" hidden="1" thickBot="1" x14ac:dyDescent="0.25">
      <c r="A186" s="119" t="s">
        <v>610</v>
      </c>
      <c r="B186" s="120" t="s">
        <v>1369</v>
      </c>
      <c r="C186" s="108" t="str">
        <f t="shared" si="41"/>
        <v>/Applications/Stellarium.app/Contents/Resources/nebulae/default/sh2-54.png</v>
      </c>
      <c r="D186" s="121" t="s">
        <v>1618</v>
      </c>
      <c r="E186" s="109"/>
      <c r="F186" s="122">
        <v>18</v>
      </c>
      <c r="G186" s="123">
        <v>21</v>
      </c>
      <c r="H186" s="122">
        <v>-13</v>
      </c>
      <c r="I186" s="124">
        <v>8</v>
      </c>
      <c r="J186" s="112" t="s">
        <v>1118</v>
      </c>
      <c r="K186" s="125">
        <v>14.4</v>
      </c>
      <c r="L186" s="196"/>
      <c r="M186" s="110">
        <f t="shared" si="42"/>
        <v>-12.866666666666667</v>
      </c>
      <c r="N186" s="111">
        <f t="shared" si="43"/>
        <v>24.913333333333334</v>
      </c>
      <c r="O186" s="112">
        <f t="shared" si="44"/>
        <v>18.350000000000001</v>
      </c>
      <c r="P186" s="113">
        <f t="shared" ca="1" si="45"/>
        <v>46188.541967999998</v>
      </c>
      <c r="Q186" s="114">
        <f t="shared" ca="1" si="46"/>
        <v>46203.541967999998</v>
      </c>
      <c r="R186" s="114" t="b">
        <f t="shared" ca="1" si="33"/>
        <v>1</v>
      </c>
      <c r="S186" s="115">
        <f t="shared" ca="1" si="34"/>
        <v>15</v>
      </c>
      <c r="T186" s="126">
        <f t="shared" ca="1" si="35"/>
        <v>46218.541967999998</v>
      </c>
      <c r="U186" s="127" t="str">
        <f t="shared" si="48"/>
        <v>S</v>
      </c>
      <c r="V186" s="128">
        <f t="shared" si="47"/>
        <v>24.913333333333334</v>
      </c>
      <c r="W186" s="129">
        <f t="shared" si="36"/>
        <v>24.913333333333334</v>
      </c>
      <c r="X186" s="197"/>
      <c r="Y186" s="115">
        <f t="shared" ca="1" si="37"/>
        <v>325</v>
      </c>
      <c r="Z186" s="118">
        <f t="shared" ca="1" si="38"/>
        <v>0.1095890410958904</v>
      </c>
      <c r="AA186" s="116"/>
      <c r="AB186" s="117">
        <f t="shared" si="39"/>
        <v>1.7061878820280956</v>
      </c>
      <c r="AC186" s="118">
        <f t="shared" si="40"/>
        <v>0.15442449508450398</v>
      </c>
      <c r="AE186" s="55"/>
      <c r="AF186" s="72"/>
      <c r="AG186" s="72"/>
      <c r="AH186" s="66"/>
      <c r="AJ186" t="s">
        <v>610</v>
      </c>
    </row>
    <row r="187" spans="1:36" ht="16" hidden="1" thickBot="1" x14ac:dyDescent="0.25">
      <c r="A187" s="119" t="s">
        <v>108</v>
      </c>
      <c r="B187" s="120" t="s">
        <v>1201</v>
      </c>
      <c r="C187" s="108" t="str">
        <f t="shared" si="41"/>
        <v>/Applications/Stellarium.app/Contents/Resources/nebulae/default/m16.png</v>
      </c>
      <c r="D187" s="121" t="s">
        <v>1619</v>
      </c>
      <c r="E187" s="109"/>
      <c r="F187" s="122">
        <v>18</v>
      </c>
      <c r="G187" s="123">
        <v>22</v>
      </c>
      <c r="H187" s="122">
        <v>-15</v>
      </c>
      <c r="I187" s="124">
        <v>42</v>
      </c>
      <c r="J187" s="112" t="s">
        <v>731</v>
      </c>
      <c r="K187" s="125">
        <v>13.6</v>
      </c>
      <c r="L187" s="196"/>
      <c r="M187" s="110">
        <f t="shared" si="42"/>
        <v>-14.3</v>
      </c>
      <c r="N187" s="111">
        <f t="shared" si="43"/>
        <v>23.48</v>
      </c>
      <c r="O187" s="112">
        <f t="shared" si="44"/>
        <v>18.366666666666667</v>
      </c>
      <c r="P187" s="113">
        <f t="shared" ca="1" si="45"/>
        <v>46188.795608</v>
      </c>
      <c r="Q187" s="114">
        <f t="shared" ca="1" si="46"/>
        <v>46203.795608</v>
      </c>
      <c r="R187" s="114" t="b">
        <f t="shared" ca="1" si="33"/>
        <v>1</v>
      </c>
      <c r="S187" s="115">
        <f t="shared" ca="1" si="34"/>
        <v>15</v>
      </c>
      <c r="T187" s="126">
        <f t="shared" ca="1" si="35"/>
        <v>46218.795608</v>
      </c>
      <c r="U187" s="127" t="str">
        <f t="shared" si="48"/>
        <v>S</v>
      </c>
      <c r="V187" s="128">
        <f t="shared" si="47"/>
        <v>23.48</v>
      </c>
      <c r="W187" s="129">
        <f t="shared" si="36"/>
        <v>23.48</v>
      </c>
      <c r="X187" s="197"/>
      <c r="Y187" s="115">
        <f t="shared" ca="1" si="37"/>
        <v>325</v>
      </c>
      <c r="Z187" s="118">
        <f t="shared" ca="1" si="38"/>
        <v>0.1095890410958904</v>
      </c>
      <c r="AA187" s="116"/>
      <c r="AB187" s="117">
        <f t="shared" si="39"/>
        <v>1.7228090414669257</v>
      </c>
      <c r="AC187" s="118">
        <f t="shared" si="40"/>
        <v>0.15511704339445523</v>
      </c>
      <c r="AE187" s="55"/>
      <c r="AF187" s="72"/>
      <c r="AG187" s="72"/>
      <c r="AH187" s="66"/>
      <c r="AJ187" t="s">
        <v>108</v>
      </c>
    </row>
    <row r="188" spans="1:36" ht="16" hidden="1" thickBot="1" x14ac:dyDescent="0.25">
      <c r="A188" s="119" t="s">
        <v>116</v>
      </c>
      <c r="B188" s="120" t="s">
        <v>1208</v>
      </c>
      <c r="C188" s="108" t="str">
        <f t="shared" si="41"/>
        <v>/Applications/Stellarium.app/Contents/Resources/nebulae/default/m24-vasey.png</v>
      </c>
      <c r="D188" s="121" t="s">
        <v>1620</v>
      </c>
      <c r="E188" s="109"/>
      <c r="F188" s="122">
        <v>18</v>
      </c>
      <c r="G188" s="123">
        <v>23</v>
      </c>
      <c r="H188" s="122">
        <v>-21</v>
      </c>
      <c r="I188" s="124">
        <v>8</v>
      </c>
      <c r="J188" s="112" t="s">
        <v>735</v>
      </c>
      <c r="K188" s="125">
        <v>13.4</v>
      </c>
      <c r="L188" s="196"/>
      <c r="M188" s="110">
        <f t="shared" si="42"/>
        <v>-20.866666666666667</v>
      </c>
      <c r="N188" s="111">
        <f t="shared" si="43"/>
        <v>16.913333333333334</v>
      </c>
      <c r="O188" s="112">
        <f t="shared" si="44"/>
        <v>18.383333333333333</v>
      </c>
      <c r="P188" s="113">
        <f t="shared" ca="1" si="45"/>
        <v>46189.049248000003</v>
      </c>
      <c r="Q188" s="114">
        <f t="shared" ca="1" si="46"/>
        <v>46204.049248000003</v>
      </c>
      <c r="R188" s="114" t="b">
        <f t="shared" ca="1" si="33"/>
        <v>1</v>
      </c>
      <c r="S188" s="115">
        <f t="shared" ca="1" si="34"/>
        <v>15</v>
      </c>
      <c r="T188" s="126">
        <f t="shared" ca="1" si="35"/>
        <v>46219.049248000003</v>
      </c>
      <c r="U188" s="127" t="str">
        <f t="shared" si="48"/>
        <v>S</v>
      </c>
      <c r="V188" s="128">
        <f t="shared" si="47"/>
        <v>16.913333333333334</v>
      </c>
      <c r="W188" s="129">
        <f t="shared" si="36"/>
        <v>16.913333333333334</v>
      </c>
      <c r="X188" s="197"/>
      <c r="Y188" s="115">
        <f t="shared" ca="1" si="37"/>
        <v>325</v>
      </c>
      <c r="Z188" s="118">
        <f t="shared" ca="1" si="38"/>
        <v>0.1095890410958904</v>
      </c>
      <c r="AA188" s="116"/>
      <c r="AB188" s="117">
        <f t="shared" si="39"/>
        <v>1.7394302009057561</v>
      </c>
      <c r="AC188" s="118">
        <f t="shared" si="40"/>
        <v>0.1558095917044065</v>
      </c>
      <c r="AE188" s="55"/>
      <c r="AF188" s="72"/>
      <c r="AG188" s="72"/>
      <c r="AH188" s="66"/>
      <c r="AJ188" t="s">
        <v>116</v>
      </c>
    </row>
    <row r="189" spans="1:36" ht="16" hidden="1" thickBot="1" x14ac:dyDescent="0.25">
      <c r="A189" s="119" t="s">
        <v>501</v>
      </c>
      <c r="B189" s="120" t="s">
        <v>1191</v>
      </c>
      <c r="C189" s="108" t="str">
        <f t="shared" si="41"/>
        <v>/Applications/Stellarium.app/Contents/Resources/nebulae/default/n6624-dss.png</v>
      </c>
      <c r="D189" s="121" t="s">
        <v>1621</v>
      </c>
      <c r="E189" s="109"/>
      <c r="F189" s="122">
        <v>18</v>
      </c>
      <c r="G189" s="123">
        <v>23</v>
      </c>
      <c r="H189" s="122">
        <v>-31</v>
      </c>
      <c r="I189" s="124">
        <v>34</v>
      </c>
      <c r="J189" s="112" t="s">
        <v>1039</v>
      </c>
      <c r="K189" s="125">
        <v>13.9</v>
      </c>
      <c r="L189" s="196"/>
      <c r="M189" s="110">
        <f t="shared" si="42"/>
        <v>-30.433333333333334</v>
      </c>
      <c r="N189" s="111">
        <f t="shared" si="43"/>
        <v>7.3466666666666676</v>
      </c>
      <c r="O189" s="112">
        <f t="shared" si="44"/>
        <v>18.383333333333333</v>
      </c>
      <c r="P189" s="113">
        <f t="shared" ca="1" si="45"/>
        <v>46189.049248000003</v>
      </c>
      <c r="Q189" s="114">
        <f t="shared" ca="1" si="46"/>
        <v>46204.049248000003</v>
      </c>
      <c r="R189" s="114" t="b">
        <f t="shared" ca="1" si="33"/>
        <v>1</v>
      </c>
      <c r="S189" s="115">
        <f t="shared" ca="1" si="34"/>
        <v>15</v>
      </c>
      <c r="T189" s="126">
        <f t="shared" ca="1" si="35"/>
        <v>46219.049248000003</v>
      </c>
      <c r="U189" s="127" t="str">
        <f t="shared" si="48"/>
        <v>S</v>
      </c>
      <c r="V189" s="128">
        <f t="shared" si="47"/>
        <v>7.3466666666666676</v>
      </c>
      <c r="W189" s="129">
        <f t="shared" si="36"/>
        <v>7.3466666666666676</v>
      </c>
      <c r="X189" s="197"/>
      <c r="Y189" s="115">
        <f t="shared" ca="1" si="37"/>
        <v>325</v>
      </c>
      <c r="Z189" s="118">
        <f t="shared" ca="1" si="38"/>
        <v>0.1095890410958904</v>
      </c>
      <c r="AA189" s="116"/>
      <c r="AB189" s="117">
        <f t="shared" si="39"/>
        <v>1.7394302009057561</v>
      </c>
      <c r="AC189" s="118">
        <f t="shared" si="40"/>
        <v>0.1558095917044065</v>
      </c>
      <c r="AE189" s="55"/>
      <c r="AF189" s="72"/>
      <c r="AG189" s="72"/>
      <c r="AH189" s="66"/>
      <c r="AJ189" t="s">
        <v>501</v>
      </c>
    </row>
    <row r="190" spans="1:36" ht="16" hidden="1" thickBot="1" x14ac:dyDescent="0.25">
      <c r="A190" s="119" t="s">
        <v>120</v>
      </c>
      <c r="B190" s="120" t="s">
        <v>1191</v>
      </c>
      <c r="C190" s="108" t="str">
        <f t="shared" si="41"/>
        <v>/Applications/Stellarium.app/Contents/Resources/nebulae/default/m28.png</v>
      </c>
      <c r="D190" s="121" t="s">
        <v>1622</v>
      </c>
      <c r="E190" s="109"/>
      <c r="F190" s="122">
        <v>18</v>
      </c>
      <c r="G190" s="123">
        <v>24</v>
      </c>
      <c r="H190" s="122">
        <v>-25</v>
      </c>
      <c r="I190" s="124">
        <v>4</v>
      </c>
      <c r="J190" s="112" t="s">
        <v>730</v>
      </c>
      <c r="K190" s="125">
        <v>13.8</v>
      </c>
      <c r="L190" s="196"/>
      <c r="M190" s="110">
        <f t="shared" si="42"/>
        <v>-24.933333333333334</v>
      </c>
      <c r="N190" s="111">
        <f t="shared" si="43"/>
        <v>12.846666666666668</v>
      </c>
      <c r="O190" s="112">
        <f t="shared" si="44"/>
        <v>18.399999999999999</v>
      </c>
      <c r="P190" s="113">
        <f t="shared" ca="1" si="45"/>
        <v>46189.302887999998</v>
      </c>
      <c r="Q190" s="114">
        <f t="shared" ca="1" si="46"/>
        <v>46204.302887999998</v>
      </c>
      <c r="R190" s="114" t="b">
        <f t="shared" ca="1" si="33"/>
        <v>1</v>
      </c>
      <c r="S190" s="115">
        <f t="shared" ca="1" si="34"/>
        <v>15</v>
      </c>
      <c r="T190" s="126">
        <f t="shared" ca="1" si="35"/>
        <v>46219.302887999998</v>
      </c>
      <c r="U190" s="127" t="str">
        <f t="shared" si="48"/>
        <v>S</v>
      </c>
      <c r="V190" s="128">
        <f t="shared" si="47"/>
        <v>12.846666666666668</v>
      </c>
      <c r="W190" s="129">
        <f t="shared" si="36"/>
        <v>12.846666666666668</v>
      </c>
      <c r="X190" s="197"/>
      <c r="Y190" s="115">
        <f t="shared" ca="1" si="37"/>
        <v>325</v>
      </c>
      <c r="Z190" s="118">
        <f t="shared" ca="1" si="38"/>
        <v>0.1095890410958904</v>
      </c>
      <c r="AA190" s="116"/>
      <c r="AB190" s="117">
        <f t="shared" si="39"/>
        <v>1.7560513603445864</v>
      </c>
      <c r="AC190" s="118">
        <f t="shared" si="40"/>
        <v>0.15650214001435778</v>
      </c>
      <c r="AE190" s="55"/>
      <c r="AF190" s="72"/>
      <c r="AG190" s="72"/>
      <c r="AH190" s="66"/>
      <c r="AJ190" t="s">
        <v>120</v>
      </c>
    </row>
    <row r="191" spans="1:36" ht="16" hidden="1" thickBot="1" x14ac:dyDescent="0.25">
      <c r="A191" s="119" t="s">
        <v>502</v>
      </c>
      <c r="B191" s="120" t="s">
        <v>1207</v>
      </c>
      <c r="C191" s="108" t="str">
        <f t="shared" si="41"/>
        <v>/Applications/Stellarium.app/Contents/Resources/nebulae/default/n6633.png</v>
      </c>
      <c r="D191" s="121" t="s">
        <v>1623</v>
      </c>
      <c r="E191" s="109"/>
      <c r="F191" s="122">
        <v>18</v>
      </c>
      <c r="G191" s="123">
        <v>30</v>
      </c>
      <c r="H191" s="122">
        <v>6</v>
      </c>
      <c r="I191" s="124">
        <v>4</v>
      </c>
      <c r="J191" s="112" t="s">
        <v>1040</v>
      </c>
      <c r="K191" s="125">
        <v>13.4</v>
      </c>
      <c r="L191" s="196"/>
      <c r="M191" s="110">
        <f t="shared" si="42"/>
        <v>6.0666666666666664</v>
      </c>
      <c r="N191" s="111">
        <f t="shared" si="43"/>
        <v>43.846666666666664</v>
      </c>
      <c r="O191" s="112">
        <f t="shared" si="44"/>
        <v>18.5</v>
      </c>
      <c r="P191" s="113">
        <f t="shared" ca="1" si="45"/>
        <v>46190.824728</v>
      </c>
      <c r="Q191" s="114">
        <f t="shared" ca="1" si="46"/>
        <v>46205.824728</v>
      </c>
      <c r="R191" s="114" t="b">
        <f t="shared" ca="1" si="33"/>
        <v>1</v>
      </c>
      <c r="S191" s="115">
        <f t="shared" ca="1" si="34"/>
        <v>15</v>
      </c>
      <c r="T191" s="126">
        <f t="shared" ca="1" si="35"/>
        <v>46220.824728</v>
      </c>
      <c r="U191" s="127" t="str">
        <f t="shared" si="48"/>
        <v>S</v>
      </c>
      <c r="V191" s="128">
        <f t="shared" si="47"/>
        <v>43.846666666666664</v>
      </c>
      <c r="W191" s="129">
        <f t="shared" si="36"/>
        <v>43.846666666666664</v>
      </c>
      <c r="X191" s="197"/>
      <c r="Y191" s="115">
        <f t="shared" ca="1" si="37"/>
        <v>323</v>
      </c>
      <c r="Z191" s="118">
        <f t="shared" ca="1" si="38"/>
        <v>0.1150684931506849</v>
      </c>
      <c r="AA191" s="116"/>
      <c r="AB191" s="117">
        <f t="shared" si="39"/>
        <v>1.8557783169775752</v>
      </c>
      <c r="AC191" s="118">
        <f t="shared" si="40"/>
        <v>0.16065742987406564</v>
      </c>
      <c r="AE191" s="55"/>
      <c r="AF191" s="72"/>
      <c r="AG191" s="72"/>
      <c r="AH191" s="66"/>
      <c r="AJ191" t="s">
        <v>502</v>
      </c>
    </row>
    <row r="192" spans="1:36" ht="16" hidden="1" thickBot="1" x14ac:dyDescent="0.25">
      <c r="A192" s="119" t="s">
        <v>158</v>
      </c>
      <c r="B192" s="120" t="s">
        <v>1191</v>
      </c>
      <c r="C192" s="108" t="str">
        <f t="shared" si="41"/>
        <v>/Applications/Stellarium.app/Contents/Resources/nebulae/default/m69.png</v>
      </c>
      <c r="D192" s="121" t="s">
        <v>1624</v>
      </c>
      <c r="E192" s="109"/>
      <c r="F192" s="122">
        <v>18</v>
      </c>
      <c r="G192" s="123">
        <v>31</v>
      </c>
      <c r="H192" s="122">
        <v>-33</v>
      </c>
      <c r="I192" s="124">
        <v>33</v>
      </c>
      <c r="J192" s="112" t="s">
        <v>759</v>
      </c>
      <c r="K192" s="125">
        <v>13.8</v>
      </c>
      <c r="L192" s="196"/>
      <c r="M192" s="110">
        <f t="shared" si="42"/>
        <v>-32.450000000000003</v>
      </c>
      <c r="N192" s="111">
        <f t="shared" si="43"/>
        <v>5.3299999999999983</v>
      </c>
      <c r="O192" s="112">
        <f t="shared" si="44"/>
        <v>18.516666666666666</v>
      </c>
      <c r="P192" s="113">
        <f t="shared" ca="1" si="45"/>
        <v>46191.078368000002</v>
      </c>
      <c r="Q192" s="114">
        <f t="shared" ca="1" si="46"/>
        <v>46206.078368000002</v>
      </c>
      <c r="R192" s="114" t="b">
        <f t="shared" ca="1" si="33"/>
        <v>1</v>
      </c>
      <c r="S192" s="115">
        <f t="shared" ca="1" si="34"/>
        <v>15</v>
      </c>
      <c r="T192" s="126">
        <f t="shared" ca="1" si="35"/>
        <v>46221.078368000002</v>
      </c>
      <c r="U192" s="127" t="str">
        <f t="shared" si="48"/>
        <v>S</v>
      </c>
      <c r="V192" s="128">
        <f t="shared" si="47"/>
        <v>5.3299999999999983</v>
      </c>
      <c r="W192" s="129">
        <f t="shared" si="36"/>
        <v>5.3299999999999983</v>
      </c>
      <c r="X192" s="197"/>
      <c r="Y192" s="115">
        <f t="shared" ca="1" si="37"/>
        <v>323</v>
      </c>
      <c r="Z192" s="118">
        <f t="shared" ca="1" si="38"/>
        <v>0.1150684931506849</v>
      </c>
      <c r="AA192" s="116"/>
      <c r="AB192" s="117">
        <f t="shared" si="39"/>
        <v>1.8723994764164056</v>
      </c>
      <c r="AC192" s="118">
        <f t="shared" si="40"/>
        <v>0.16134997818401689</v>
      </c>
      <c r="AE192" s="55"/>
      <c r="AF192" s="72"/>
      <c r="AG192" s="72"/>
      <c r="AH192" s="66"/>
      <c r="AJ192" t="s">
        <v>158</v>
      </c>
    </row>
    <row r="193" spans="1:36" ht="16" hidden="1" thickBot="1" x14ac:dyDescent="0.25">
      <c r="A193" s="119" t="s">
        <v>503</v>
      </c>
      <c r="B193" s="120" t="s">
        <v>1191</v>
      </c>
      <c r="C193" s="108" t="str">
        <f t="shared" si="41"/>
        <v>/Applications/Stellarium.app/Contents/Resources/nebulae/default/n6638.png</v>
      </c>
      <c r="D193" s="121" t="s">
        <v>1625</v>
      </c>
      <c r="E193" s="109"/>
      <c r="F193" s="122">
        <v>18</v>
      </c>
      <c r="G193" s="123">
        <v>31</v>
      </c>
      <c r="H193" s="122">
        <v>-26</v>
      </c>
      <c r="I193" s="124">
        <v>28</v>
      </c>
      <c r="J193" s="112" t="s">
        <v>1041</v>
      </c>
      <c r="K193" s="125">
        <v>13.4</v>
      </c>
      <c r="L193" s="196"/>
      <c r="M193" s="110">
        <f t="shared" si="42"/>
        <v>-25.533333333333335</v>
      </c>
      <c r="N193" s="111">
        <f t="shared" si="43"/>
        <v>12.246666666666666</v>
      </c>
      <c r="O193" s="112">
        <f t="shared" si="44"/>
        <v>18.516666666666666</v>
      </c>
      <c r="P193" s="113">
        <f t="shared" ca="1" si="45"/>
        <v>46191.078368000002</v>
      </c>
      <c r="Q193" s="114">
        <f t="shared" ca="1" si="46"/>
        <v>46206.078368000002</v>
      </c>
      <c r="R193" s="114" t="b">
        <f t="shared" ca="1" si="33"/>
        <v>1</v>
      </c>
      <c r="S193" s="115">
        <f t="shared" ca="1" si="34"/>
        <v>15</v>
      </c>
      <c r="T193" s="126">
        <f t="shared" ca="1" si="35"/>
        <v>46221.078368000002</v>
      </c>
      <c r="U193" s="127" t="str">
        <f t="shared" si="48"/>
        <v>S</v>
      </c>
      <c r="V193" s="128">
        <f t="shared" si="47"/>
        <v>12.246666666666666</v>
      </c>
      <c r="W193" s="129">
        <f t="shared" si="36"/>
        <v>12.246666666666666</v>
      </c>
      <c r="X193" s="197"/>
      <c r="Y193" s="115">
        <f t="shared" ca="1" si="37"/>
        <v>323</v>
      </c>
      <c r="Z193" s="118">
        <f t="shared" ca="1" si="38"/>
        <v>0.1150684931506849</v>
      </c>
      <c r="AA193" s="116"/>
      <c r="AB193" s="117">
        <f t="shared" si="39"/>
        <v>1.8723994764164056</v>
      </c>
      <c r="AC193" s="118">
        <f t="shared" si="40"/>
        <v>0.16134997818401689</v>
      </c>
      <c r="AE193" s="55"/>
      <c r="AF193" s="72"/>
      <c r="AG193" s="72"/>
      <c r="AH193" s="66"/>
      <c r="AJ193" t="s">
        <v>503</v>
      </c>
    </row>
    <row r="194" spans="1:36" ht="16" hidden="1" thickBot="1" x14ac:dyDescent="0.25">
      <c r="A194" s="119" t="s">
        <v>504</v>
      </c>
      <c r="B194" s="120" t="s">
        <v>1191</v>
      </c>
      <c r="C194" s="108" t="str">
        <f t="shared" si="41"/>
        <v>/Applications/Stellarium.app/Contents/Resources/nebulae/default/n6642.png</v>
      </c>
      <c r="D194" s="121" t="s">
        <v>1626</v>
      </c>
      <c r="E194" s="109"/>
      <c r="F194" s="122">
        <v>18</v>
      </c>
      <c r="G194" s="123">
        <v>31</v>
      </c>
      <c r="H194" s="122">
        <v>-24</v>
      </c>
      <c r="I194" s="124">
        <v>30</v>
      </c>
      <c r="J194" s="112" t="s">
        <v>1042</v>
      </c>
      <c r="K194" s="125">
        <v>13.4</v>
      </c>
      <c r="L194" s="196"/>
      <c r="M194" s="110">
        <f t="shared" si="42"/>
        <v>-23.5</v>
      </c>
      <c r="N194" s="111">
        <f t="shared" si="43"/>
        <v>14.280000000000001</v>
      </c>
      <c r="O194" s="112">
        <f t="shared" si="44"/>
        <v>18.516666666666666</v>
      </c>
      <c r="P194" s="113">
        <f t="shared" ca="1" si="45"/>
        <v>46191.078368000002</v>
      </c>
      <c r="Q194" s="114">
        <f t="shared" ca="1" si="46"/>
        <v>46206.078368000002</v>
      </c>
      <c r="R194" s="114" t="b">
        <f t="shared" ca="1" si="33"/>
        <v>1</v>
      </c>
      <c r="S194" s="115">
        <f t="shared" ca="1" si="34"/>
        <v>15</v>
      </c>
      <c r="T194" s="126">
        <f t="shared" ca="1" si="35"/>
        <v>46221.078368000002</v>
      </c>
      <c r="U194" s="127" t="str">
        <f t="shared" si="48"/>
        <v>S</v>
      </c>
      <c r="V194" s="128">
        <f t="shared" si="47"/>
        <v>14.280000000000001</v>
      </c>
      <c r="W194" s="129">
        <f t="shared" si="36"/>
        <v>14.280000000000001</v>
      </c>
      <c r="X194" s="197"/>
      <c r="Y194" s="115">
        <f t="shared" ca="1" si="37"/>
        <v>323</v>
      </c>
      <c r="Z194" s="118">
        <f t="shared" ca="1" si="38"/>
        <v>0.1150684931506849</v>
      </c>
      <c r="AA194" s="116"/>
      <c r="AB194" s="117">
        <f t="shared" si="39"/>
        <v>1.8723994764164056</v>
      </c>
      <c r="AC194" s="118">
        <f t="shared" si="40"/>
        <v>0.16134997818401689</v>
      </c>
      <c r="AE194" s="55"/>
      <c r="AF194" s="72"/>
      <c r="AG194" s="72"/>
      <c r="AH194" s="66"/>
      <c r="AJ194" t="s">
        <v>504</v>
      </c>
    </row>
    <row r="195" spans="1:36" ht="16" hidden="1" thickBot="1" x14ac:dyDescent="0.25">
      <c r="A195" s="119" t="s">
        <v>117</v>
      </c>
      <c r="B195" s="120" t="s">
        <v>1207</v>
      </c>
      <c r="C195" s="108" t="str">
        <f t="shared" si="41"/>
        <v>/Applications/Stellarium.app/Contents/Resources/nebulae/default/m25.png</v>
      </c>
      <c r="D195" s="121" t="s">
        <v>1627</v>
      </c>
      <c r="E195" s="109"/>
      <c r="F195" s="122">
        <v>-6</v>
      </c>
      <c r="G195" s="123">
        <v>32</v>
      </c>
      <c r="H195" s="122">
        <v>-20</v>
      </c>
      <c r="I195" s="124">
        <v>41</v>
      </c>
      <c r="J195" s="112" t="s">
        <v>736</v>
      </c>
      <c r="K195" s="125">
        <v>13.4</v>
      </c>
      <c r="L195" s="196"/>
      <c r="M195" s="110">
        <f t="shared" si="42"/>
        <v>-19.316666666666666</v>
      </c>
      <c r="N195" s="111">
        <f t="shared" si="43"/>
        <v>18.463333333333335</v>
      </c>
      <c r="O195" s="112">
        <f t="shared" si="44"/>
        <v>-5.4666666666666668</v>
      </c>
      <c r="P195" s="113">
        <f t="shared" ca="1" si="45"/>
        <v>46191.332007999998</v>
      </c>
      <c r="Q195" s="114">
        <f t="shared" ca="1" si="46"/>
        <v>46206.332007999998</v>
      </c>
      <c r="R195" s="114" t="b">
        <f t="shared" ca="1" si="33"/>
        <v>1</v>
      </c>
      <c r="S195" s="115">
        <f t="shared" ca="1" si="34"/>
        <v>15</v>
      </c>
      <c r="T195" s="126">
        <f t="shared" ca="1" si="35"/>
        <v>46221.332007999998</v>
      </c>
      <c r="U195" s="127" t="str">
        <f t="shared" si="48"/>
        <v>S</v>
      </c>
      <c r="V195" s="128">
        <f t="shared" si="47"/>
        <v>18.463333333333335</v>
      </c>
      <c r="W195" s="129">
        <f t="shared" si="36"/>
        <v>18.463333333333335</v>
      </c>
      <c r="X195" s="197"/>
      <c r="Y195" s="115">
        <f t="shared" ca="1" si="37"/>
        <v>323</v>
      </c>
      <c r="Z195" s="118">
        <f t="shared" ca="1" si="38"/>
        <v>0.1150684931506849</v>
      </c>
      <c r="AA195" s="116"/>
      <c r="AB195" s="117">
        <f t="shared" si="39"/>
        <v>1.8890206358552359</v>
      </c>
      <c r="AC195" s="118">
        <f t="shared" si="40"/>
        <v>0.16204252649396816</v>
      </c>
      <c r="AE195" s="55"/>
      <c r="AF195" s="72"/>
      <c r="AG195" s="72"/>
      <c r="AH195" s="66"/>
      <c r="AJ195" t="s">
        <v>117</v>
      </c>
    </row>
    <row r="196" spans="1:36" ht="16" hidden="1" thickBot="1" x14ac:dyDescent="0.25">
      <c r="A196" s="119" t="s">
        <v>577</v>
      </c>
      <c r="B196" s="120" t="s">
        <v>1363</v>
      </c>
      <c r="C196" s="108" t="str">
        <f t="shared" si="41"/>
        <v>/Applications/Stellarium.app/Contents/Resources/nebulae/default/ic1287.png</v>
      </c>
      <c r="D196" s="121" t="s">
        <v>1628</v>
      </c>
      <c r="E196" s="109"/>
      <c r="F196" s="122">
        <v>18</v>
      </c>
      <c r="G196" s="123">
        <v>32</v>
      </c>
      <c r="H196" s="122">
        <v>-12</v>
      </c>
      <c r="I196" s="124">
        <v>50</v>
      </c>
      <c r="J196" s="112" t="s">
        <v>1096</v>
      </c>
      <c r="K196" s="125">
        <v>14.2</v>
      </c>
      <c r="L196" s="196"/>
      <c r="M196" s="110">
        <f t="shared" si="42"/>
        <v>-11.166666666666666</v>
      </c>
      <c r="N196" s="111">
        <f t="shared" si="43"/>
        <v>26.613333333333337</v>
      </c>
      <c r="O196" s="112">
        <f t="shared" si="44"/>
        <v>18.533333333333335</v>
      </c>
      <c r="P196" s="113">
        <f t="shared" ca="1" si="45"/>
        <v>46191.332007999998</v>
      </c>
      <c r="Q196" s="114">
        <f t="shared" ca="1" si="46"/>
        <v>46206.332007999998</v>
      </c>
      <c r="R196" s="114" t="b">
        <f t="shared" ca="1" si="33"/>
        <v>1</v>
      </c>
      <c r="S196" s="115">
        <f t="shared" ca="1" si="34"/>
        <v>15</v>
      </c>
      <c r="T196" s="126">
        <f t="shared" ca="1" si="35"/>
        <v>46221.332007999998</v>
      </c>
      <c r="U196" s="127" t="str">
        <f t="shared" si="48"/>
        <v>S</v>
      </c>
      <c r="V196" s="128">
        <f t="shared" si="47"/>
        <v>26.613333333333337</v>
      </c>
      <c r="W196" s="129">
        <f t="shared" si="36"/>
        <v>26.613333333333337</v>
      </c>
      <c r="X196" s="197"/>
      <c r="Y196" s="115">
        <f t="shared" ca="1" si="37"/>
        <v>323</v>
      </c>
      <c r="Z196" s="118">
        <f t="shared" ca="1" si="38"/>
        <v>0.1150684931506849</v>
      </c>
      <c r="AA196" s="116"/>
      <c r="AB196" s="117">
        <f t="shared" si="39"/>
        <v>1.8890206358552395</v>
      </c>
      <c r="AC196" s="118">
        <f t="shared" si="40"/>
        <v>0.1620425264939683</v>
      </c>
      <c r="AE196" s="55"/>
      <c r="AF196" s="72"/>
      <c r="AG196" s="72"/>
      <c r="AH196" s="66"/>
      <c r="AJ196" t="s">
        <v>577</v>
      </c>
    </row>
    <row r="197" spans="1:36" ht="16" hidden="1" thickBot="1" x14ac:dyDescent="0.25">
      <c r="A197" s="119" t="s">
        <v>692</v>
      </c>
      <c r="B197" s="120" t="s">
        <v>1276</v>
      </c>
      <c r="C197" s="108" t="str">
        <f t="shared" si="41"/>
        <v>/Applications/Stellarium.app/Contents/Resources/nebulae/default/vdb123.png</v>
      </c>
      <c r="D197" s="121" t="s">
        <v>1629</v>
      </c>
      <c r="E197" s="109"/>
      <c r="F197" s="122">
        <v>18</v>
      </c>
      <c r="G197" s="123">
        <v>32</v>
      </c>
      <c r="H197" s="122">
        <v>-1</v>
      </c>
      <c r="I197" s="124">
        <v>58</v>
      </c>
      <c r="J197" s="112" t="s">
        <v>1169</v>
      </c>
      <c r="K197" s="125">
        <v>14.1</v>
      </c>
      <c r="L197" s="196"/>
      <c r="M197" s="110">
        <f t="shared" si="42"/>
        <v>-3.3333333333333326E-2</v>
      </c>
      <c r="N197" s="111">
        <f t="shared" si="43"/>
        <v>37.74666666666667</v>
      </c>
      <c r="O197" s="112">
        <f t="shared" si="44"/>
        <v>18.533333333333335</v>
      </c>
      <c r="P197" s="113">
        <f t="shared" ca="1" si="45"/>
        <v>46191.332007999998</v>
      </c>
      <c r="Q197" s="114">
        <f t="shared" ca="1" si="46"/>
        <v>46206.332007999998</v>
      </c>
      <c r="R197" s="114" t="b">
        <f t="shared" ca="1" si="33"/>
        <v>1</v>
      </c>
      <c r="S197" s="115">
        <f t="shared" ca="1" si="34"/>
        <v>15</v>
      </c>
      <c r="T197" s="126">
        <f t="shared" ca="1" si="35"/>
        <v>46221.332007999998</v>
      </c>
      <c r="U197" s="127" t="str">
        <f t="shared" si="48"/>
        <v>S</v>
      </c>
      <c r="V197" s="128">
        <f t="shared" si="47"/>
        <v>37.74666666666667</v>
      </c>
      <c r="W197" s="129">
        <f t="shared" si="36"/>
        <v>37.74666666666667</v>
      </c>
      <c r="X197" s="197"/>
      <c r="Y197" s="115">
        <f t="shared" ca="1" si="37"/>
        <v>323</v>
      </c>
      <c r="Z197" s="118">
        <f t="shared" ca="1" si="38"/>
        <v>0.1150684931506849</v>
      </c>
      <c r="AA197" s="116"/>
      <c r="AB197" s="117">
        <f t="shared" si="39"/>
        <v>1.8890206358552395</v>
      </c>
      <c r="AC197" s="118">
        <f t="shared" si="40"/>
        <v>0.1620425264939683</v>
      </c>
      <c r="AE197" s="55"/>
      <c r="AF197" s="72"/>
      <c r="AG197" s="72"/>
      <c r="AH197" s="66"/>
      <c r="AJ197" t="s">
        <v>692</v>
      </c>
    </row>
    <row r="198" spans="1:36" ht="16" hidden="1" thickBot="1" x14ac:dyDescent="0.25">
      <c r="A198" s="119" t="s">
        <v>505</v>
      </c>
      <c r="B198" s="120" t="s">
        <v>1207</v>
      </c>
      <c r="C198" s="108" t="str">
        <f t="shared" si="41"/>
        <v>/Applications/Stellarium.app/Contents/Resources/nebulae/default/n6652.png</v>
      </c>
      <c r="D198" s="121" t="s">
        <v>1630</v>
      </c>
      <c r="E198" s="109"/>
      <c r="F198" s="122">
        <v>18</v>
      </c>
      <c r="G198" s="123">
        <v>36</v>
      </c>
      <c r="H198" s="122">
        <v>-34</v>
      </c>
      <c r="I198" s="124">
        <v>57</v>
      </c>
      <c r="J198" s="112" t="s">
        <v>852</v>
      </c>
      <c r="K198" s="125">
        <v>13</v>
      </c>
      <c r="L198" s="196"/>
      <c r="M198" s="110">
        <f t="shared" si="42"/>
        <v>-33.049999999999997</v>
      </c>
      <c r="N198" s="111">
        <f t="shared" si="43"/>
        <v>4.730000000000004</v>
      </c>
      <c r="O198" s="112">
        <f t="shared" si="44"/>
        <v>18.600000000000001</v>
      </c>
      <c r="P198" s="113">
        <f t="shared" ca="1" si="45"/>
        <v>46192.346568000001</v>
      </c>
      <c r="Q198" s="114">
        <f t="shared" ca="1" si="46"/>
        <v>46207.346568000001</v>
      </c>
      <c r="R198" s="114" t="b">
        <f t="shared" ca="1" si="33"/>
        <v>1</v>
      </c>
      <c r="S198" s="115">
        <f t="shared" ca="1" si="34"/>
        <v>15</v>
      </c>
      <c r="T198" s="126">
        <f t="shared" ca="1" si="35"/>
        <v>46222.346568000001</v>
      </c>
      <c r="U198" s="127" t="str">
        <f t="shared" si="48"/>
        <v>S</v>
      </c>
      <c r="V198" s="128">
        <f t="shared" si="47"/>
        <v>4.730000000000004</v>
      </c>
      <c r="W198" s="129">
        <f t="shared" si="36"/>
        <v>4.730000000000004</v>
      </c>
      <c r="X198" s="197"/>
      <c r="Y198" s="115">
        <f t="shared" ca="1" si="37"/>
        <v>322</v>
      </c>
      <c r="Z198" s="118">
        <f t="shared" ca="1" si="38"/>
        <v>0.11780821917808215</v>
      </c>
      <c r="AA198" s="116"/>
      <c r="AB198" s="117">
        <f t="shared" si="39"/>
        <v>1.9555052736105643</v>
      </c>
      <c r="AC198" s="118">
        <f t="shared" si="40"/>
        <v>0.16481271973377351</v>
      </c>
      <c r="AE198" s="55"/>
      <c r="AF198" s="72"/>
      <c r="AG198" s="72"/>
      <c r="AH198" s="66"/>
      <c r="AJ198" t="s">
        <v>505</v>
      </c>
    </row>
    <row r="199" spans="1:36" ht="16" hidden="1" thickBot="1" x14ac:dyDescent="0.25">
      <c r="A199" s="119" t="s">
        <v>114</v>
      </c>
      <c r="B199" s="120" t="s">
        <v>1206</v>
      </c>
      <c r="C199" s="108" t="str">
        <f t="shared" si="41"/>
        <v>/Applications/Stellarium.app/Contents/Resources/nebulae/default/m22.png</v>
      </c>
      <c r="D199" s="121" t="s">
        <v>1631</v>
      </c>
      <c r="E199" s="109"/>
      <c r="F199" s="122">
        <v>18</v>
      </c>
      <c r="G199" s="123">
        <v>37</v>
      </c>
      <c r="H199" s="122">
        <v>-25</v>
      </c>
      <c r="I199" s="124">
        <v>52</v>
      </c>
      <c r="J199" s="112" t="s">
        <v>734</v>
      </c>
      <c r="K199" s="125">
        <v>12.8</v>
      </c>
      <c r="L199" s="196"/>
      <c r="M199" s="110">
        <f t="shared" si="42"/>
        <v>-24.133333333333333</v>
      </c>
      <c r="N199" s="111">
        <f t="shared" si="43"/>
        <v>13.646666666666668</v>
      </c>
      <c r="O199" s="112">
        <f t="shared" si="44"/>
        <v>18.616666666666667</v>
      </c>
      <c r="P199" s="113">
        <f t="shared" ca="1" si="45"/>
        <v>46192.600208000003</v>
      </c>
      <c r="Q199" s="114">
        <f t="shared" ca="1" si="46"/>
        <v>46207.600208000003</v>
      </c>
      <c r="R199" s="114" t="b">
        <f t="shared" ca="1" si="33"/>
        <v>1</v>
      </c>
      <c r="S199" s="115">
        <f t="shared" ca="1" si="34"/>
        <v>15</v>
      </c>
      <c r="T199" s="126">
        <f t="shared" ca="1" si="35"/>
        <v>46222.600208000003</v>
      </c>
      <c r="U199" s="127" t="str">
        <f t="shared" si="48"/>
        <v>S</v>
      </c>
      <c r="V199" s="128">
        <f t="shared" si="47"/>
        <v>13.646666666666668</v>
      </c>
      <c r="W199" s="129">
        <f t="shared" si="36"/>
        <v>13.646666666666668</v>
      </c>
      <c r="X199" s="197"/>
      <c r="Y199" s="115">
        <f t="shared" ca="1" si="37"/>
        <v>321</v>
      </c>
      <c r="Z199" s="118">
        <f t="shared" ca="1" si="38"/>
        <v>0.1205479452054794</v>
      </c>
      <c r="AA199" s="116"/>
      <c r="AB199" s="117">
        <f t="shared" si="39"/>
        <v>1.9721264330493946</v>
      </c>
      <c r="AC199" s="118">
        <f t="shared" si="40"/>
        <v>0.16550526804372478</v>
      </c>
      <c r="AE199" s="55"/>
      <c r="AF199" s="72"/>
      <c r="AG199" s="72"/>
      <c r="AH199" s="66"/>
      <c r="AJ199" t="s">
        <v>114</v>
      </c>
    </row>
    <row r="200" spans="1:36" ht="16" hidden="1" thickBot="1" x14ac:dyDescent="0.25">
      <c r="A200" s="119" t="s">
        <v>159</v>
      </c>
      <c r="B200" s="120" t="s">
        <v>1191</v>
      </c>
      <c r="C200" s="108" t="str">
        <f t="shared" si="41"/>
        <v>/Applications/Stellarium.app/Contents/Resources/nebulae/default/m70.png</v>
      </c>
      <c r="D200" s="121" t="s">
        <v>1632</v>
      </c>
      <c r="E200" s="109"/>
      <c r="F200" s="122">
        <v>18</v>
      </c>
      <c r="G200" s="123">
        <v>43</v>
      </c>
      <c r="H200" s="122">
        <v>-33</v>
      </c>
      <c r="I200" s="124">
        <v>38</v>
      </c>
      <c r="J200" s="112" t="s">
        <v>759</v>
      </c>
      <c r="K200" s="125">
        <v>13.6</v>
      </c>
      <c r="L200" s="196"/>
      <c r="M200" s="110">
        <f t="shared" si="42"/>
        <v>-32.366666666666667</v>
      </c>
      <c r="N200" s="111">
        <f t="shared" si="43"/>
        <v>5.413333333333334</v>
      </c>
      <c r="O200" s="112">
        <f t="shared" si="44"/>
        <v>18.716666666666665</v>
      </c>
      <c r="P200" s="113">
        <f t="shared" ca="1" si="45"/>
        <v>46194.122047999997</v>
      </c>
      <c r="Q200" s="114">
        <f t="shared" ca="1" si="46"/>
        <v>46209.122047999997</v>
      </c>
      <c r="R200" s="114" t="b">
        <f t="shared" ca="1" si="33"/>
        <v>1</v>
      </c>
      <c r="S200" s="115">
        <f t="shared" ca="1" si="34"/>
        <v>15</v>
      </c>
      <c r="T200" s="126">
        <f t="shared" ca="1" si="35"/>
        <v>46224.122047999997</v>
      </c>
      <c r="U200" s="127" t="str">
        <f t="shared" si="48"/>
        <v>S</v>
      </c>
      <c r="V200" s="128">
        <f t="shared" si="47"/>
        <v>5.413333333333334</v>
      </c>
      <c r="W200" s="129">
        <f t="shared" si="36"/>
        <v>5.413333333333334</v>
      </c>
      <c r="X200" s="197"/>
      <c r="Y200" s="115">
        <f t="shared" ca="1" si="37"/>
        <v>320</v>
      </c>
      <c r="Z200" s="118">
        <f t="shared" ca="1" si="38"/>
        <v>0.12328767123287676</v>
      </c>
      <c r="AA200" s="116"/>
      <c r="AB200" s="117">
        <f t="shared" si="39"/>
        <v>2.0718533896823801</v>
      </c>
      <c r="AC200" s="118">
        <f t="shared" si="40"/>
        <v>0.16966055790343249</v>
      </c>
      <c r="AE200" s="55"/>
      <c r="AF200" s="72"/>
      <c r="AG200" s="72"/>
      <c r="AH200" s="66"/>
      <c r="AJ200" t="s">
        <v>159</v>
      </c>
    </row>
    <row r="201" spans="1:36" ht="16" hidden="1" thickBot="1" x14ac:dyDescent="0.25">
      <c r="A201" s="119" t="s">
        <v>599</v>
      </c>
      <c r="B201" s="120" t="s">
        <v>1381</v>
      </c>
      <c r="C201" s="108" t="str">
        <f t="shared" si="41"/>
        <v>/Applications/Stellarium.app/Contents/Resources/nebulae/default/ic4756.png</v>
      </c>
      <c r="D201" s="121" t="s">
        <v>1633</v>
      </c>
      <c r="E201" s="109"/>
      <c r="F201" s="122">
        <v>18</v>
      </c>
      <c r="G201" s="123">
        <v>43</v>
      </c>
      <c r="H201" s="122">
        <v>4</v>
      </c>
      <c r="I201" s="124">
        <v>25</v>
      </c>
      <c r="J201" s="112" t="s">
        <v>1112</v>
      </c>
      <c r="K201" s="125">
        <v>13.4</v>
      </c>
      <c r="L201" s="196"/>
      <c r="M201" s="110">
        <f t="shared" si="42"/>
        <v>4.416666666666667</v>
      </c>
      <c r="N201" s="111">
        <f t="shared" si="43"/>
        <v>42.196666666666665</v>
      </c>
      <c r="O201" s="112">
        <f t="shared" si="44"/>
        <v>18.716666666666665</v>
      </c>
      <c r="P201" s="113">
        <f t="shared" ca="1" si="45"/>
        <v>46194.122047999997</v>
      </c>
      <c r="Q201" s="114">
        <f t="shared" ca="1" si="46"/>
        <v>46209.122047999997</v>
      </c>
      <c r="R201" s="114" t="b">
        <f t="shared" ca="1" si="33"/>
        <v>1</v>
      </c>
      <c r="S201" s="115">
        <f t="shared" ca="1" si="34"/>
        <v>15</v>
      </c>
      <c r="T201" s="126">
        <f t="shared" ca="1" si="35"/>
        <v>46224.122047999997</v>
      </c>
      <c r="U201" s="127" t="str">
        <f t="shared" si="48"/>
        <v>S</v>
      </c>
      <c r="V201" s="128">
        <f t="shared" si="47"/>
        <v>42.196666666666665</v>
      </c>
      <c r="W201" s="129">
        <f t="shared" si="36"/>
        <v>42.196666666666665</v>
      </c>
      <c r="X201" s="197"/>
      <c r="Y201" s="115">
        <f t="shared" ca="1" si="37"/>
        <v>320</v>
      </c>
      <c r="Z201" s="118">
        <f t="shared" ca="1" si="38"/>
        <v>0.12328767123287676</v>
      </c>
      <c r="AA201" s="116"/>
      <c r="AB201" s="117">
        <f t="shared" si="39"/>
        <v>2.0718533896823801</v>
      </c>
      <c r="AC201" s="118">
        <f t="shared" si="40"/>
        <v>0.16966055790343249</v>
      </c>
      <c r="AE201" s="55"/>
      <c r="AF201" s="72"/>
      <c r="AG201" s="72"/>
      <c r="AH201" s="66"/>
      <c r="AJ201" t="s">
        <v>599</v>
      </c>
    </row>
    <row r="202" spans="1:36" ht="16" hidden="1" thickBot="1" x14ac:dyDescent="0.25">
      <c r="A202" s="119" t="s">
        <v>118</v>
      </c>
      <c r="B202" s="120" t="s">
        <v>1207</v>
      </c>
      <c r="C202" s="108" t="str">
        <f t="shared" si="41"/>
        <v>/Applications/Stellarium.app/Contents/Resources/nebulae/default/m26.png</v>
      </c>
      <c r="D202" s="121" t="s">
        <v>1634</v>
      </c>
      <c r="E202" s="109"/>
      <c r="F202" s="122">
        <v>-6</v>
      </c>
      <c r="G202" s="123">
        <v>45</v>
      </c>
      <c r="H202" s="122">
        <v>-10</v>
      </c>
      <c r="I202" s="124">
        <v>30</v>
      </c>
      <c r="J202" s="112" t="s">
        <v>92</v>
      </c>
      <c r="K202" s="125">
        <v>14.2</v>
      </c>
      <c r="L202" s="196"/>
      <c r="M202" s="110">
        <f t="shared" si="42"/>
        <v>-9.5</v>
      </c>
      <c r="N202" s="111">
        <f t="shared" si="43"/>
        <v>28.28</v>
      </c>
      <c r="O202" s="112">
        <f t="shared" si="44"/>
        <v>-5.25</v>
      </c>
      <c r="P202" s="113">
        <f t="shared" ca="1" si="45"/>
        <v>46194.629328000003</v>
      </c>
      <c r="Q202" s="114">
        <f t="shared" ca="1" si="46"/>
        <v>46209.629328000003</v>
      </c>
      <c r="R202" s="114" t="b">
        <f t="shared" ca="1" si="33"/>
        <v>1</v>
      </c>
      <c r="S202" s="115">
        <f t="shared" ca="1" si="34"/>
        <v>15</v>
      </c>
      <c r="T202" s="126">
        <f t="shared" ca="1" si="35"/>
        <v>46224.629328000003</v>
      </c>
      <c r="U202" s="127" t="str">
        <f t="shared" si="48"/>
        <v>S</v>
      </c>
      <c r="V202" s="128">
        <f t="shared" si="47"/>
        <v>28.28</v>
      </c>
      <c r="W202" s="129">
        <f t="shared" si="36"/>
        <v>28.28</v>
      </c>
      <c r="X202" s="197"/>
      <c r="Y202" s="115">
        <f t="shared" ca="1" si="37"/>
        <v>319</v>
      </c>
      <c r="Z202" s="118">
        <f t="shared" ca="1" si="38"/>
        <v>0.12602739726027401</v>
      </c>
      <c r="AA202" s="116"/>
      <c r="AB202" s="117">
        <f t="shared" si="39"/>
        <v>2.1050957085600439</v>
      </c>
      <c r="AC202" s="118">
        <f t="shared" si="40"/>
        <v>0.17104565452333517</v>
      </c>
      <c r="AE202" s="55"/>
      <c r="AF202" s="72"/>
      <c r="AG202" s="72"/>
      <c r="AH202" s="66"/>
      <c r="AJ202" t="s">
        <v>118</v>
      </c>
    </row>
    <row r="203" spans="1:36" ht="16" hidden="1" thickBot="1" x14ac:dyDescent="0.25">
      <c r="A203" s="119" t="s">
        <v>103</v>
      </c>
      <c r="B203" s="120" t="s">
        <v>1197</v>
      </c>
      <c r="C203" s="108" t="str">
        <f t="shared" si="41"/>
        <v>/Applications/Stellarium.app/Contents/Resources/nebulae/default/m11.png</v>
      </c>
      <c r="D203" s="121" t="s">
        <v>1635</v>
      </c>
      <c r="E203" s="109"/>
      <c r="F203" s="122">
        <v>-6</v>
      </c>
      <c r="G203" s="123">
        <v>51</v>
      </c>
      <c r="H203" s="122">
        <v>-7</v>
      </c>
      <c r="I203" s="124">
        <v>37</v>
      </c>
      <c r="J203" s="112" t="s">
        <v>728</v>
      </c>
      <c r="K203" s="125">
        <v>12.2</v>
      </c>
      <c r="L203" s="196"/>
      <c r="M203" s="110">
        <f t="shared" si="42"/>
        <v>-6.3833333333333329</v>
      </c>
      <c r="N203" s="111">
        <f t="shared" si="43"/>
        <v>31.396666666666668</v>
      </c>
      <c r="O203" s="112">
        <f t="shared" si="44"/>
        <v>-5.15</v>
      </c>
      <c r="P203" s="113">
        <f t="shared" ca="1" si="45"/>
        <v>46196.151167999997</v>
      </c>
      <c r="Q203" s="114">
        <f t="shared" ca="1" si="46"/>
        <v>46211.151167999997</v>
      </c>
      <c r="R203" s="114" t="b">
        <f t="shared" ref="R203:R266" ca="1" si="49">AND(Q203&gt;=DATE(YEAR(Q203),3,31)-WEEKDAY(DATE(YEAR(Q203),3,31),2),Q203&lt;DATE(YEAR(Q203),10,31)-WEEKDAY(DATE(YEAR(Q203),10,31),2))</f>
        <v>1</v>
      </c>
      <c r="S203" s="115">
        <f t="shared" ref="S203:S266" ca="1" si="50">IF(R203,15,0)</f>
        <v>15</v>
      </c>
      <c r="T203" s="126">
        <f t="shared" ref="T203:T266" ca="1" si="51">Q203+S203</f>
        <v>46226.151167999997</v>
      </c>
      <c r="U203" s="127" t="str">
        <f t="shared" si="48"/>
        <v>S</v>
      </c>
      <c r="V203" s="128">
        <f t="shared" si="47"/>
        <v>31.396666666666668</v>
      </c>
      <c r="W203" s="129">
        <f t="shared" ref="W203:W266" si="52">IF(M203&lt;&gt;0,V203,"")</f>
        <v>31.396666666666668</v>
      </c>
      <c r="X203" s="197"/>
      <c r="Y203" s="115">
        <f t="shared" ref="Y203:Y266" ca="1" si="53">INT(IF(AC$7&gt;T203,AC$7-T203,AC$7+365-T203)+0.5)+S203</f>
        <v>318</v>
      </c>
      <c r="Z203" s="118">
        <f t="shared" ref="Z203:Z266" ca="1" si="54">$AB$5-Y203/365</f>
        <v>0.12876712328767126</v>
      </c>
      <c r="AA203" s="116"/>
      <c r="AB203" s="117">
        <f t="shared" ref="AB203:AB266" si="55">MOD(O203-AB$10,24)/1.00273790935</f>
        <v>2.2048226651930332</v>
      </c>
      <c r="AC203" s="118">
        <f t="shared" ref="AC203:AC266" si="56">(IF(M203&lt;&gt;0,MOD(AB203+AB$11,24)/24,""))</f>
        <v>0.17520094438304304</v>
      </c>
      <c r="AE203" s="55"/>
      <c r="AF203" s="72"/>
      <c r="AG203" s="72"/>
      <c r="AH203" s="66"/>
      <c r="AJ203" t="s">
        <v>103</v>
      </c>
    </row>
    <row r="204" spans="1:36" ht="16" hidden="1" thickBot="1" x14ac:dyDescent="0.25">
      <c r="A204" s="119" t="s">
        <v>146</v>
      </c>
      <c r="B204" s="120" t="s">
        <v>1229</v>
      </c>
      <c r="C204" s="108" t="str">
        <f t="shared" ref="C204:C267" si="57">CONCATENATE(A$9&amp;D204)</f>
        <v>/Applications/Stellarium.app/Contents/Resources/nebulae/default/m57dumont.png</v>
      </c>
      <c r="D204" s="121" t="s">
        <v>1636</v>
      </c>
      <c r="E204" s="109"/>
      <c r="F204" s="122">
        <v>-6</v>
      </c>
      <c r="G204" s="123">
        <v>53</v>
      </c>
      <c r="H204" s="122">
        <v>33</v>
      </c>
      <c r="I204" s="124">
        <v>0</v>
      </c>
      <c r="J204" s="112" t="s">
        <v>751</v>
      </c>
      <c r="K204" s="125">
        <v>12.2</v>
      </c>
      <c r="L204" s="196"/>
      <c r="M204" s="110">
        <f t="shared" ref="M204:M267" si="58">H204+I204/60</f>
        <v>33</v>
      </c>
      <c r="N204" s="111">
        <f t="shared" ref="N204:N267" si="59">90-$B$6+M204</f>
        <v>70.78</v>
      </c>
      <c r="O204" s="112">
        <f t="shared" ref="O204:O267" si="60">F204+G204/60</f>
        <v>-5.1166666666666671</v>
      </c>
      <c r="P204" s="113">
        <f t="shared" ref="P204:P267" ca="1" si="61">DATE(YEAR(TODAY()),3,21)+MOD(O204-12-$B$7/15,24)*15.2184</f>
        <v>46196.658448000002</v>
      </c>
      <c r="Q204" s="114">
        <f t="shared" ref="Q204:Q267" ca="1" si="62">DATE(YEAR(TODAY()),3,21)+MOD(O204-12-$B$7/15,24)*15.2184+15</f>
        <v>46211.658448000002</v>
      </c>
      <c r="R204" s="114" t="b">
        <f t="shared" ca="1" si="49"/>
        <v>1</v>
      </c>
      <c r="S204" s="115">
        <f t="shared" ca="1" si="50"/>
        <v>15</v>
      </c>
      <c r="T204" s="126">
        <f t="shared" ca="1" si="51"/>
        <v>46226.658448000002</v>
      </c>
      <c r="U204" s="127" t="str">
        <f t="shared" si="48"/>
        <v>S</v>
      </c>
      <c r="V204" s="128">
        <f t="shared" ref="V204:V267" si="63">IF(90-B$6+M204&gt;90,180-90+B$6-M204,90-B$6+M204)</f>
        <v>70.78</v>
      </c>
      <c r="W204" s="129">
        <f t="shared" si="52"/>
        <v>70.78</v>
      </c>
      <c r="X204" s="197"/>
      <c r="Y204" s="115">
        <f t="shared" ca="1" si="53"/>
        <v>317</v>
      </c>
      <c r="Z204" s="118">
        <f t="shared" ca="1" si="54"/>
        <v>0.13150684931506851</v>
      </c>
      <c r="AA204" s="116"/>
      <c r="AB204" s="117">
        <f t="shared" si="55"/>
        <v>2.2380649840706934</v>
      </c>
      <c r="AC204" s="118">
        <f t="shared" si="56"/>
        <v>0.17658604100294553</v>
      </c>
      <c r="AE204" s="55"/>
      <c r="AF204" s="72"/>
      <c r="AG204" s="72"/>
      <c r="AH204" s="66"/>
      <c r="AJ204" t="s">
        <v>146</v>
      </c>
    </row>
    <row r="205" spans="1:36" ht="16" hidden="1" thickBot="1" x14ac:dyDescent="0.25">
      <c r="A205" s="119" t="s">
        <v>506</v>
      </c>
      <c r="B205" s="120" t="s">
        <v>1191</v>
      </c>
      <c r="C205" s="108" t="str">
        <f t="shared" si="57"/>
        <v>/Applications/Stellarium.app/Contents/Resources/nebulae/default/n6712-2mass.png</v>
      </c>
      <c r="D205" s="121" t="s">
        <v>1637</v>
      </c>
      <c r="E205" s="109"/>
      <c r="F205" s="122">
        <v>18</v>
      </c>
      <c r="G205" s="123">
        <v>53</v>
      </c>
      <c r="H205" s="122">
        <v>-9</v>
      </c>
      <c r="I205" s="124">
        <v>15</v>
      </c>
      <c r="J205" s="112" t="s">
        <v>1043</v>
      </c>
      <c r="K205" s="125">
        <v>15.5</v>
      </c>
      <c r="L205" s="196"/>
      <c r="M205" s="110">
        <f t="shared" si="58"/>
        <v>-8.75</v>
      </c>
      <c r="N205" s="111">
        <f t="shared" si="59"/>
        <v>29.03</v>
      </c>
      <c r="O205" s="112">
        <f t="shared" si="60"/>
        <v>18.883333333333333</v>
      </c>
      <c r="P205" s="113">
        <f t="shared" ca="1" si="61"/>
        <v>46196.658448000002</v>
      </c>
      <c r="Q205" s="114">
        <f t="shared" ca="1" si="62"/>
        <v>46211.658448000002</v>
      </c>
      <c r="R205" s="114" t="b">
        <f t="shared" ca="1" si="49"/>
        <v>1</v>
      </c>
      <c r="S205" s="115">
        <f t="shared" ca="1" si="50"/>
        <v>15</v>
      </c>
      <c r="T205" s="126">
        <f t="shared" ca="1" si="51"/>
        <v>46226.658448000002</v>
      </c>
      <c r="U205" s="127" t="str">
        <f t="shared" si="48"/>
        <v>S</v>
      </c>
      <c r="V205" s="128">
        <f t="shared" si="63"/>
        <v>29.03</v>
      </c>
      <c r="W205" s="129">
        <f t="shared" si="52"/>
        <v>29.03</v>
      </c>
      <c r="X205" s="197"/>
      <c r="Y205" s="115">
        <f t="shared" ca="1" si="53"/>
        <v>317</v>
      </c>
      <c r="Z205" s="118">
        <f t="shared" ca="1" si="54"/>
        <v>0.13150684931506851</v>
      </c>
      <c r="AA205" s="116"/>
      <c r="AB205" s="117">
        <f t="shared" si="55"/>
        <v>2.2380649840706934</v>
      </c>
      <c r="AC205" s="118">
        <f t="shared" si="56"/>
        <v>0.17658604100294553</v>
      </c>
      <c r="AE205" s="55"/>
      <c r="AF205" s="72"/>
      <c r="AG205" s="72"/>
      <c r="AH205" s="66"/>
      <c r="AJ205" t="s">
        <v>506</v>
      </c>
    </row>
    <row r="206" spans="1:36" ht="16" hidden="1" thickBot="1" x14ac:dyDescent="0.25">
      <c r="A206" s="119" t="s">
        <v>578</v>
      </c>
      <c r="B206" s="120" t="s">
        <v>1364</v>
      </c>
      <c r="C206" s="108" t="str">
        <f t="shared" si="57"/>
        <v>/Applications/Stellarium.app/Contents/Resources/nebulae/default/ic1295.png</v>
      </c>
      <c r="D206" s="121" t="s">
        <v>1638</v>
      </c>
      <c r="E206" s="109"/>
      <c r="F206" s="122">
        <v>18</v>
      </c>
      <c r="G206" s="123">
        <v>54</v>
      </c>
      <c r="H206" s="122">
        <v>-9</v>
      </c>
      <c r="I206" s="124">
        <v>8</v>
      </c>
      <c r="J206" s="112" t="s">
        <v>790</v>
      </c>
      <c r="K206" s="125">
        <v>14.5</v>
      </c>
      <c r="L206" s="196"/>
      <c r="M206" s="110">
        <f t="shared" si="58"/>
        <v>-8.8666666666666671</v>
      </c>
      <c r="N206" s="111">
        <f t="shared" si="59"/>
        <v>28.913333333333334</v>
      </c>
      <c r="O206" s="112">
        <f t="shared" si="60"/>
        <v>18.899999999999999</v>
      </c>
      <c r="P206" s="113">
        <f t="shared" ca="1" si="61"/>
        <v>46196.912087999997</v>
      </c>
      <c r="Q206" s="114">
        <f t="shared" ca="1" si="62"/>
        <v>46211.912087999997</v>
      </c>
      <c r="R206" s="114" t="b">
        <f t="shared" ca="1" si="49"/>
        <v>1</v>
      </c>
      <c r="S206" s="115">
        <f t="shared" ca="1" si="50"/>
        <v>15</v>
      </c>
      <c r="T206" s="126">
        <f t="shared" ca="1" si="51"/>
        <v>46226.912087999997</v>
      </c>
      <c r="U206" s="127" t="str">
        <f t="shared" si="48"/>
        <v>S</v>
      </c>
      <c r="V206" s="128">
        <f t="shared" si="63"/>
        <v>28.913333333333334</v>
      </c>
      <c r="W206" s="129">
        <f t="shared" si="52"/>
        <v>28.913333333333334</v>
      </c>
      <c r="X206" s="197"/>
      <c r="Y206" s="115">
        <f t="shared" ca="1" si="53"/>
        <v>317</v>
      </c>
      <c r="Z206" s="118">
        <f t="shared" ca="1" si="54"/>
        <v>0.13150684931506851</v>
      </c>
      <c r="AA206" s="116"/>
      <c r="AB206" s="117">
        <f t="shared" si="55"/>
        <v>2.2546861435095238</v>
      </c>
      <c r="AC206" s="118">
        <f t="shared" si="56"/>
        <v>0.17727858931289683</v>
      </c>
      <c r="AE206" s="55"/>
      <c r="AF206" s="72"/>
      <c r="AG206" s="72"/>
      <c r="AH206" s="66"/>
      <c r="AJ206" t="s">
        <v>578</v>
      </c>
    </row>
    <row r="207" spans="1:36" ht="16" hidden="1" thickBot="1" x14ac:dyDescent="0.25">
      <c r="A207" s="119" t="s">
        <v>143</v>
      </c>
      <c r="B207" s="120" t="s">
        <v>1191</v>
      </c>
      <c r="C207" s="108" t="str">
        <f t="shared" si="57"/>
        <v>/Applications/Stellarium.app/Contents/Resources/nebulae/default/m54.png</v>
      </c>
      <c r="D207" s="121" t="s">
        <v>1639</v>
      </c>
      <c r="E207" s="109"/>
      <c r="F207" s="122">
        <v>18</v>
      </c>
      <c r="G207" s="123">
        <v>55</v>
      </c>
      <c r="H207" s="122">
        <v>-31</v>
      </c>
      <c r="I207" s="124">
        <v>25</v>
      </c>
      <c r="J207" s="112" t="s">
        <v>726</v>
      </c>
      <c r="K207" s="125">
        <v>14.3</v>
      </c>
      <c r="L207" s="196"/>
      <c r="M207" s="110">
        <f t="shared" si="58"/>
        <v>-30.583333333333332</v>
      </c>
      <c r="N207" s="111">
        <f t="shared" si="59"/>
        <v>7.196666666666669</v>
      </c>
      <c r="O207" s="112">
        <f t="shared" si="60"/>
        <v>18.916666666666668</v>
      </c>
      <c r="P207" s="113">
        <f t="shared" ca="1" si="61"/>
        <v>46197.165728</v>
      </c>
      <c r="Q207" s="114">
        <f t="shared" ca="1" si="62"/>
        <v>46212.165728</v>
      </c>
      <c r="R207" s="114" t="b">
        <f t="shared" ca="1" si="49"/>
        <v>1</v>
      </c>
      <c r="S207" s="115">
        <f t="shared" ca="1" si="50"/>
        <v>15</v>
      </c>
      <c r="T207" s="126">
        <f t="shared" ca="1" si="51"/>
        <v>46227.165728</v>
      </c>
      <c r="U207" s="127" t="str">
        <f t="shared" si="48"/>
        <v>S</v>
      </c>
      <c r="V207" s="128">
        <f t="shared" si="63"/>
        <v>7.196666666666669</v>
      </c>
      <c r="W207" s="129">
        <f t="shared" si="52"/>
        <v>7.196666666666669</v>
      </c>
      <c r="X207" s="197"/>
      <c r="Y207" s="115">
        <f t="shared" ca="1" si="53"/>
        <v>317</v>
      </c>
      <c r="Z207" s="118">
        <f t="shared" ca="1" si="54"/>
        <v>0.13150684931506851</v>
      </c>
      <c r="AA207" s="116"/>
      <c r="AB207" s="117">
        <f t="shared" si="55"/>
        <v>2.2713073029483577</v>
      </c>
      <c r="AC207" s="118">
        <f t="shared" si="56"/>
        <v>0.17797113762284825</v>
      </c>
      <c r="AE207" s="55"/>
      <c r="AF207" s="72"/>
      <c r="AG207" s="72"/>
      <c r="AH207" s="66"/>
      <c r="AJ207" t="s">
        <v>143</v>
      </c>
    </row>
    <row r="208" spans="1:36" ht="16" hidden="1" thickBot="1" x14ac:dyDescent="0.25">
      <c r="A208" s="119" t="s">
        <v>507</v>
      </c>
      <c r="B208" s="120" t="s">
        <v>1191</v>
      </c>
      <c r="C208" s="108" t="str">
        <f t="shared" si="57"/>
        <v>/Applications/Stellarium.app/Contents/Resources/nebulae/default/n6717.png</v>
      </c>
      <c r="D208" s="121" t="s">
        <v>1640</v>
      </c>
      <c r="E208" s="109"/>
      <c r="F208" s="122">
        <v>18</v>
      </c>
      <c r="G208" s="123">
        <v>55</v>
      </c>
      <c r="H208" s="122">
        <v>-23</v>
      </c>
      <c r="I208" s="124">
        <v>16</v>
      </c>
      <c r="J208" s="112" t="s">
        <v>1017</v>
      </c>
      <c r="K208" s="125">
        <v>13.4</v>
      </c>
      <c r="L208" s="196"/>
      <c r="M208" s="110">
        <f t="shared" si="58"/>
        <v>-22.733333333333334</v>
      </c>
      <c r="N208" s="111">
        <f t="shared" si="59"/>
        <v>15.046666666666667</v>
      </c>
      <c r="O208" s="112">
        <f t="shared" si="60"/>
        <v>18.916666666666668</v>
      </c>
      <c r="P208" s="113">
        <f t="shared" ca="1" si="61"/>
        <v>46197.165728</v>
      </c>
      <c r="Q208" s="114">
        <f t="shared" ca="1" si="62"/>
        <v>46212.165728</v>
      </c>
      <c r="R208" s="114" t="b">
        <f t="shared" ca="1" si="49"/>
        <v>1</v>
      </c>
      <c r="S208" s="115">
        <f t="shared" ca="1" si="50"/>
        <v>15</v>
      </c>
      <c r="T208" s="126">
        <f t="shared" ca="1" si="51"/>
        <v>46227.165728</v>
      </c>
      <c r="U208" s="127" t="str">
        <f t="shared" si="48"/>
        <v>S</v>
      </c>
      <c r="V208" s="128">
        <f t="shared" si="63"/>
        <v>15.046666666666667</v>
      </c>
      <c r="W208" s="129">
        <f t="shared" si="52"/>
        <v>15.046666666666667</v>
      </c>
      <c r="X208" s="197"/>
      <c r="Y208" s="115">
        <f t="shared" ca="1" si="53"/>
        <v>317</v>
      </c>
      <c r="Z208" s="118">
        <f t="shared" ca="1" si="54"/>
        <v>0.13150684931506851</v>
      </c>
      <c r="AA208" s="116"/>
      <c r="AB208" s="117">
        <f t="shared" si="55"/>
        <v>2.2713073029483577</v>
      </c>
      <c r="AC208" s="118">
        <f t="shared" si="56"/>
        <v>0.17797113762284825</v>
      </c>
      <c r="AE208" s="55"/>
      <c r="AF208" s="72"/>
      <c r="AG208" s="72"/>
      <c r="AH208" s="66"/>
      <c r="AJ208" t="s">
        <v>507</v>
      </c>
    </row>
    <row r="209" spans="1:36" ht="16" hidden="1" thickBot="1" x14ac:dyDescent="0.25">
      <c r="A209" s="119" t="s">
        <v>509</v>
      </c>
      <c r="B209" s="120" t="s">
        <v>1277</v>
      </c>
      <c r="C209" s="108" t="str">
        <f t="shared" si="57"/>
        <v>/Applications/Stellarium.app/Contents/Resources/nebulae/default/n6741.png</v>
      </c>
      <c r="D209" s="121" t="s">
        <v>1641</v>
      </c>
      <c r="E209" s="109"/>
      <c r="F209" s="122">
        <v>19</v>
      </c>
      <c r="G209" s="123">
        <v>2</v>
      </c>
      <c r="H209" s="122">
        <v>-1</v>
      </c>
      <c r="I209" s="124">
        <v>32</v>
      </c>
      <c r="J209" s="112" t="s">
        <v>1045</v>
      </c>
      <c r="K209" s="125">
        <v>12.5</v>
      </c>
      <c r="L209" s="196"/>
      <c r="M209" s="110">
        <f t="shared" si="58"/>
        <v>-0.46666666666666667</v>
      </c>
      <c r="N209" s="111">
        <f t="shared" si="59"/>
        <v>37.313333333333333</v>
      </c>
      <c r="O209" s="112">
        <f t="shared" si="60"/>
        <v>19.033333333333335</v>
      </c>
      <c r="P209" s="113">
        <f t="shared" ca="1" si="61"/>
        <v>46198.941207999997</v>
      </c>
      <c r="Q209" s="114">
        <f t="shared" ca="1" si="62"/>
        <v>46213.941207999997</v>
      </c>
      <c r="R209" s="114" t="b">
        <f t="shared" ca="1" si="49"/>
        <v>1</v>
      </c>
      <c r="S209" s="115">
        <f t="shared" ca="1" si="50"/>
        <v>15</v>
      </c>
      <c r="T209" s="126">
        <f t="shared" ca="1" si="51"/>
        <v>46228.941207999997</v>
      </c>
      <c r="U209" s="127" t="str">
        <f t="shared" si="48"/>
        <v>S</v>
      </c>
      <c r="V209" s="128">
        <f t="shared" si="63"/>
        <v>37.313333333333333</v>
      </c>
      <c r="W209" s="129">
        <f t="shared" si="52"/>
        <v>37.313333333333333</v>
      </c>
      <c r="X209" s="197"/>
      <c r="Y209" s="115">
        <f t="shared" ca="1" si="53"/>
        <v>315</v>
      </c>
      <c r="Z209" s="118">
        <f t="shared" ca="1" si="54"/>
        <v>0.13698630136986301</v>
      </c>
      <c r="AA209" s="116"/>
      <c r="AB209" s="117">
        <f t="shared" si="55"/>
        <v>2.3876554190201769</v>
      </c>
      <c r="AC209" s="118">
        <f t="shared" si="56"/>
        <v>0.18281897579250739</v>
      </c>
      <c r="AE209" s="55"/>
      <c r="AF209" s="72"/>
      <c r="AG209" s="72"/>
      <c r="AH209" s="66"/>
      <c r="AJ209" t="s">
        <v>509</v>
      </c>
    </row>
    <row r="210" spans="1:36" ht="16" hidden="1" thickBot="1" x14ac:dyDescent="0.25">
      <c r="A210" s="119" t="s">
        <v>611</v>
      </c>
      <c r="B210" s="120" t="s">
        <v>1277</v>
      </c>
      <c r="C210" s="108" t="str">
        <f t="shared" si="57"/>
        <v>/Applications/Stellarium.app/Contents/Resources/nebulae/default/sh2-71.png</v>
      </c>
      <c r="D210" s="121" t="s">
        <v>1642</v>
      </c>
      <c r="E210" s="109"/>
      <c r="F210" s="122">
        <v>19</v>
      </c>
      <c r="G210" s="123">
        <v>2</v>
      </c>
      <c r="H210" s="122">
        <v>2</v>
      </c>
      <c r="I210" s="124">
        <v>5</v>
      </c>
      <c r="J210" s="112" t="s">
        <v>1119</v>
      </c>
      <c r="K210" s="125">
        <v>12.5</v>
      </c>
      <c r="L210" s="196"/>
      <c r="M210" s="110">
        <f t="shared" si="58"/>
        <v>2.0833333333333335</v>
      </c>
      <c r="N210" s="111">
        <f t="shared" si="59"/>
        <v>39.863333333333337</v>
      </c>
      <c r="O210" s="112">
        <f t="shared" si="60"/>
        <v>19.033333333333335</v>
      </c>
      <c r="P210" s="113">
        <f t="shared" ca="1" si="61"/>
        <v>46198.941207999997</v>
      </c>
      <c r="Q210" s="114">
        <f t="shared" ca="1" si="62"/>
        <v>46213.941207999997</v>
      </c>
      <c r="R210" s="114" t="b">
        <f t="shared" ca="1" si="49"/>
        <v>1</v>
      </c>
      <c r="S210" s="115">
        <f t="shared" ca="1" si="50"/>
        <v>15</v>
      </c>
      <c r="T210" s="126">
        <f t="shared" ca="1" si="51"/>
        <v>46228.941207999997</v>
      </c>
      <c r="U210" s="127" t="str">
        <f t="shared" si="48"/>
        <v>S</v>
      </c>
      <c r="V210" s="128">
        <f t="shared" si="63"/>
        <v>39.863333333333337</v>
      </c>
      <c r="W210" s="129">
        <f t="shared" si="52"/>
        <v>39.863333333333337</v>
      </c>
      <c r="X210" s="197"/>
      <c r="Y210" s="115">
        <f t="shared" ca="1" si="53"/>
        <v>315</v>
      </c>
      <c r="Z210" s="118">
        <f t="shared" ca="1" si="54"/>
        <v>0.13698630136986301</v>
      </c>
      <c r="AA210" s="116"/>
      <c r="AB210" s="117">
        <f t="shared" si="55"/>
        <v>2.3876554190201769</v>
      </c>
      <c r="AC210" s="118">
        <f t="shared" si="56"/>
        <v>0.18281897579250739</v>
      </c>
      <c r="AE210" s="55"/>
      <c r="AF210" s="72"/>
      <c r="AG210" s="72"/>
      <c r="AH210" s="66"/>
      <c r="AJ210" t="s">
        <v>611</v>
      </c>
    </row>
    <row r="211" spans="1:36" ht="16" hidden="1" thickBot="1" x14ac:dyDescent="0.25">
      <c r="A211" s="119" t="s">
        <v>508</v>
      </c>
      <c r="B211" s="120" t="s">
        <v>1325</v>
      </c>
      <c r="C211" s="108" t="str">
        <f t="shared" si="57"/>
        <v>/Applications/Stellarium.app/Contents/Resources/nebulae/default/n6726.png</v>
      </c>
      <c r="D211" s="121" t="s">
        <v>1643</v>
      </c>
      <c r="E211" s="109"/>
      <c r="F211" s="122">
        <v>19</v>
      </c>
      <c r="G211" s="123">
        <v>5</v>
      </c>
      <c r="H211" s="122">
        <v>-38</v>
      </c>
      <c r="I211" s="124">
        <v>13</v>
      </c>
      <c r="J211" s="112" t="s">
        <v>1044</v>
      </c>
      <c r="K211" s="125">
        <v>14.2</v>
      </c>
      <c r="L211" s="196"/>
      <c r="M211" s="110">
        <f t="shared" si="58"/>
        <v>-37.783333333333331</v>
      </c>
      <c r="N211" s="111">
        <f t="shared" si="59"/>
        <v>-3.3333333333303017E-3</v>
      </c>
      <c r="O211" s="112">
        <f t="shared" si="60"/>
        <v>19.083333333333332</v>
      </c>
      <c r="P211" s="113">
        <f t="shared" ca="1" si="61"/>
        <v>46199.702127999997</v>
      </c>
      <c r="Q211" s="114">
        <f t="shared" ca="1" si="62"/>
        <v>46214.702127999997</v>
      </c>
      <c r="R211" s="114" t="b">
        <f t="shared" ca="1" si="49"/>
        <v>1</v>
      </c>
      <c r="S211" s="115">
        <f t="shared" ca="1" si="50"/>
        <v>15</v>
      </c>
      <c r="T211" s="126">
        <f t="shared" ca="1" si="51"/>
        <v>46229.702127999997</v>
      </c>
      <c r="U211" s="127" t="str">
        <f t="shared" si="48"/>
        <v>S</v>
      </c>
      <c r="V211" s="128">
        <f t="shared" si="63"/>
        <v>-3.3333333333303017E-3</v>
      </c>
      <c r="W211" s="129">
        <f t="shared" si="52"/>
        <v>-3.3333333333303017E-3</v>
      </c>
      <c r="X211" s="197"/>
      <c r="Y211" s="115">
        <f t="shared" ca="1" si="53"/>
        <v>314</v>
      </c>
      <c r="Z211" s="118">
        <f t="shared" ca="1" si="54"/>
        <v>0.13972602739726026</v>
      </c>
      <c r="AA211" s="116"/>
      <c r="AB211" s="117">
        <f t="shared" si="55"/>
        <v>2.4375188973366679</v>
      </c>
      <c r="AC211" s="118">
        <f t="shared" si="56"/>
        <v>0.18489662072236115</v>
      </c>
      <c r="AE211" s="55"/>
      <c r="AF211" s="72"/>
      <c r="AG211" s="72"/>
      <c r="AH211" s="66"/>
      <c r="AJ211" t="s">
        <v>508</v>
      </c>
    </row>
    <row r="212" spans="1:36" ht="16" hidden="1" thickBot="1" x14ac:dyDescent="0.25">
      <c r="A212" s="119" t="s">
        <v>511</v>
      </c>
      <c r="B212" s="120" t="s">
        <v>1191</v>
      </c>
      <c r="C212" s="108" t="str">
        <f t="shared" si="57"/>
        <v>/Applications/Stellarium.app/Contents/Resources/nebulae/default/n6749.png</v>
      </c>
      <c r="D212" s="121" t="s">
        <v>1644</v>
      </c>
      <c r="E212" s="109"/>
      <c r="F212" s="122">
        <v>19</v>
      </c>
      <c r="G212" s="123">
        <v>5</v>
      </c>
      <c r="H212" s="122">
        <v>1</v>
      </c>
      <c r="I212" s="124">
        <v>51</v>
      </c>
      <c r="J212" s="112" t="s">
        <v>918</v>
      </c>
      <c r="K212" s="125">
        <v>13.4</v>
      </c>
      <c r="L212" s="196"/>
      <c r="M212" s="110">
        <f t="shared" si="58"/>
        <v>1.85</v>
      </c>
      <c r="N212" s="111">
        <f t="shared" si="59"/>
        <v>39.630000000000003</v>
      </c>
      <c r="O212" s="112">
        <f t="shared" si="60"/>
        <v>19.083333333333332</v>
      </c>
      <c r="P212" s="113">
        <f t="shared" ca="1" si="61"/>
        <v>46199.702127999997</v>
      </c>
      <c r="Q212" s="114">
        <f t="shared" ca="1" si="62"/>
        <v>46214.702127999997</v>
      </c>
      <c r="R212" s="114" t="b">
        <f t="shared" ca="1" si="49"/>
        <v>1</v>
      </c>
      <c r="S212" s="115">
        <f t="shared" ca="1" si="50"/>
        <v>15</v>
      </c>
      <c r="T212" s="126">
        <f t="shared" ca="1" si="51"/>
        <v>46229.702127999997</v>
      </c>
      <c r="U212" s="127" t="str">
        <f t="shared" si="48"/>
        <v>S</v>
      </c>
      <c r="V212" s="128">
        <f t="shared" si="63"/>
        <v>39.630000000000003</v>
      </c>
      <c r="W212" s="129">
        <f t="shared" si="52"/>
        <v>39.630000000000003</v>
      </c>
      <c r="X212" s="197"/>
      <c r="Y212" s="115">
        <f t="shared" ca="1" si="53"/>
        <v>314</v>
      </c>
      <c r="Z212" s="118">
        <f t="shared" ca="1" si="54"/>
        <v>0.13972602739726026</v>
      </c>
      <c r="AA212" s="116"/>
      <c r="AB212" s="117">
        <f t="shared" si="55"/>
        <v>2.4375188973366679</v>
      </c>
      <c r="AC212" s="118">
        <f t="shared" si="56"/>
        <v>0.18489662072236115</v>
      </c>
      <c r="AE212" s="55"/>
      <c r="AF212" s="72"/>
      <c r="AG212" s="72"/>
      <c r="AH212" s="66"/>
      <c r="AJ212" t="s">
        <v>511</v>
      </c>
    </row>
    <row r="213" spans="1:36" ht="16" hidden="1" thickBot="1" x14ac:dyDescent="0.25">
      <c r="A213" s="119" t="s">
        <v>512</v>
      </c>
      <c r="B213" s="120" t="s">
        <v>1326</v>
      </c>
      <c r="C213" s="108" t="str">
        <f t="shared" si="57"/>
        <v>/Applications/Stellarium.app/Contents/Resources/nebulae/default/n6751.png</v>
      </c>
      <c r="D213" s="121" t="s">
        <v>1645</v>
      </c>
      <c r="E213" s="109"/>
      <c r="F213" s="122">
        <v>19</v>
      </c>
      <c r="G213" s="123">
        <v>5</v>
      </c>
      <c r="H213" s="122">
        <v>-6</v>
      </c>
      <c r="I213" s="124">
        <v>0</v>
      </c>
      <c r="J213" s="112" t="s">
        <v>1047</v>
      </c>
      <c r="K213" s="125">
        <v>13.9</v>
      </c>
      <c r="L213" s="196"/>
      <c r="M213" s="110">
        <f t="shared" si="58"/>
        <v>-6</v>
      </c>
      <c r="N213" s="111">
        <f t="shared" si="59"/>
        <v>31.78</v>
      </c>
      <c r="O213" s="112">
        <f t="shared" si="60"/>
        <v>19.083333333333332</v>
      </c>
      <c r="P213" s="113">
        <f t="shared" ca="1" si="61"/>
        <v>46199.702127999997</v>
      </c>
      <c r="Q213" s="114">
        <f t="shared" ca="1" si="62"/>
        <v>46214.702127999997</v>
      </c>
      <c r="R213" s="114" t="b">
        <f t="shared" ca="1" si="49"/>
        <v>1</v>
      </c>
      <c r="S213" s="115">
        <f t="shared" ca="1" si="50"/>
        <v>15</v>
      </c>
      <c r="T213" s="126">
        <f t="shared" ca="1" si="51"/>
        <v>46229.702127999997</v>
      </c>
      <c r="U213" s="127" t="str">
        <f t="shared" si="48"/>
        <v>S</v>
      </c>
      <c r="V213" s="128">
        <f t="shared" si="63"/>
        <v>31.78</v>
      </c>
      <c r="W213" s="129">
        <f t="shared" si="52"/>
        <v>31.78</v>
      </c>
      <c r="X213" s="197"/>
      <c r="Y213" s="115">
        <f t="shared" ca="1" si="53"/>
        <v>314</v>
      </c>
      <c r="Z213" s="118">
        <f t="shared" ca="1" si="54"/>
        <v>0.13972602739726026</v>
      </c>
      <c r="AA213" s="116"/>
      <c r="AB213" s="117">
        <f t="shared" si="55"/>
        <v>2.4375188973366679</v>
      </c>
      <c r="AC213" s="118">
        <f t="shared" si="56"/>
        <v>0.18489662072236115</v>
      </c>
      <c r="AE213" s="55"/>
      <c r="AF213" s="72"/>
      <c r="AG213" s="72"/>
      <c r="AH213" s="66"/>
      <c r="AJ213" t="s">
        <v>512</v>
      </c>
    </row>
    <row r="214" spans="1:36" ht="16" hidden="1" thickBot="1" x14ac:dyDescent="0.25">
      <c r="A214" s="119" t="s">
        <v>510</v>
      </c>
      <c r="B214" s="120" t="s">
        <v>1302</v>
      </c>
      <c r="C214" s="108" t="str">
        <f t="shared" si="57"/>
        <v>/Applications/Stellarium.app/Contents/Resources/nebulae/default/n6744.png</v>
      </c>
      <c r="D214" s="121" t="s">
        <v>1646</v>
      </c>
      <c r="E214" s="109"/>
      <c r="F214" s="122">
        <v>19</v>
      </c>
      <c r="G214" s="123">
        <v>11</v>
      </c>
      <c r="H214" s="122">
        <v>-65</v>
      </c>
      <c r="I214" s="124">
        <v>55</v>
      </c>
      <c r="J214" s="112" t="s">
        <v>1046</v>
      </c>
      <c r="K214" s="125">
        <v>14</v>
      </c>
      <c r="L214" s="196"/>
      <c r="M214" s="110">
        <f t="shared" si="58"/>
        <v>-64.083333333333329</v>
      </c>
      <c r="N214" s="111">
        <f t="shared" si="59"/>
        <v>-26.303333333333327</v>
      </c>
      <c r="O214" s="112">
        <f t="shared" si="60"/>
        <v>19.183333333333334</v>
      </c>
      <c r="P214" s="113">
        <f t="shared" ca="1" si="61"/>
        <v>46201.223967999998</v>
      </c>
      <c r="Q214" s="114">
        <f t="shared" ca="1" si="62"/>
        <v>46216.223967999998</v>
      </c>
      <c r="R214" s="114" t="b">
        <f t="shared" ca="1" si="49"/>
        <v>1</v>
      </c>
      <c r="S214" s="115">
        <f t="shared" ca="1" si="50"/>
        <v>15</v>
      </c>
      <c r="T214" s="126">
        <f t="shared" ca="1" si="51"/>
        <v>46231.223967999998</v>
      </c>
      <c r="U214" s="127" t="str">
        <f t="shared" si="48"/>
        <v>S</v>
      </c>
      <c r="V214" s="128">
        <f t="shared" si="63"/>
        <v>-26.303333333333327</v>
      </c>
      <c r="W214" s="129">
        <f t="shared" si="52"/>
        <v>-26.303333333333327</v>
      </c>
      <c r="X214" s="197"/>
      <c r="Y214" s="115">
        <f t="shared" ca="1" si="53"/>
        <v>313</v>
      </c>
      <c r="Z214" s="118">
        <f t="shared" ca="1" si="54"/>
        <v>0.1424657534246575</v>
      </c>
      <c r="AA214" s="116"/>
      <c r="AB214" s="117">
        <f t="shared" si="55"/>
        <v>2.5372458539696567</v>
      </c>
      <c r="AC214" s="118">
        <f t="shared" si="56"/>
        <v>0.18905191058206902</v>
      </c>
      <c r="AE214" s="55"/>
      <c r="AF214" s="72"/>
      <c r="AG214" s="72"/>
      <c r="AH214" s="66"/>
      <c r="AJ214" t="s">
        <v>510</v>
      </c>
    </row>
    <row r="215" spans="1:36" ht="16" hidden="1" thickBot="1" x14ac:dyDescent="0.25">
      <c r="A215" s="119" t="s">
        <v>514</v>
      </c>
      <c r="B215" s="120" t="s">
        <v>1191</v>
      </c>
      <c r="C215" s="108" t="str">
        <f t="shared" si="57"/>
        <v>/Applications/Stellarium.app/Contents/Resources/nebulae/default/n6760.png</v>
      </c>
      <c r="D215" s="121" t="s">
        <v>1647</v>
      </c>
      <c r="E215" s="109"/>
      <c r="F215" s="122">
        <v>19</v>
      </c>
      <c r="G215" s="123">
        <v>11</v>
      </c>
      <c r="H215" s="122">
        <v>0</v>
      </c>
      <c r="I215" s="124">
        <v>58</v>
      </c>
      <c r="J215" s="112" t="s">
        <v>1004</v>
      </c>
      <c r="K215" s="125">
        <v>10.9</v>
      </c>
      <c r="L215" s="196"/>
      <c r="M215" s="110">
        <f t="shared" si="58"/>
        <v>0.96666666666666667</v>
      </c>
      <c r="N215" s="111">
        <f t="shared" si="59"/>
        <v>38.74666666666667</v>
      </c>
      <c r="O215" s="112">
        <f t="shared" si="60"/>
        <v>19.183333333333334</v>
      </c>
      <c r="P215" s="113">
        <f t="shared" ca="1" si="61"/>
        <v>46201.223967999998</v>
      </c>
      <c r="Q215" s="114">
        <f t="shared" ca="1" si="62"/>
        <v>46216.223967999998</v>
      </c>
      <c r="R215" s="114" t="b">
        <f t="shared" ca="1" si="49"/>
        <v>1</v>
      </c>
      <c r="S215" s="115">
        <f t="shared" ca="1" si="50"/>
        <v>15</v>
      </c>
      <c r="T215" s="126">
        <f t="shared" ca="1" si="51"/>
        <v>46231.223967999998</v>
      </c>
      <c r="U215" s="127" t="str">
        <f t="shared" si="48"/>
        <v>S</v>
      </c>
      <c r="V215" s="128">
        <f t="shared" si="63"/>
        <v>38.74666666666667</v>
      </c>
      <c r="W215" s="129">
        <f t="shared" si="52"/>
        <v>38.74666666666667</v>
      </c>
      <c r="X215" s="197"/>
      <c r="Y215" s="115">
        <f t="shared" ca="1" si="53"/>
        <v>313</v>
      </c>
      <c r="Z215" s="118">
        <f t="shared" ca="1" si="54"/>
        <v>0.1424657534246575</v>
      </c>
      <c r="AA215" s="116"/>
      <c r="AB215" s="117">
        <f t="shared" si="55"/>
        <v>2.5372458539696567</v>
      </c>
      <c r="AC215" s="118">
        <f t="shared" si="56"/>
        <v>0.18905191058206902</v>
      </c>
      <c r="AE215" s="55"/>
      <c r="AF215" s="72"/>
      <c r="AG215" s="72"/>
      <c r="AH215" s="66"/>
      <c r="AJ215" t="s">
        <v>514</v>
      </c>
    </row>
    <row r="216" spans="1:36" ht="16" hidden="1" thickBot="1" x14ac:dyDescent="0.25">
      <c r="A216" s="119" t="s">
        <v>613</v>
      </c>
      <c r="B216" s="120" t="s">
        <v>1391</v>
      </c>
      <c r="C216" s="108" t="str">
        <f t="shared" si="57"/>
        <v>/Applications/Stellarium.app/Contents/Resources/nebulae/default/sh2-80.png</v>
      </c>
      <c r="D216" s="121" t="s">
        <v>1648</v>
      </c>
      <c r="E216" s="109"/>
      <c r="F216" s="122">
        <v>19</v>
      </c>
      <c r="G216" s="123">
        <v>11</v>
      </c>
      <c r="H216" s="122">
        <v>16</v>
      </c>
      <c r="I216" s="124">
        <v>48</v>
      </c>
      <c r="J216" s="112" t="s">
        <v>1121</v>
      </c>
      <c r="K216" s="125">
        <v>12.5</v>
      </c>
      <c r="L216" s="196"/>
      <c r="M216" s="110">
        <f t="shared" si="58"/>
        <v>16.8</v>
      </c>
      <c r="N216" s="111">
        <f t="shared" si="59"/>
        <v>54.58</v>
      </c>
      <c r="O216" s="112">
        <f t="shared" si="60"/>
        <v>19.183333333333334</v>
      </c>
      <c r="P216" s="113">
        <f t="shared" ca="1" si="61"/>
        <v>46201.223967999998</v>
      </c>
      <c r="Q216" s="114">
        <f t="shared" ca="1" si="62"/>
        <v>46216.223967999998</v>
      </c>
      <c r="R216" s="114" t="b">
        <f t="shared" ca="1" si="49"/>
        <v>1</v>
      </c>
      <c r="S216" s="115">
        <f t="shared" ca="1" si="50"/>
        <v>15</v>
      </c>
      <c r="T216" s="126">
        <f t="shared" ca="1" si="51"/>
        <v>46231.223967999998</v>
      </c>
      <c r="U216" s="127" t="str">
        <f t="shared" si="48"/>
        <v>S</v>
      </c>
      <c r="V216" s="128">
        <f t="shared" si="63"/>
        <v>54.58</v>
      </c>
      <c r="W216" s="129">
        <f t="shared" si="52"/>
        <v>54.58</v>
      </c>
      <c r="X216" s="197"/>
      <c r="Y216" s="115">
        <f t="shared" ca="1" si="53"/>
        <v>313</v>
      </c>
      <c r="Z216" s="118">
        <f t="shared" ca="1" si="54"/>
        <v>0.1424657534246575</v>
      </c>
      <c r="AA216" s="116"/>
      <c r="AB216" s="117">
        <f t="shared" si="55"/>
        <v>2.5372458539696567</v>
      </c>
      <c r="AC216" s="118">
        <f t="shared" si="56"/>
        <v>0.18905191058206902</v>
      </c>
      <c r="AE216" s="55"/>
      <c r="AF216" s="72"/>
      <c r="AG216" s="72"/>
      <c r="AH216" s="66"/>
      <c r="AJ216" t="s">
        <v>613</v>
      </c>
    </row>
    <row r="217" spans="1:36" ht="16" hidden="1" thickBot="1" x14ac:dyDescent="0.25">
      <c r="A217" s="119" t="s">
        <v>513</v>
      </c>
      <c r="B217" s="120" t="s">
        <v>1191</v>
      </c>
      <c r="C217" s="108" t="str">
        <f t="shared" si="57"/>
        <v>/Applications/Stellarium.app/Contents/Resources/nebulae/default/n6752.png</v>
      </c>
      <c r="D217" s="121" t="s">
        <v>1649</v>
      </c>
      <c r="E217" s="109"/>
      <c r="F217" s="122">
        <v>19</v>
      </c>
      <c r="G217" s="123">
        <v>13</v>
      </c>
      <c r="H217" s="122">
        <v>-61</v>
      </c>
      <c r="I217" s="124">
        <v>45</v>
      </c>
      <c r="J217" s="112" t="s">
        <v>1048</v>
      </c>
      <c r="K217" s="125">
        <v>12.8</v>
      </c>
      <c r="L217" s="196"/>
      <c r="M217" s="110">
        <f t="shared" si="58"/>
        <v>-60.25</v>
      </c>
      <c r="N217" s="111">
        <f t="shared" si="59"/>
        <v>-22.47</v>
      </c>
      <c r="O217" s="112">
        <f t="shared" si="60"/>
        <v>19.216666666666665</v>
      </c>
      <c r="P217" s="113">
        <f t="shared" ca="1" si="61"/>
        <v>46201.731247999996</v>
      </c>
      <c r="Q217" s="114">
        <f t="shared" ca="1" si="62"/>
        <v>46216.731247999996</v>
      </c>
      <c r="R217" s="114" t="b">
        <f t="shared" ca="1" si="49"/>
        <v>1</v>
      </c>
      <c r="S217" s="115">
        <f t="shared" ca="1" si="50"/>
        <v>15</v>
      </c>
      <c r="T217" s="126">
        <f t="shared" ca="1" si="51"/>
        <v>46231.731247999996</v>
      </c>
      <c r="U217" s="127" t="str">
        <f t="shared" si="48"/>
        <v>S</v>
      </c>
      <c r="V217" s="128">
        <f t="shared" si="63"/>
        <v>-22.47</v>
      </c>
      <c r="W217" s="129">
        <f t="shared" si="52"/>
        <v>-22.47</v>
      </c>
      <c r="X217" s="197"/>
      <c r="Y217" s="115">
        <f t="shared" ca="1" si="53"/>
        <v>312</v>
      </c>
      <c r="Z217" s="118">
        <f t="shared" ca="1" si="54"/>
        <v>0.14520547945205475</v>
      </c>
      <c r="AA217" s="116"/>
      <c r="AB217" s="117">
        <f t="shared" si="55"/>
        <v>2.5704881728473175</v>
      </c>
      <c r="AC217" s="118">
        <f t="shared" si="56"/>
        <v>0.19043700720197157</v>
      </c>
      <c r="AE217" s="55"/>
      <c r="AF217" s="72"/>
      <c r="AG217" s="72"/>
      <c r="AH217" s="66"/>
      <c r="AJ217" t="s">
        <v>513</v>
      </c>
    </row>
    <row r="218" spans="1:36" ht="16" hidden="1" thickBot="1" x14ac:dyDescent="0.25">
      <c r="A218" s="119" t="s">
        <v>145</v>
      </c>
      <c r="B218" s="120" t="s">
        <v>1191</v>
      </c>
      <c r="C218" s="108" t="str">
        <f t="shared" si="57"/>
        <v>/Applications/Stellarium.app/Contents/Resources/nebulae/default/m56.png</v>
      </c>
      <c r="D218" s="121" t="s">
        <v>1650</v>
      </c>
      <c r="E218" s="109"/>
      <c r="F218" s="122">
        <v>19</v>
      </c>
      <c r="G218" s="123">
        <v>16</v>
      </c>
      <c r="H218" s="122">
        <v>30</v>
      </c>
      <c r="I218" s="124">
        <v>7</v>
      </c>
      <c r="J218" s="112" t="s">
        <v>750</v>
      </c>
      <c r="K218" s="125">
        <v>14.4</v>
      </c>
      <c r="L218" s="196"/>
      <c r="M218" s="110">
        <f t="shared" si="58"/>
        <v>30.116666666666667</v>
      </c>
      <c r="N218" s="111">
        <f t="shared" si="59"/>
        <v>67.896666666666675</v>
      </c>
      <c r="O218" s="112">
        <f t="shared" si="60"/>
        <v>19.266666666666666</v>
      </c>
      <c r="P218" s="113">
        <f t="shared" ca="1" si="61"/>
        <v>46202.492167999997</v>
      </c>
      <c r="Q218" s="114">
        <f t="shared" ca="1" si="62"/>
        <v>46217.492167999997</v>
      </c>
      <c r="R218" s="114" t="b">
        <f t="shared" ca="1" si="49"/>
        <v>1</v>
      </c>
      <c r="S218" s="115">
        <f t="shared" ca="1" si="50"/>
        <v>15</v>
      </c>
      <c r="T218" s="126">
        <f t="shared" ca="1" si="51"/>
        <v>46232.492167999997</v>
      </c>
      <c r="U218" s="127" t="str">
        <f t="shared" si="48"/>
        <v>S</v>
      </c>
      <c r="V218" s="128">
        <f t="shared" si="63"/>
        <v>67.896666666666675</v>
      </c>
      <c r="W218" s="129">
        <f t="shared" si="52"/>
        <v>67.896666666666675</v>
      </c>
      <c r="X218" s="197"/>
      <c r="Y218" s="115">
        <f t="shared" ca="1" si="53"/>
        <v>312</v>
      </c>
      <c r="Z218" s="118">
        <f t="shared" ca="1" si="54"/>
        <v>0.14520547945205475</v>
      </c>
      <c r="AA218" s="116"/>
      <c r="AB218" s="117">
        <f t="shared" si="55"/>
        <v>2.6203516511638121</v>
      </c>
      <c r="AC218" s="118">
        <f t="shared" si="56"/>
        <v>0.1925146521318255</v>
      </c>
      <c r="AE218" s="55"/>
      <c r="AF218" s="72"/>
      <c r="AG218" s="72"/>
      <c r="AH218" s="66"/>
      <c r="AJ218" t="s">
        <v>145</v>
      </c>
    </row>
    <row r="219" spans="1:36" ht="16" hidden="1" thickBot="1" x14ac:dyDescent="0.25">
      <c r="A219" s="119" t="s">
        <v>515</v>
      </c>
      <c r="B219" s="120" t="s">
        <v>1302</v>
      </c>
      <c r="C219" s="108" t="str">
        <f t="shared" si="57"/>
        <v>/Applications/Stellarium.app/Contents/Resources/nebulae/default/n6769.png</v>
      </c>
      <c r="D219" s="121" t="s">
        <v>1651</v>
      </c>
      <c r="E219" s="109"/>
      <c r="F219" s="122">
        <v>19</v>
      </c>
      <c r="G219" s="123">
        <v>18</v>
      </c>
      <c r="H219" s="122">
        <v>-61</v>
      </c>
      <c r="I219" s="124">
        <v>26</v>
      </c>
      <c r="J219" s="112" t="s">
        <v>1049</v>
      </c>
      <c r="K219" s="125">
        <v>14.2</v>
      </c>
      <c r="L219" s="196"/>
      <c r="M219" s="110">
        <f t="shared" si="58"/>
        <v>-60.56666666666667</v>
      </c>
      <c r="N219" s="111">
        <f t="shared" si="59"/>
        <v>-22.786666666666669</v>
      </c>
      <c r="O219" s="112">
        <f t="shared" si="60"/>
        <v>19.3</v>
      </c>
      <c r="P219" s="113">
        <f t="shared" ca="1" si="61"/>
        <v>46202.999448000002</v>
      </c>
      <c r="Q219" s="114">
        <f t="shared" ca="1" si="62"/>
        <v>46217.999448000002</v>
      </c>
      <c r="R219" s="114" t="b">
        <f t="shared" ca="1" si="49"/>
        <v>1</v>
      </c>
      <c r="S219" s="115">
        <f t="shared" ca="1" si="50"/>
        <v>15</v>
      </c>
      <c r="T219" s="126">
        <f t="shared" ca="1" si="51"/>
        <v>46232.999448000002</v>
      </c>
      <c r="U219" s="127" t="str">
        <f t="shared" si="48"/>
        <v>S</v>
      </c>
      <c r="V219" s="128">
        <f t="shared" si="63"/>
        <v>-22.786666666666669</v>
      </c>
      <c r="W219" s="129">
        <f t="shared" si="52"/>
        <v>-22.786666666666669</v>
      </c>
      <c r="X219" s="197"/>
      <c r="Y219" s="115">
        <f t="shared" ca="1" si="53"/>
        <v>311</v>
      </c>
      <c r="Z219" s="118">
        <f t="shared" ca="1" si="54"/>
        <v>0.147945205479452</v>
      </c>
      <c r="AA219" s="116"/>
      <c r="AB219" s="117">
        <f t="shared" si="55"/>
        <v>2.6535939700414759</v>
      </c>
      <c r="AC219" s="118">
        <f t="shared" si="56"/>
        <v>0.19389974875172813</v>
      </c>
      <c r="AE219" s="55"/>
      <c r="AF219" s="72"/>
      <c r="AG219" s="72"/>
      <c r="AH219" s="66"/>
      <c r="AJ219" t="s">
        <v>515</v>
      </c>
    </row>
    <row r="220" spans="1:36" ht="16" hidden="1" thickBot="1" x14ac:dyDescent="0.25">
      <c r="A220" s="119" t="s">
        <v>516</v>
      </c>
      <c r="B220" s="120" t="s">
        <v>1327</v>
      </c>
      <c r="C220" s="108" t="str">
        <f t="shared" si="57"/>
        <v>/Applications/Stellarium.app/Contents/Resources/nebulae/default/n6781.png</v>
      </c>
      <c r="D220" s="121" t="s">
        <v>1652</v>
      </c>
      <c r="E220" s="109"/>
      <c r="F220" s="122">
        <v>19</v>
      </c>
      <c r="G220" s="123">
        <v>18</v>
      </c>
      <c r="H220" s="122">
        <v>6</v>
      </c>
      <c r="I220" s="124">
        <v>29</v>
      </c>
      <c r="J220" s="112" t="s">
        <v>1050</v>
      </c>
      <c r="K220" s="125">
        <v>11.8</v>
      </c>
      <c r="L220" s="196"/>
      <c r="M220" s="110">
        <f t="shared" si="58"/>
        <v>6.4833333333333334</v>
      </c>
      <c r="N220" s="111">
        <f t="shared" si="59"/>
        <v>44.263333333333335</v>
      </c>
      <c r="O220" s="112">
        <f t="shared" si="60"/>
        <v>19.3</v>
      </c>
      <c r="P220" s="113">
        <f t="shared" ca="1" si="61"/>
        <v>46202.999448000002</v>
      </c>
      <c r="Q220" s="114">
        <f t="shared" ca="1" si="62"/>
        <v>46217.999448000002</v>
      </c>
      <c r="R220" s="114" t="b">
        <f t="shared" ca="1" si="49"/>
        <v>1</v>
      </c>
      <c r="S220" s="115">
        <f t="shared" ca="1" si="50"/>
        <v>15</v>
      </c>
      <c r="T220" s="126">
        <f t="shared" ca="1" si="51"/>
        <v>46232.999448000002</v>
      </c>
      <c r="U220" s="127" t="str">
        <f t="shared" si="48"/>
        <v>S</v>
      </c>
      <c r="V220" s="128">
        <f t="shared" si="63"/>
        <v>44.263333333333335</v>
      </c>
      <c r="W220" s="129">
        <f t="shared" si="52"/>
        <v>44.263333333333335</v>
      </c>
      <c r="X220" s="197"/>
      <c r="Y220" s="115">
        <f t="shared" ca="1" si="53"/>
        <v>311</v>
      </c>
      <c r="Z220" s="118">
        <f t="shared" ca="1" si="54"/>
        <v>0.147945205479452</v>
      </c>
      <c r="AA220" s="116"/>
      <c r="AB220" s="117">
        <f t="shared" si="55"/>
        <v>2.6535939700414759</v>
      </c>
      <c r="AC220" s="118">
        <f t="shared" si="56"/>
        <v>0.19389974875172813</v>
      </c>
      <c r="AE220" s="55"/>
      <c r="AF220" s="72"/>
      <c r="AG220" s="72"/>
      <c r="AH220" s="66"/>
      <c r="AJ220" t="s">
        <v>516</v>
      </c>
    </row>
    <row r="221" spans="1:36" ht="16" hidden="1" thickBot="1" x14ac:dyDescent="0.25">
      <c r="A221" s="119" t="s">
        <v>658</v>
      </c>
      <c r="B221" s="120" t="s">
        <v>1413</v>
      </c>
      <c r="C221" s="108" t="str">
        <f t="shared" si="57"/>
        <v>/Applications/Stellarium.app/Contents/Resources/nebulae/default/ldn673.png</v>
      </c>
      <c r="D221" s="121" t="s">
        <v>1653</v>
      </c>
      <c r="E221" s="109"/>
      <c r="F221" s="122">
        <v>19</v>
      </c>
      <c r="G221" s="123">
        <v>23</v>
      </c>
      <c r="H221" s="122">
        <v>10</v>
      </c>
      <c r="I221" s="124">
        <v>26</v>
      </c>
      <c r="J221" s="112" t="s">
        <v>740</v>
      </c>
      <c r="K221" s="125">
        <v>14.5</v>
      </c>
      <c r="L221" s="196"/>
      <c r="M221" s="110">
        <f t="shared" si="58"/>
        <v>10.433333333333334</v>
      </c>
      <c r="N221" s="111">
        <f t="shared" si="59"/>
        <v>48.213333333333338</v>
      </c>
      <c r="O221" s="112">
        <f t="shared" si="60"/>
        <v>19.383333333333333</v>
      </c>
      <c r="P221" s="113">
        <f t="shared" ca="1" si="61"/>
        <v>46204.267648000001</v>
      </c>
      <c r="Q221" s="114">
        <f t="shared" ca="1" si="62"/>
        <v>46219.267648000001</v>
      </c>
      <c r="R221" s="114" t="b">
        <f t="shared" ca="1" si="49"/>
        <v>1</v>
      </c>
      <c r="S221" s="115">
        <f t="shared" ca="1" si="50"/>
        <v>15</v>
      </c>
      <c r="T221" s="126">
        <f t="shared" ca="1" si="51"/>
        <v>46234.267648000001</v>
      </c>
      <c r="U221" s="127" t="str">
        <f t="shared" si="48"/>
        <v>S</v>
      </c>
      <c r="V221" s="128">
        <f t="shared" si="63"/>
        <v>48.213333333333338</v>
      </c>
      <c r="W221" s="129">
        <f t="shared" si="52"/>
        <v>48.213333333333338</v>
      </c>
      <c r="X221" s="197"/>
      <c r="Y221" s="115">
        <f t="shared" ca="1" si="53"/>
        <v>310</v>
      </c>
      <c r="Z221" s="118">
        <f t="shared" ca="1" si="54"/>
        <v>0.15068493150684936</v>
      </c>
      <c r="AA221" s="116"/>
      <c r="AB221" s="117">
        <f t="shared" si="55"/>
        <v>2.7366997672356312</v>
      </c>
      <c r="AC221" s="118">
        <f t="shared" si="56"/>
        <v>0.19736249030148464</v>
      </c>
      <c r="AE221" s="55"/>
      <c r="AF221" s="72"/>
      <c r="AG221" s="72"/>
      <c r="AH221" s="66"/>
      <c r="AJ221" t="s">
        <v>658</v>
      </c>
    </row>
    <row r="222" spans="1:36" ht="16" hidden="1" thickBot="1" x14ac:dyDescent="0.25">
      <c r="A222" s="119" t="s">
        <v>614</v>
      </c>
      <c r="B222" s="120" t="s">
        <v>1392</v>
      </c>
      <c r="C222" s="108" t="str">
        <f t="shared" si="57"/>
        <v>/Applications/Stellarium.app/Contents/Resources/nebulae/default/sh2-82.png</v>
      </c>
      <c r="D222" s="121" t="s">
        <v>1654</v>
      </c>
      <c r="E222" s="109"/>
      <c r="F222" s="122">
        <v>19</v>
      </c>
      <c r="G222" s="123">
        <v>30</v>
      </c>
      <c r="H222" s="122">
        <v>18</v>
      </c>
      <c r="I222" s="124">
        <v>9</v>
      </c>
      <c r="J222" s="112" t="s">
        <v>732</v>
      </c>
      <c r="K222" s="125">
        <v>13.2</v>
      </c>
      <c r="L222" s="196"/>
      <c r="M222" s="110">
        <f t="shared" si="58"/>
        <v>18.149999999999999</v>
      </c>
      <c r="N222" s="111">
        <f t="shared" si="59"/>
        <v>55.93</v>
      </c>
      <c r="O222" s="112">
        <f t="shared" si="60"/>
        <v>19.5</v>
      </c>
      <c r="P222" s="113">
        <f t="shared" ca="1" si="61"/>
        <v>46206.043127999998</v>
      </c>
      <c r="Q222" s="114">
        <f t="shared" ca="1" si="62"/>
        <v>46221.043127999998</v>
      </c>
      <c r="R222" s="114" t="b">
        <f t="shared" ca="1" si="49"/>
        <v>1</v>
      </c>
      <c r="S222" s="115">
        <f t="shared" ca="1" si="50"/>
        <v>15</v>
      </c>
      <c r="T222" s="126">
        <f t="shared" ca="1" si="51"/>
        <v>46236.043127999998</v>
      </c>
      <c r="U222" s="127" t="str">
        <f t="shared" si="48"/>
        <v>S</v>
      </c>
      <c r="V222" s="128">
        <f t="shared" si="63"/>
        <v>55.93</v>
      </c>
      <c r="W222" s="129">
        <f t="shared" si="52"/>
        <v>55.93</v>
      </c>
      <c r="X222" s="197"/>
      <c r="Y222" s="115">
        <f t="shared" ca="1" si="53"/>
        <v>308</v>
      </c>
      <c r="Z222" s="118">
        <f t="shared" ca="1" si="54"/>
        <v>0.15616438356164386</v>
      </c>
      <c r="AA222" s="116"/>
      <c r="AB222" s="117">
        <f t="shared" si="55"/>
        <v>2.8530478833074504</v>
      </c>
      <c r="AC222" s="118">
        <f t="shared" si="56"/>
        <v>0.20221032847114376</v>
      </c>
      <c r="AE222" s="55"/>
      <c r="AF222" s="72"/>
      <c r="AG222" s="72"/>
      <c r="AH222" s="66"/>
      <c r="AJ222" t="s">
        <v>614</v>
      </c>
    </row>
    <row r="223" spans="1:36" ht="16" hidden="1" thickBot="1" x14ac:dyDescent="0.25">
      <c r="A223" s="119" t="s">
        <v>144</v>
      </c>
      <c r="B223" s="120" t="s">
        <v>1228</v>
      </c>
      <c r="C223" s="108" t="str">
        <f t="shared" si="57"/>
        <v>/Applications/Stellarium.app/Contents/Resources/nebulae/default/m55.png</v>
      </c>
      <c r="D223" s="121" t="s">
        <v>1655</v>
      </c>
      <c r="E223" s="109"/>
      <c r="F223" s="122">
        <v>19</v>
      </c>
      <c r="G223" s="123">
        <v>40</v>
      </c>
      <c r="H223" s="122">
        <v>-32</v>
      </c>
      <c r="I223" s="124">
        <v>51</v>
      </c>
      <c r="J223" s="112" t="s">
        <v>749</v>
      </c>
      <c r="K223" s="125">
        <v>13.9</v>
      </c>
      <c r="L223" s="196"/>
      <c r="M223" s="110">
        <f t="shared" si="58"/>
        <v>-31.15</v>
      </c>
      <c r="N223" s="111">
        <f t="shared" si="59"/>
        <v>6.6300000000000026</v>
      </c>
      <c r="O223" s="112">
        <f t="shared" si="60"/>
        <v>19.666666666666668</v>
      </c>
      <c r="P223" s="113">
        <f t="shared" ca="1" si="61"/>
        <v>46208.579528000002</v>
      </c>
      <c r="Q223" s="114">
        <f t="shared" ca="1" si="62"/>
        <v>46223.579528000002</v>
      </c>
      <c r="R223" s="114" t="b">
        <f t="shared" ca="1" si="49"/>
        <v>1</v>
      </c>
      <c r="S223" s="115">
        <f t="shared" ca="1" si="50"/>
        <v>15</v>
      </c>
      <c r="T223" s="126">
        <f t="shared" ca="1" si="51"/>
        <v>46238.579528000002</v>
      </c>
      <c r="U223" s="127" t="str">
        <f t="shared" si="48"/>
        <v>S</v>
      </c>
      <c r="V223" s="128">
        <f t="shared" si="63"/>
        <v>6.6300000000000026</v>
      </c>
      <c r="W223" s="129">
        <f t="shared" si="52"/>
        <v>6.6300000000000026</v>
      </c>
      <c r="X223" s="197"/>
      <c r="Y223" s="115">
        <f t="shared" ca="1" si="53"/>
        <v>305</v>
      </c>
      <c r="Z223" s="118">
        <f t="shared" ca="1" si="54"/>
        <v>0.16438356164383561</v>
      </c>
      <c r="AA223" s="116"/>
      <c r="AB223" s="117">
        <f t="shared" si="55"/>
        <v>3.0192594776957642</v>
      </c>
      <c r="AC223" s="118">
        <f t="shared" si="56"/>
        <v>0.20913581157065683</v>
      </c>
      <c r="AE223" s="55"/>
      <c r="AF223" s="72"/>
      <c r="AG223" s="72"/>
      <c r="AH223" s="66"/>
      <c r="AJ223" t="s">
        <v>144</v>
      </c>
    </row>
    <row r="224" spans="1:36" ht="16" hidden="1" thickBot="1" x14ac:dyDescent="0.25">
      <c r="A224" s="119" t="s">
        <v>615</v>
      </c>
      <c r="B224" s="120" t="s">
        <v>1369</v>
      </c>
      <c r="C224" s="108" t="str">
        <f t="shared" si="57"/>
        <v>/Applications/Stellarium.app/Contents/Resources/nebulae/default/sh2-91.png</v>
      </c>
      <c r="D224" s="121" t="s">
        <v>1656</v>
      </c>
      <c r="E224" s="109"/>
      <c r="F224" s="122">
        <v>19</v>
      </c>
      <c r="G224" s="123">
        <v>41</v>
      </c>
      <c r="H224" s="122">
        <v>28</v>
      </c>
      <c r="I224" s="124">
        <v>48</v>
      </c>
      <c r="J224" s="112" t="s">
        <v>1122</v>
      </c>
      <c r="K224" s="125">
        <v>14.2</v>
      </c>
      <c r="L224" s="196"/>
      <c r="M224" s="110">
        <f t="shared" si="58"/>
        <v>28.8</v>
      </c>
      <c r="N224" s="111">
        <f t="shared" si="59"/>
        <v>66.58</v>
      </c>
      <c r="O224" s="112">
        <f t="shared" si="60"/>
        <v>19.683333333333334</v>
      </c>
      <c r="P224" s="113">
        <f t="shared" ca="1" si="61"/>
        <v>46208.833167999997</v>
      </c>
      <c r="Q224" s="114">
        <f t="shared" ca="1" si="62"/>
        <v>46223.833167999997</v>
      </c>
      <c r="R224" s="114" t="b">
        <f t="shared" ca="1" si="49"/>
        <v>1</v>
      </c>
      <c r="S224" s="115">
        <f t="shared" ca="1" si="50"/>
        <v>15</v>
      </c>
      <c r="T224" s="126">
        <f t="shared" ca="1" si="51"/>
        <v>46238.833167999997</v>
      </c>
      <c r="U224" s="127" t="str">
        <f t="shared" si="48"/>
        <v>S</v>
      </c>
      <c r="V224" s="128">
        <f t="shared" si="63"/>
        <v>66.58</v>
      </c>
      <c r="W224" s="129">
        <f t="shared" si="52"/>
        <v>66.58</v>
      </c>
      <c r="X224" s="197"/>
      <c r="Y224" s="115">
        <f t="shared" ca="1" si="53"/>
        <v>305</v>
      </c>
      <c r="Z224" s="118">
        <f t="shared" ca="1" si="54"/>
        <v>0.16438356164383561</v>
      </c>
      <c r="AA224" s="116"/>
      <c r="AB224" s="117">
        <f t="shared" si="55"/>
        <v>3.0358806371345946</v>
      </c>
      <c r="AC224" s="118">
        <f t="shared" si="56"/>
        <v>0.20982835988060811</v>
      </c>
      <c r="AE224" s="55"/>
      <c r="AF224" s="72"/>
      <c r="AG224" s="72"/>
      <c r="AH224" s="66"/>
      <c r="AJ224" t="s">
        <v>615</v>
      </c>
    </row>
    <row r="225" spans="1:36" ht="16" hidden="1" thickBot="1" x14ac:dyDescent="0.25">
      <c r="A225" s="119" t="s">
        <v>517</v>
      </c>
      <c r="B225" s="120" t="s">
        <v>1328</v>
      </c>
      <c r="C225" s="108" t="str">
        <f t="shared" si="57"/>
        <v>/Applications/Stellarium.app/Contents/Resources/nebulae/default/n6818.png</v>
      </c>
      <c r="D225" s="121" t="s">
        <v>1657</v>
      </c>
      <c r="E225" s="109"/>
      <c r="F225" s="122">
        <v>19</v>
      </c>
      <c r="G225" s="123">
        <v>44</v>
      </c>
      <c r="H225" s="122">
        <v>-15</v>
      </c>
      <c r="I225" s="124">
        <v>50</v>
      </c>
      <c r="J225" s="112" t="s">
        <v>1051</v>
      </c>
      <c r="K225" s="125">
        <v>12.8</v>
      </c>
      <c r="L225" s="196"/>
      <c r="M225" s="110">
        <f t="shared" si="58"/>
        <v>-14.166666666666666</v>
      </c>
      <c r="N225" s="111">
        <f t="shared" si="59"/>
        <v>23.613333333333337</v>
      </c>
      <c r="O225" s="112">
        <f t="shared" si="60"/>
        <v>19.733333333333334</v>
      </c>
      <c r="P225" s="113">
        <f t="shared" ca="1" si="61"/>
        <v>46209.594087999998</v>
      </c>
      <c r="Q225" s="114">
        <f t="shared" ca="1" si="62"/>
        <v>46224.594087999998</v>
      </c>
      <c r="R225" s="114" t="b">
        <f t="shared" ca="1" si="49"/>
        <v>1</v>
      </c>
      <c r="S225" s="115">
        <f t="shared" ca="1" si="50"/>
        <v>15</v>
      </c>
      <c r="T225" s="126">
        <f t="shared" ca="1" si="51"/>
        <v>46239.594087999998</v>
      </c>
      <c r="U225" s="127" t="str">
        <f t="shared" si="48"/>
        <v>S</v>
      </c>
      <c r="V225" s="128">
        <f t="shared" si="63"/>
        <v>23.613333333333337</v>
      </c>
      <c r="W225" s="129">
        <f t="shared" si="52"/>
        <v>23.613333333333337</v>
      </c>
      <c r="X225" s="197"/>
      <c r="Y225" s="115">
        <f t="shared" ca="1" si="53"/>
        <v>304</v>
      </c>
      <c r="Z225" s="118">
        <f t="shared" ca="1" si="54"/>
        <v>0.16712328767123286</v>
      </c>
      <c r="AA225" s="116"/>
      <c r="AB225" s="117">
        <f t="shared" si="55"/>
        <v>3.0857441154510887</v>
      </c>
      <c r="AC225" s="118">
        <f t="shared" si="56"/>
        <v>0.21190600481046204</v>
      </c>
      <c r="AE225" s="55"/>
      <c r="AF225" s="72"/>
      <c r="AG225" s="72"/>
      <c r="AH225" s="66"/>
      <c r="AJ225" t="s">
        <v>517</v>
      </c>
    </row>
    <row r="226" spans="1:36" ht="16" hidden="1" thickBot="1" x14ac:dyDescent="0.25">
      <c r="A226" s="119" t="s">
        <v>519</v>
      </c>
      <c r="B226" s="120" t="s">
        <v>1207</v>
      </c>
      <c r="C226" s="108" t="str">
        <f t="shared" si="57"/>
        <v>/Applications/Stellarium.app/Contents/Resources/nebulae/default/n6823.png</v>
      </c>
      <c r="D226" s="121" t="s">
        <v>1658</v>
      </c>
      <c r="E226" s="109"/>
      <c r="F226" s="122">
        <v>19</v>
      </c>
      <c r="G226" s="123">
        <v>44</v>
      </c>
      <c r="H226" s="122">
        <v>22</v>
      </c>
      <c r="I226" s="124">
        <v>57</v>
      </c>
      <c r="J226" s="112" t="s">
        <v>917</v>
      </c>
      <c r="K226" s="125">
        <v>13.2</v>
      </c>
      <c r="L226" s="196"/>
      <c r="M226" s="110">
        <f t="shared" si="58"/>
        <v>22.95</v>
      </c>
      <c r="N226" s="111">
        <f t="shared" si="59"/>
        <v>60.730000000000004</v>
      </c>
      <c r="O226" s="112">
        <f t="shared" si="60"/>
        <v>19.733333333333334</v>
      </c>
      <c r="P226" s="113">
        <f t="shared" ca="1" si="61"/>
        <v>46209.594087999998</v>
      </c>
      <c r="Q226" s="114">
        <f t="shared" ca="1" si="62"/>
        <v>46224.594087999998</v>
      </c>
      <c r="R226" s="114" t="b">
        <f t="shared" ca="1" si="49"/>
        <v>1</v>
      </c>
      <c r="S226" s="115">
        <f t="shared" ca="1" si="50"/>
        <v>15</v>
      </c>
      <c r="T226" s="126">
        <f t="shared" ca="1" si="51"/>
        <v>46239.594087999998</v>
      </c>
      <c r="U226" s="127" t="str">
        <f t="shared" si="48"/>
        <v>S</v>
      </c>
      <c r="V226" s="128">
        <f t="shared" si="63"/>
        <v>60.730000000000004</v>
      </c>
      <c r="W226" s="129">
        <f t="shared" si="52"/>
        <v>60.730000000000004</v>
      </c>
      <c r="X226" s="197"/>
      <c r="Y226" s="115">
        <f t="shared" ca="1" si="53"/>
        <v>304</v>
      </c>
      <c r="Z226" s="118">
        <f t="shared" ca="1" si="54"/>
        <v>0.16712328767123286</v>
      </c>
      <c r="AA226" s="116"/>
      <c r="AB226" s="117">
        <f t="shared" si="55"/>
        <v>3.0857441154510887</v>
      </c>
      <c r="AC226" s="118">
        <f t="shared" si="56"/>
        <v>0.21190600481046204</v>
      </c>
      <c r="AE226" s="55"/>
      <c r="AF226" s="72"/>
      <c r="AG226" s="72"/>
      <c r="AH226" s="66"/>
      <c r="AJ226" t="s">
        <v>519</v>
      </c>
    </row>
    <row r="227" spans="1:36" ht="16" hidden="1" thickBot="1" x14ac:dyDescent="0.25">
      <c r="A227" s="119" t="s">
        <v>520</v>
      </c>
      <c r="B227" s="120" t="s">
        <v>1330</v>
      </c>
      <c r="C227" s="108" t="str">
        <f t="shared" si="57"/>
        <v>/Applications/Stellarium.app/Contents/Resources/nebulae/default/n6826.png</v>
      </c>
      <c r="D227" s="121" t="s">
        <v>1659</v>
      </c>
      <c r="E227" s="109"/>
      <c r="F227" s="122">
        <v>19</v>
      </c>
      <c r="G227" s="123">
        <v>44</v>
      </c>
      <c r="H227" s="122">
        <v>50</v>
      </c>
      <c r="I227" s="124">
        <v>31</v>
      </c>
      <c r="J227" s="112" t="s">
        <v>1053</v>
      </c>
      <c r="K227" s="125">
        <v>8</v>
      </c>
      <c r="L227" s="196"/>
      <c r="M227" s="110">
        <f t="shared" si="58"/>
        <v>50.516666666666666</v>
      </c>
      <c r="N227" s="111">
        <f t="shared" si="59"/>
        <v>88.296666666666667</v>
      </c>
      <c r="O227" s="112">
        <f t="shared" si="60"/>
        <v>19.733333333333334</v>
      </c>
      <c r="P227" s="113">
        <f t="shared" ca="1" si="61"/>
        <v>46209.594087999998</v>
      </c>
      <c r="Q227" s="114">
        <f t="shared" ca="1" si="62"/>
        <v>46224.594087999998</v>
      </c>
      <c r="R227" s="114" t="b">
        <f t="shared" ca="1" si="49"/>
        <v>1</v>
      </c>
      <c r="S227" s="115">
        <f t="shared" ca="1" si="50"/>
        <v>15</v>
      </c>
      <c r="T227" s="126">
        <f t="shared" ca="1" si="51"/>
        <v>46239.594087999998</v>
      </c>
      <c r="U227" s="127" t="str">
        <f t="shared" si="48"/>
        <v>S</v>
      </c>
      <c r="V227" s="128">
        <f t="shared" si="63"/>
        <v>88.296666666666667</v>
      </c>
      <c r="W227" s="129">
        <f t="shared" si="52"/>
        <v>88.296666666666667</v>
      </c>
      <c r="X227" s="197"/>
      <c r="Y227" s="115">
        <f t="shared" ca="1" si="53"/>
        <v>304</v>
      </c>
      <c r="Z227" s="118">
        <f t="shared" ca="1" si="54"/>
        <v>0.16712328767123286</v>
      </c>
      <c r="AA227" s="116"/>
      <c r="AB227" s="117">
        <f t="shared" si="55"/>
        <v>3.0857441154510887</v>
      </c>
      <c r="AC227" s="118">
        <f t="shared" si="56"/>
        <v>0.21190600481046204</v>
      </c>
      <c r="AE227" s="55"/>
      <c r="AF227" s="72"/>
      <c r="AG227" s="72"/>
      <c r="AH227" s="66"/>
      <c r="AJ227" t="s">
        <v>520</v>
      </c>
    </row>
    <row r="228" spans="1:36" ht="16" hidden="1" thickBot="1" x14ac:dyDescent="0.25">
      <c r="A228" s="119" t="s">
        <v>605</v>
      </c>
      <c r="B228" s="120" t="s">
        <v>1387</v>
      </c>
      <c r="C228" s="108" t="str">
        <f t="shared" si="57"/>
        <v>/Applications/Stellarium.app/Contents/Resources/nebulae/default/barnard142-vasey.png</v>
      </c>
      <c r="D228" s="121" t="s">
        <v>1660</v>
      </c>
      <c r="E228" s="109"/>
      <c r="F228" s="122">
        <v>19</v>
      </c>
      <c r="G228" s="123">
        <v>44</v>
      </c>
      <c r="H228" s="122">
        <v>10</v>
      </c>
      <c r="I228" s="124">
        <v>4</v>
      </c>
      <c r="J228" s="112" t="s">
        <v>1116</v>
      </c>
      <c r="K228" s="125">
        <v>13.4</v>
      </c>
      <c r="L228" s="196"/>
      <c r="M228" s="110">
        <f t="shared" si="58"/>
        <v>10.066666666666666</v>
      </c>
      <c r="N228" s="111">
        <f t="shared" si="59"/>
        <v>47.846666666666664</v>
      </c>
      <c r="O228" s="112">
        <f t="shared" si="60"/>
        <v>19.733333333333334</v>
      </c>
      <c r="P228" s="113">
        <f t="shared" ca="1" si="61"/>
        <v>46209.594087999998</v>
      </c>
      <c r="Q228" s="114">
        <f t="shared" ca="1" si="62"/>
        <v>46224.594087999998</v>
      </c>
      <c r="R228" s="114" t="b">
        <f t="shared" ca="1" si="49"/>
        <v>1</v>
      </c>
      <c r="S228" s="115">
        <f t="shared" ca="1" si="50"/>
        <v>15</v>
      </c>
      <c r="T228" s="126">
        <f t="shared" ca="1" si="51"/>
        <v>46239.594087999998</v>
      </c>
      <c r="U228" s="127" t="str">
        <f t="shared" si="48"/>
        <v>S</v>
      </c>
      <c r="V228" s="128">
        <f t="shared" si="63"/>
        <v>47.846666666666664</v>
      </c>
      <c r="W228" s="129">
        <f t="shared" si="52"/>
        <v>47.846666666666664</v>
      </c>
      <c r="X228" s="197"/>
      <c r="Y228" s="115">
        <f t="shared" ca="1" si="53"/>
        <v>304</v>
      </c>
      <c r="Z228" s="118">
        <f t="shared" ca="1" si="54"/>
        <v>0.16712328767123286</v>
      </c>
      <c r="AA228" s="116"/>
      <c r="AB228" s="117">
        <f t="shared" si="55"/>
        <v>3.0857441154510887</v>
      </c>
      <c r="AC228" s="118">
        <f t="shared" si="56"/>
        <v>0.21190600481046204</v>
      </c>
      <c r="AE228" s="55"/>
      <c r="AF228" s="72"/>
      <c r="AG228" s="72"/>
      <c r="AH228" s="66"/>
      <c r="AJ228" t="s">
        <v>605</v>
      </c>
    </row>
    <row r="229" spans="1:36" ht="16" hidden="1" thickBot="1" x14ac:dyDescent="0.25">
      <c r="A229" s="119" t="s">
        <v>708</v>
      </c>
      <c r="B229" s="120" t="s">
        <v>1437</v>
      </c>
      <c r="C229" s="108" t="str">
        <f t="shared" si="57"/>
        <v>/Applications/Stellarium.app/Contents/Resources/nebulae/default/necklace.png</v>
      </c>
      <c r="D229" s="121" t="s">
        <v>1661</v>
      </c>
      <c r="E229" s="109"/>
      <c r="F229" s="122">
        <v>19</v>
      </c>
      <c r="G229" s="123">
        <v>44</v>
      </c>
      <c r="H229" s="122">
        <v>17</v>
      </c>
      <c r="I229" s="124">
        <v>8</v>
      </c>
      <c r="J229" s="112" t="s">
        <v>1183</v>
      </c>
      <c r="K229" s="125">
        <v>13.4</v>
      </c>
      <c r="L229" s="196"/>
      <c r="M229" s="110">
        <f t="shared" si="58"/>
        <v>17.133333333333333</v>
      </c>
      <c r="N229" s="111">
        <f t="shared" si="59"/>
        <v>54.913333333333334</v>
      </c>
      <c r="O229" s="112">
        <f t="shared" si="60"/>
        <v>19.733333333333334</v>
      </c>
      <c r="P229" s="113">
        <f t="shared" ca="1" si="61"/>
        <v>46209.594087999998</v>
      </c>
      <c r="Q229" s="114">
        <f t="shared" ca="1" si="62"/>
        <v>46224.594087999998</v>
      </c>
      <c r="R229" s="114" t="b">
        <f t="shared" ca="1" si="49"/>
        <v>1</v>
      </c>
      <c r="S229" s="115">
        <f t="shared" ca="1" si="50"/>
        <v>15</v>
      </c>
      <c r="T229" s="126">
        <f t="shared" ca="1" si="51"/>
        <v>46239.594087999998</v>
      </c>
      <c r="U229" s="127" t="str">
        <f t="shared" si="48"/>
        <v>S</v>
      </c>
      <c r="V229" s="128">
        <f t="shared" si="63"/>
        <v>54.913333333333334</v>
      </c>
      <c r="W229" s="129">
        <f t="shared" si="52"/>
        <v>54.913333333333334</v>
      </c>
      <c r="X229" s="197"/>
      <c r="Y229" s="115">
        <f t="shared" ca="1" si="53"/>
        <v>304</v>
      </c>
      <c r="Z229" s="118">
        <f t="shared" ca="1" si="54"/>
        <v>0.16712328767123286</v>
      </c>
      <c r="AA229" s="116"/>
      <c r="AB229" s="117">
        <f t="shared" si="55"/>
        <v>3.0857441154510887</v>
      </c>
      <c r="AC229" s="118">
        <f t="shared" si="56"/>
        <v>0.21190600481046204</v>
      </c>
      <c r="AE229" s="55"/>
      <c r="AF229" s="72"/>
      <c r="AG229" s="72"/>
      <c r="AH229" s="66"/>
      <c r="AJ229" t="s">
        <v>708</v>
      </c>
    </row>
    <row r="230" spans="1:36" ht="16" hidden="1" thickBot="1" x14ac:dyDescent="0.25">
      <c r="A230" s="119" t="s">
        <v>518</v>
      </c>
      <c r="B230" s="120" t="s">
        <v>1329</v>
      </c>
      <c r="C230" s="108" t="str">
        <f t="shared" si="57"/>
        <v>/Applications/Stellarium.app/Contents/Resources/nebulae/default/n6822.png</v>
      </c>
      <c r="D230" s="121" t="s">
        <v>1662</v>
      </c>
      <c r="E230" s="109"/>
      <c r="F230" s="122">
        <v>19</v>
      </c>
      <c r="G230" s="123">
        <v>45</v>
      </c>
      <c r="H230" s="122">
        <v>-15</v>
      </c>
      <c r="I230" s="124">
        <v>0</v>
      </c>
      <c r="J230" s="112" t="s">
        <v>1052</v>
      </c>
      <c r="K230" s="125">
        <v>14.6</v>
      </c>
      <c r="L230" s="196"/>
      <c r="M230" s="110">
        <f t="shared" si="58"/>
        <v>-15</v>
      </c>
      <c r="N230" s="111">
        <f t="shared" si="59"/>
        <v>22.78</v>
      </c>
      <c r="O230" s="112">
        <f t="shared" si="60"/>
        <v>19.75</v>
      </c>
      <c r="P230" s="113">
        <f t="shared" ca="1" si="61"/>
        <v>46209.847728000001</v>
      </c>
      <c r="Q230" s="114">
        <f t="shared" ca="1" si="62"/>
        <v>46224.847728000001</v>
      </c>
      <c r="R230" s="114" t="b">
        <f t="shared" ca="1" si="49"/>
        <v>1</v>
      </c>
      <c r="S230" s="115">
        <f t="shared" ca="1" si="50"/>
        <v>15</v>
      </c>
      <c r="T230" s="126">
        <f t="shared" ca="1" si="51"/>
        <v>46239.847728000001</v>
      </c>
      <c r="U230" s="127" t="str">
        <f t="shared" si="48"/>
        <v>S</v>
      </c>
      <c r="V230" s="128">
        <f t="shared" si="63"/>
        <v>22.78</v>
      </c>
      <c r="W230" s="129">
        <f t="shared" si="52"/>
        <v>22.78</v>
      </c>
      <c r="X230" s="197"/>
      <c r="Y230" s="115">
        <f t="shared" ca="1" si="53"/>
        <v>304</v>
      </c>
      <c r="Z230" s="118">
        <f t="shared" ca="1" si="54"/>
        <v>0.16712328767123286</v>
      </c>
      <c r="AA230" s="116"/>
      <c r="AB230" s="117">
        <f t="shared" si="55"/>
        <v>3.1023652748899191</v>
      </c>
      <c r="AC230" s="118">
        <f t="shared" si="56"/>
        <v>0.21259855312041331</v>
      </c>
      <c r="AE230" s="55"/>
      <c r="AF230" s="72"/>
      <c r="AG230" s="72"/>
      <c r="AH230" s="66"/>
      <c r="AJ230" t="s">
        <v>518</v>
      </c>
    </row>
    <row r="231" spans="1:36" ht="16" hidden="1" thickBot="1" x14ac:dyDescent="0.25">
      <c r="A231" s="119" t="s">
        <v>160</v>
      </c>
      <c r="B231" s="120" t="s">
        <v>1237</v>
      </c>
      <c r="C231" s="108" t="str">
        <f t="shared" si="57"/>
        <v>/Applications/Stellarium.app/Contents/Resources/nebulae/default/m71.png</v>
      </c>
      <c r="D231" s="121" t="s">
        <v>1663</v>
      </c>
      <c r="E231" s="109"/>
      <c r="F231" s="122">
        <v>19</v>
      </c>
      <c r="G231" s="123">
        <v>54</v>
      </c>
      <c r="H231" s="122">
        <v>18</v>
      </c>
      <c r="I231" s="124">
        <v>41</v>
      </c>
      <c r="J231" s="112" t="s">
        <v>732</v>
      </c>
      <c r="K231" s="125">
        <v>13.9</v>
      </c>
      <c r="L231" s="196"/>
      <c r="M231" s="110">
        <f t="shared" si="58"/>
        <v>18.683333333333334</v>
      </c>
      <c r="N231" s="111">
        <f t="shared" si="59"/>
        <v>56.463333333333338</v>
      </c>
      <c r="O231" s="112">
        <f t="shared" si="60"/>
        <v>19.899999999999999</v>
      </c>
      <c r="P231" s="113">
        <f t="shared" ca="1" si="61"/>
        <v>46212.130488000003</v>
      </c>
      <c r="Q231" s="114">
        <f t="shared" ca="1" si="62"/>
        <v>46227.130488000003</v>
      </c>
      <c r="R231" s="114" t="b">
        <f t="shared" ca="1" si="49"/>
        <v>1</v>
      </c>
      <c r="S231" s="115">
        <f t="shared" ca="1" si="50"/>
        <v>15</v>
      </c>
      <c r="T231" s="126">
        <f t="shared" ca="1" si="51"/>
        <v>46242.130488000003</v>
      </c>
      <c r="U231" s="127" t="str">
        <f t="shared" si="48"/>
        <v>S</v>
      </c>
      <c r="V231" s="128">
        <f t="shared" si="63"/>
        <v>56.463333333333338</v>
      </c>
      <c r="W231" s="129">
        <f t="shared" si="52"/>
        <v>56.463333333333338</v>
      </c>
      <c r="X231" s="197"/>
      <c r="Y231" s="115">
        <f t="shared" ca="1" si="53"/>
        <v>302</v>
      </c>
      <c r="Z231" s="118">
        <f t="shared" ca="1" si="54"/>
        <v>0.17260273972602735</v>
      </c>
      <c r="AA231" s="116"/>
      <c r="AB231" s="117">
        <f t="shared" si="55"/>
        <v>3.251955709839399</v>
      </c>
      <c r="AC231" s="118">
        <f t="shared" si="56"/>
        <v>0.21883148790997495</v>
      </c>
      <c r="AE231" s="55"/>
      <c r="AF231" s="72"/>
      <c r="AG231" s="72"/>
      <c r="AH231" s="66"/>
      <c r="AJ231" t="s">
        <v>160</v>
      </c>
    </row>
    <row r="232" spans="1:36" ht="16" hidden="1" thickBot="1" x14ac:dyDescent="0.25">
      <c r="A232" s="119"/>
      <c r="B232" s="120" t="s">
        <v>54</v>
      </c>
      <c r="C232" s="108" t="str">
        <f t="shared" si="57"/>
        <v>/Applications/Stellarium.app/Contents/Resources/nebulae/default/</v>
      </c>
      <c r="D232" s="121"/>
      <c r="E232" s="109"/>
      <c r="F232" s="122">
        <v>19</v>
      </c>
      <c r="G232" s="123">
        <v>59</v>
      </c>
      <c r="H232" s="122">
        <v>35</v>
      </c>
      <c r="I232" s="124">
        <v>16</v>
      </c>
      <c r="J232" s="112" t="s">
        <v>55</v>
      </c>
      <c r="K232" s="125">
        <v>14</v>
      </c>
      <c r="L232" s="196"/>
      <c r="M232" s="110">
        <f t="shared" si="58"/>
        <v>35.266666666666666</v>
      </c>
      <c r="N232" s="111">
        <f t="shared" si="59"/>
        <v>73.046666666666667</v>
      </c>
      <c r="O232" s="112">
        <f t="shared" si="60"/>
        <v>19.983333333333334</v>
      </c>
      <c r="P232" s="113">
        <f t="shared" ca="1" si="61"/>
        <v>46213.398688000001</v>
      </c>
      <c r="Q232" s="114">
        <f t="shared" ca="1" si="62"/>
        <v>46228.398688000001</v>
      </c>
      <c r="R232" s="114" t="b">
        <f t="shared" ca="1" si="49"/>
        <v>1</v>
      </c>
      <c r="S232" s="115">
        <f t="shared" ca="1" si="50"/>
        <v>15</v>
      </c>
      <c r="T232" s="126">
        <f t="shared" ca="1" si="51"/>
        <v>46243.398688000001</v>
      </c>
      <c r="U232" s="127" t="str">
        <f t="shared" si="48"/>
        <v>S</v>
      </c>
      <c r="V232" s="128">
        <f t="shared" si="63"/>
        <v>73.046666666666667</v>
      </c>
      <c r="W232" s="129">
        <f t="shared" si="52"/>
        <v>73.046666666666667</v>
      </c>
      <c r="X232" s="197"/>
      <c r="Y232" s="115">
        <f t="shared" ca="1" si="53"/>
        <v>301</v>
      </c>
      <c r="Z232" s="118">
        <f t="shared" ca="1" si="54"/>
        <v>0.1753424657534246</v>
      </c>
      <c r="AA232" s="116"/>
      <c r="AB232" s="117">
        <f t="shared" si="55"/>
        <v>3.3350615070335574</v>
      </c>
      <c r="AC232" s="118">
        <f t="shared" si="56"/>
        <v>0.22229422945973157</v>
      </c>
      <c r="AE232" s="55" t="s">
        <v>0</v>
      </c>
      <c r="AF232" s="72" t="s">
        <v>47</v>
      </c>
      <c r="AG232" s="72">
        <v>2600</v>
      </c>
      <c r="AH232" s="66" t="s">
        <v>12</v>
      </c>
    </row>
    <row r="233" spans="1:36" ht="16" hidden="1" thickBot="1" x14ac:dyDescent="0.25">
      <c r="A233" s="119"/>
      <c r="B233" s="120" t="s">
        <v>54</v>
      </c>
      <c r="C233" s="108" t="str">
        <f t="shared" si="57"/>
        <v>/Applications/Stellarium.app/Contents/Resources/nebulae/default/</v>
      </c>
      <c r="D233" s="121"/>
      <c r="E233" s="109"/>
      <c r="F233" s="122">
        <v>19</v>
      </c>
      <c r="G233" s="123">
        <v>59</v>
      </c>
      <c r="H233" s="122">
        <v>35</v>
      </c>
      <c r="I233" s="124">
        <v>16</v>
      </c>
      <c r="J233" s="112" t="s">
        <v>55</v>
      </c>
      <c r="K233" s="125">
        <v>14</v>
      </c>
      <c r="L233" s="196"/>
      <c r="M233" s="110">
        <f t="shared" si="58"/>
        <v>35.266666666666666</v>
      </c>
      <c r="N233" s="111">
        <f t="shared" si="59"/>
        <v>73.046666666666667</v>
      </c>
      <c r="O233" s="112">
        <f t="shared" si="60"/>
        <v>19.983333333333334</v>
      </c>
      <c r="P233" s="113">
        <f t="shared" ca="1" si="61"/>
        <v>46213.398688000001</v>
      </c>
      <c r="Q233" s="114">
        <f t="shared" ca="1" si="62"/>
        <v>46228.398688000001</v>
      </c>
      <c r="R233" s="114" t="b">
        <f t="shared" ca="1" si="49"/>
        <v>1</v>
      </c>
      <c r="S233" s="115">
        <f t="shared" ca="1" si="50"/>
        <v>15</v>
      </c>
      <c r="T233" s="126">
        <f t="shared" ca="1" si="51"/>
        <v>46243.398688000001</v>
      </c>
      <c r="U233" s="127" t="str">
        <f t="shared" si="48"/>
        <v>S</v>
      </c>
      <c r="V233" s="128">
        <f t="shared" si="63"/>
        <v>73.046666666666667</v>
      </c>
      <c r="W233" s="129">
        <f t="shared" si="52"/>
        <v>73.046666666666667</v>
      </c>
      <c r="X233" s="197"/>
      <c r="Y233" s="115">
        <f t="shared" ca="1" si="53"/>
        <v>301</v>
      </c>
      <c r="Z233" s="118">
        <f t="shared" ca="1" si="54"/>
        <v>0.1753424657534246</v>
      </c>
      <c r="AA233" s="116"/>
      <c r="AB233" s="117">
        <f t="shared" si="55"/>
        <v>3.3350615070335574</v>
      </c>
      <c r="AC233" s="118">
        <f t="shared" si="56"/>
        <v>0.22229422945973157</v>
      </c>
      <c r="AE233" s="55" t="s">
        <v>8</v>
      </c>
      <c r="AF233" s="72" t="s">
        <v>47</v>
      </c>
      <c r="AG233" s="72">
        <v>2600</v>
      </c>
      <c r="AH233" s="66" t="s">
        <v>43</v>
      </c>
    </row>
    <row r="234" spans="1:36" ht="16" hidden="1" thickBot="1" x14ac:dyDescent="0.25">
      <c r="A234" s="119" t="s">
        <v>119</v>
      </c>
      <c r="B234" s="120" t="s">
        <v>1209</v>
      </c>
      <c r="C234" s="108" t="str">
        <f t="shared" si="57"/>
        <v>/Applications/Stellarium.app/Contents/Resources/nebulae/default/m27dumont.png</v>
      </c>
      <c r="D234" s="121" t="s">
        <v>1664</v>
      </c>
      <c r="E234" s="109"/>
      <c r="F234" s="122">
        <v>-5</v>
      </c>
      <c r="G234" s="123">
        <v>59</v>
      </c>
      <c r="H234" s="122">
        <v>22</v>
      </c>
      <c r="I234" s="124">
        <v>39</v>
      </c>
      <c r="J234" s="112" t="s">
        <v>737</v>
      </c>
      <c r="K234" s="125">
        <v>13.5</v>
      </c>
      <c r="L234" s="196"/>
      <c r="M234" s="110">
        <f t="shared" si="58"/>
        <v>22.65</v>
      </c>
      <c r="N234" s="111">
        <f t="shared" si="59"/>
        <v>60.43</v>
      </c>
      <c r="O234" s="112">
        <f t="shared" si="60"/>
        <v>-4.0166666666666666</v>
      </c>
      <c r="P234" s="113">
        <f t="shared" ca="1" si="61"/>
        <v>46213.398688000001</v>
      </c>
      <c r="Q234" s="114">
        <f t="shared" ca="1" si="62"/>
        <v>46228.398688000001</v>
      </c>
      <c r="R234" s="114" t="b">
        <f t="shared" ca="1" si="49"/>
        <v>1</v>
      </c>
      <c r="S234" s="115">
        <f t="shared" ca="1" si="50"/>
        <v>15</v>
      </c>
      <c r="T234" s="126">
        <f t="shared" ca="1" si="51"/>
        <v>46243.398688000001</v>
      </c>
      <c r="U234" s="127" t="str">
        <f t="shared" si="48"/>
        <v>S</v>
      </c>
      <c r="V234" s="128">
        <f t="shared" si="63"/>
        <v>60.43</v>
      </c>
      <c r="W234" s="129">
        <f t="shared" si="52"/>
        <v>60.43</v>
      </c>
      <c r="X234" s="197"/>
      <c r="Y234" s="115">
        <f t="shared" ca="1" si="53"/>
        <v>301</v>
      </c>
      <c r="Z234" s="118">
        <f t="shared" ca="1" si="54"/>
        <v>0.1753424657534246</v>
      </c>
      <c r="AA234" s="116"/>
      <c r="AB234" s="117">
        <f t="shared" si="55"/>
        <v>3.3350615070335574</v>
      </c>
      <c r="AC234" s="118">
        <f t="shared" si="56"/>
        <v>0.22229422945973157</v>
      </c>
      <c r="AE234" s="55"/>
      <c r="AF234" s="72"/>
      <c r="AG234" s="72"/>
      <c r="AH234" s="66"/>
      <c r="AJ234" t="s">
        <v>119</v>
      </c>
    </row>
    <row r="235" spans="1:36" ht="16" hidden="1" thickBot="1" x14ac:dyDescent="0.25">
      <c r="A235" s="119" t="s">
        <v>49</v>
      </c>
      <c r="B235" s="120" t="s">
        <v>1393</v>
      </c>
      <c r="C235" s="108" t="str">
        <f t="shared" si="57"/>
        <v>/Applications/Stellarium.app/Contents/Resources/nebulae/default/sh2-101-vasey.png</v>
      </c>
      <c r="D235" s="121" t="s">
        <v>1665</v>
      </c>
      <c r="E235" s="109"/>
      <c r="F235" s="122">
        <v>20</v>
      </c>
      <c r="G235" s="123">
        <v>1</v>
      </c>
      <c r="H235" s="122">
        <v>34</v>
      </c>
      <c r="I235" s="124">
        <v>59</v>
      </c>
      <c r="J235" s="112" t="s">
        <v>1123</v>
      </c>
      <c r="K235" s="125">
        <v>12.7</v>
      </c>
      <c r="L235" s="196"/>
      <c r="M235" s="110">
        <f t="shared" si="58"/>
        <v>34.983333333333334</v>
      </c>
      <c r="N235" s="111">
        <f t="shared" si="59"/>
        <v>72.763333333333335</v>
      </c>
      <c r="O235" s="112">
        <f t="shared" si="60"/>
        <v>20.016666666666666</v>
      </c>
      <c r="P235" s="113">
        <f t="shared" ca="1" si="61"/>
        <v>46213.905967999999</v>
      </c>
      <c r="Q235" s="114">
        <f t="shared" ca="1" si="62"/>
        <v>46228.905967999999</v>
      </c>
      <c r="R235" s="114" t="b">
        <f t="shared" ca="1" si="49"/>
        <v>1</v>
      </c>
      <c r="S235" s="115">
        <f t="shared" ca="1" si="50"/>
        <v>15</v>
      </c>
      <c r="T235" s="126">
        <f t="shared" ca="1" si="51"/>
        <v>46243.905967999999</v>
      </c>
      <c r="U235" s="127" t="str">
        <f t="shared" si="48"/>
        <v>S</v>
      </c>
      <c r="V235" s="128">
        <f t="shared" si="63"/>
        <v>72.763333333333335</v>
      </c>
      <c r="W235" s="129">
        <f t="shared" si="52"/>
        <v>72.763333333333335</v>
      </c>
      <c r="X235" s="197"/>
      <c r="Y235" s="115">
        <f t="shared" ca="1" si="53"/>
        <v>300</v>
      </c>
      <c r="Z235" s="118">
        <f t="shared" ca="1" si="54"/>
        <v>0.17808219178082196</v>
      </c>
      <c r="AA235" s="116"/>
      <c r="AB235" s="117">
        <f t="shared" si="55"/>
        <v>3.3683038259112181</v>
      </c>
      <c r="AC235" s="118">
        <f t="shared" si="56"/>
        <v>0.22367932607963406</v>
      </c>
      <c r="AE235" s="55" t="s">
        <v>0</v>
      </c>
      <c r="AF235" s="72" t="s">
        <v>47</v>
      </c>
      <c r="AG235" s="72">
        <v>585</v>
      </c>
      <c r="AH235" s="66" t="s">
        <v>61</v>
      </c>
      <c r="AJ235" t="s">
        <v>49</v>
      </c>
    </row>
    <row r="236" spans="1:36" ht="16" hidden="1" thickBot="1" x14ac:dyDescent="0.25">
      <c r="A236" s="119" t="s">
        <v>600</v>
      </c>
      <c r="B236" s="120" t="s">
        <v>1382</v>
      </c>
      <c r="C236" s="108" t="str">
        <f t="shared" si="57"/>
        <v>/Applications/Stellarium.app/Contents/Resources/nebulae/default/ic4954.png</v>
      </c>
      <c r="D236" s="121" t="s">
        <v>1666</v>
      </c>
      <c r="E236" s="109"/>
      <c r="F236" s="122">
        <v>20</v>
      </c>
      <c r="G236" s="123">
        <v>5</v>
      </c>
      <c r="H236" s="122">
        <v>29</v>
      </c>
      <c r="I236" s="124">
        <v>9</v>
      </c>
      <c r="J236" s="112" t="s">
        <v>912</v>
      </c>
      <c r="K236" s="125">
        <v>13.4</v>
      </c>
      <c r="L236" s="196"/>
      <c r="M236" s="110">
        <f t="shared" si="58"/>
        <v>29.15</v>
      </c>
      <c r="N236" s="111">
        <f t="shared" si="59"/>
        <v>66.930000000000007</v>
      </c>
      <c r="O236" s="112">
        <f t="shared" si="60"/>
        <v>20.083333333333332</v>
      </c>
      <c r="P236" s="113">
        <f t="shared" ca="1" si="61"/>
        <v>46214.920528000002</v>
      </c>
      <c r="Q236" s="114">
        <f t="shared" ca="1" si="62"/>
        <v>46229.920528000002</v>
      </c>
      <c r="R236" s="114" t="b">
        <f t="shared" ca="1" si="49"/>
        <v>1</v>
      </c>
      <c r="S236" s="115">
        <f t="shared" ca="1" si="50"/>
        <v>15</v>
      </c>
      <c r="T236" s="126">
        <f t="shared" ca="1" si="51"/>
        <v>46244.920528000002</v>
      </c>
      <c r="U236" s="127" t="str">
        <f t="shared" si="48"/>
        <v>S</v>
      </c>
      <c r="V236" s="128">
        <f t="shared" si="63"/>
        <v>66.930000000000007</v>
      </c>
      <c r="W236" s="129">
        <f t="shared" si="52"/>
        <v>66.930000000000007</v>
      </c>
      <c r="X236" s="197"/>
      <c r="Y236" s="115">
        <f t="shared" ca="1" si="53"/>
        <v>299</v>
      </c>
      <c r="Z236" s="118">
        <f t="shared" ca="1" si="54"/>
        <v>0.18082191780821921</v>
      </c>
      <c r="AA236" s="116"/>
      <c r="AB236" s="117">
        <f t="shared" si="55"/>
        <v>3.4347884636665431</v>
      </c>
      <c r="AC236" s="118">
        <f t="shared" si="56"/>
        <v>0.22644951931943927</v>
      </c>
      <c r="AE236" s="55"/>
      <c r="AF236" s="72"/>
      <c r="AG236" s="72"/>
      <c r="AH236" s="66"/>
      <c r="AJ236" t="s">
        <v>600</v>
      </c>
    </row>
    <row r="237" spans="1:36" ht="16" hidden="1" thickBot="1" x14ac:dyDescent="0.25">
      <c r="A237" s="119" t="s">
        <v>164</v>
      </c>
      <c r="B237" s="120" t="s">
        <v>1191</v>
      </c>
      <c r="C237" s="108" t="str">
        <f t="shared" si="57"/>
        <v>/Applications/Stellarium.app/Contents/Resources/nebulae/default/m75.png</v>
      </c>
      <c r="D237" s="121" t="s">
        <v>1667</v>
      </c>
      <c r="E237" s="109"/>
      <c r="F237" s="122">
        <v>20</v>
      </c>
      <c r="G237" s="123">
        <v>6</v>
      </c>
      <c r="H237" s="122">
        <v>-22</v>
      </c>
      <c r="I237" s="124">
        <v>1</v>
      </c>
      <c r="J237" s="112" t="s">
        <v>763</v>
      </c>
      <c r="K237" s="125">
        <v>14</v>
      </c>
      <c r="L237" s="196"/>
      <c r="M237" s="110">
        <f t="shared" si="58"/>
        <v>-21.983333333333334</v>
      </c>
      <c r="N237" s="111">
        <f t="shared" si="59"/>
        <v>15.796666666666667</v>
      </c>
      <c r="O237" s="112">
        <f t="shared" si="60"/>
        <v>20.100000000000001</v>
      </c>
      <c r="P237" s="113">
        <f t="shared" ca="1" si="61"/>
        <v>46215.174167999998</v>
      </c>
      <c r="Q237" s="114">
        <f t="shared" ca="1" si="62"/>
        <v>46230.174167999998</v>
      </c>
      <c r="R237" s="114" t="b">
        <f t="shared" ca="1" si="49"/>
        <v>1</v>
      </c>
      <c r="S237" s="115">
        <f t="shared" ca="1" si="50"/>
        <v>15</v>
      </c>
      <c r="T237" s="126">
        <f t="shared" ca="1" si="51"/>
        <v>46245.174167999998</v>
      </c>
      <c r="U237" s="127" t="str">
        <f t="shared" si="48"/>
        <v>S</v>
      </c>
      <c r="V237" s="128">
        <f t="shared" si="63"/>
        <v>15.796666666666667</v>
      </c>
      <c r="W237" s="129">
        <f t="shared" si="52"/>
        <v>15.796666666666667</v>
      </c>
      <c r="X237" s="197"/>
      <c r="Y237" s="115">
        <f t="shared" ca="1" si="53"/>
        <v>299</v>
      </c>
      <c r="Z237" s="118">
        <f t="shared" ca="1" si="54"/>
        <v>0.18082191780821921</v>
      </c>
      <c r="AA237" s="116"/>
      <c r="AB237" s="117">
        <f t="shared" si="55"/>
        <v>3.4514096231053766</v>
      </c>
      <c r="AC237" s="118">
        <f t="shared" si="56"/>
        <v>0.22714206762939071</v>
      </c>
      <c r="AE237" s="55"/>
      <c r="AF237" s="72"/>
      <c r="AG237" s="72"/>
      <c r="AH237" s="66"/>
      <c r="AJ237" t="s">
        <v>164</v>
      </c>
    </row>
    <row r="238" spans="1:36" ht="16" hidden="1" thickBot="1" x14ac:dyDescent="0.25">
      <c r="A238" s="119" t="s">
        <v>521</v>
      </c>
      <c r="B238" s="120" t="s">
        <v>1331</v>
      </c>
      <c r="C238" s="108" t="str">
        <f t="shared" si="57"/>
        <v>/Applications/Stellarium.app/Contents/Resources/nebulae/default/n6868-dss.png</v>
      </c>
      <c r="D238" s="121" t="s">
        <v>1668</v>
      </c>
      <c r="E238" s="109"/>
      <c r="F238" s="122">
        <v>20</v>
      </c>
      <c r="G238" s="123">
        <v>10</v>
      </c>
      <c r="H238" s="122">
        <v>-49</v>
      </c>
      <c r="I238" s="124">
        <v>34</v>
      </c>
      <c r="J238" s="112" t="s">
        <v>969</v>
      </c>
      <c r="K238" s="125">
        <v>13</v>
      </c>
      <c r="L238" s="196"/>
      <c r="M238" s="110">
        <f t="shared" si="58"/>
        <v>-48.43333333333333</v>
      </c>
      <c r="N238" s="111">
        <f t="shared" si="59"/>
        <v>-10.653333333333329</v>
      </c>
      <c r="O238" s="112">
        <f t="shared" si="60"/>
        <v>20.166666666666668</v>
      </c>
      <c r="P238" s="113">
        <f t="shared" ca="1" si="61"/>
        <v>46216.188728000001</v>
      </c>
      <c r="Q238" s="114">
        <f t="shared" ca="1" si="62"/>
        <v>46231.188728000001</v>
      </c>
      <c r="R238" s="114" t="b">
        <f t="shared" ca="1" si="49"/>
        <v>1</v>
      </c>
      <c r="S238" s="115">
        <f t="shared" ca="1" si="50"/>
        <v>15</v>
      </c>
      <c r="T238" s="126">
        <f t="shared" ca="1" si="51"/>
        <v>46246.188728000001</v>
      </c>
      <c r="U238" s="127" t="str">
        <f t="shared" si="48"/>
        <v>S</v>
      </c>
      <c r="V238" s="128">
        <f t="shared" si="63"/>
        <v>-10.653333333333329</v>
      </c>
      <c r="W238" s="129">
        <f t="shared" si="52"/>
        <v>-10.653333333333329</v>
      </c>
      <c r="X238" s="197"/>
      <c r="Y238" s="115">
        <f t="shared" ca="1" si="53"/>
        <v>298</v>
      </c>
      <c r="Z238" s="118">
        <f t="shared" ca="1" si="54"/>
        <v>0.18356164383561646</v>
      </c>
      <c r="AA238" s="116"/>
      <c r="AB238" s="117">
        <f t="shared" si="55"/>
        <v>3.5178942608607016</v>
      </c>
      <c r="AC238" s="118">
        <f t="shared" si="56"/>
        <v>0.22991226086919592</v>
      </c>
      <c r="AE238" s="55"/>
      <c r="AF238" s="72"/>
      <c r="AG238" s="72"/>
      <c r="AH238" s="66"/>
      <c r="AJ238" t="s">
        <v>521</v>
      </c>
    </row>
    <row r="239" spans="1:36" ht="16" hidden="1" thickBot="1" x14ac:dyDescent="0.25">
      <c r="A239" s="119" t="s">
        <v>523</v>
      </c>
      <c r="B239" s="120" t="s">
        <v>1277</v>
      </c>
      <c r="C239" s="108" t="str">
        <f t="shared" si="57"/>
        <v>/Applications/Stellarium.app/Contents/Resources/nebulae/default/n6884.png</v>
      </c>
      <c r="D239" s="121" t="s">
        <v>1669</v>
      </c>
      <c r="E239" s="109"/>
      <c r="F239" s="122">
        <v>20</v>
      </c>
      <c r="G239" s="123">
        <v>10</v>
      </c>
      <c r="H239" s="122">
        <v>46</v>
      </c>
      <c r="I239" s="124">
        <v>27</v>
      </c>
      <c r="J239" s="112" t="s">
        <v>1036</v>
      </c>
      <c r="K239" s="125">
        <v>12.5</v>
      </c>
      <c r="L239" s="196"/>
      <c r="M239" s="110">
        <f t="shared" si="58"/>
        <v>46.45</v>
      </c>
      <c r="N239" s="111">
        <f t="shared" si="59"/>
        <v>84.23</v>
      </c>
      <c r="O239" s="112">
        <f t="shared" si="60"/>
        <v>20.166666666666668</v>
      </c>
      <c r="P239" s="113">
        <f t="shared" ca="1" si="61"/>
        <v>46216.188728000001</v>
      </c>
      <c r="Q239" s="114">
        <f t="shared" ca="1" si="62"/>
        <v>46231.188728000001</v>
      </c>
      <c r="R239" s="114" t="b">
        <f t="shared" ca="1" si="49"/>
        <v>1</v>
      </c>
      <c r="S239" s="115">
        <f t="shared" ca="1" si="50"/>
        <v>15</v>
      </c>
      <c r="T239" s="126">
        <f t="shared" ca="1" si="51"/>
        <v>46246.188728000001</v>
      </c>
      <c r="U239" s="127" t="str">
        <f t="shared" si="48"/>
        <v>S</v>
      </c>
      <c r="V239" s="128">
        <f t="shared" si="63"/>
        <v>84.23</v>
      </c>
      <c r="W239" s="129">
        <f t="shared" si="52"/>
        <v>84.23</v>
      </c>
      <c r="X239" s="197"/>
      <c r="Y239" s="115">
        <f t="shared" ca="1" si="53"/>
        <v>298</v>
      </c>
      <c r="Z239" s="118">
        <f t="shared" ca="1" si="54"/>
        <v>0.18356164383561646</v>
      </c>
      <c r="AA239" s="116"/>
      <c r="AB239" s="117">
        <f t="shared" si="55"/>
        <v>3.5178942608607016</v>
      </c>
      <c r="AC239" s="118">
        <f t="shared" si="56"/>
        <v>0.22991226086919592</v>
      </c>
      <c r="AE239" s="55"/>
      <c r="AF239" s="72"/>
      <c r="AG239" s="72"/>
      <c r="AH239" s="66"/>
      <c r="AJ239" t="s">
        <v>523</v>
      </c>
    </row>
    <row r="240" spans="1:36" ht="16" hidden="1" thickBot="1" x14ac:dyDescent="0.25">
      <c r="A240" s="119" t="s">
        <v>713</v>
      </c>
      <c r="B240" s="120" t="s">
        <v>1441</v>
      </c>
      <c r="C240" s="108" t="str">
        <f t="shared" si="57"/>
        <v>/Applications/Stellarium.app/Contents/Resources/nebulae/default/wr134.png</v>
      </c>
      <c r="D240" s="121" t="s">
        <v>1670</v>
      </c>
      <c r="E240" s="109"/>
      <c r="F240" s="122">
        <v>20</v>
      </c>
      <c r="G240" s="123">
        <v>11</v>
      </c>
      <c r="H240" s="122">
        <v>35</v>
      </c>
      <c r="I240" s="124">
        <v>26</v>
      </c>
      <c r="J240" s="112" t="s">
        <v>1187</v>
      </c>
      <c r="K240" s="125">
        <v>14</v>
      </c>
      <c r="L240" s="196"/>
      <c r="M240" s="110">
        <f t="shared" si="58"/>
        <v>35.43333333333333</v>
      </c>
      <c r="N240" s="111">
        <f t="shared" si="59"/>
        <v>73.213333333333338</v>
      </c>
      <c r="O240" s="112">
        <f t="shared" si="60"/>
        <v>20.183333333333334</v>
      </c>
      <c r="P240" s="113">
        <f t="shared" ca="1" si="61"/>
        <v>46216.442368000004</v>
      </c>
      <c r="Q240" s="114">
        <f t="shared" ca="1" si="62"/>
        <v>46231.442368000004</v>
      </c>
      <c r="R240" s="114" t="b">
        <f t="shared" ca="1" si="49"/>
        <v>1</v>
      </c>
      <c r="S240" s="115">
        <f t="shared" ca="1" si="50"/>
        <v>15</v>
      </c>
      <c r="T240" s="126">
        <f t="shared" ca="1" si="51"/>
        <v>46246.442368000004</v>
      </c>
      <c r="U240" s="127" t="str">
        <f t="shared" si="48"/>
        <v>S</v>
      </c>
      <c r="V240" s="128">
        <f t="shared" si="63"/>
        <v>73.213333333333338</v>
      </c>
      <c r="W240" s="129">
        <f t="shared" si="52"/>
        <v>73.213333333333338</v>
      </c>
      <c r="X240" s="197"/>
      <c r="Y240" s="115">
        <f t="shared" ca="1" si="53"/>
        <v>298</v>
      </c>
      <c r="Z240" s="118">
        <f t="shared" ca="1" si="54"/>
        <v>0.18356164383561646</v>
      </c>
      <c r="AA240" s="116"/>
      <c r="AB240" s="117">
        <f t="shared" si="55"/>
        <v>3.5345154202995319</v>
      </c>
      <c r="AC240" s="118">
        <f t="shared" si="56"/>
        <v>0.23060480917914716</v>
      </c>
      <c r="AE240" s="55"/>
      <c r="AF240" s="72"/>
      <c r="AG240" s="72"/>
      <c r="AH240" s="66"/>
      <c r="AJ240" t="s">
        <v>713</v>
      </c>
    </row>
    <row r="241" spans="1:36" ht="16" hidden="1" thickBot="1" x14ac:dyDescent="0.25">
      <c r="A241" s="119" t="s">
        <v>524</v>
      </c>
      <c r="B241" s="120" t="s">
        <v>1333</v>
      </c>
      <c r="C241" s="108" t="str">
        <f t="shared" si="57"/>
        <v>/Applications/Stellarium.app/Contents/Resources/nebulae/default/n6888.png</v>
      </c>
      <c r="D241" s="121" t="s">
        <v>1671</v>
      </c>
      <c r="E241" s="109"/>
      <c r="F241" s="122">
        <v>20</v>
      </c>
      <c r="G241" s="123">
        <v>12</v>
      </c>
      <c r="H241" s="122">
        <v>38</v>
      </c>
      <c r="I241" s="124">
        <v>11</v>
      </c>
      <c r="J241" s="112" t="s">
        <v>1055</v>
      </c>
      <c r="K241" s="125">
        <v>10</v>
      </c>
      <c r="L241" s="196"/>
      <c r="M241" s="110">
        <f t="shared" si="58"/>
        <v>38.18333333333333</v>
      </c>
      <c r="N241" s="111">
        <f t="shared" si="59"/>
        <v>75.963333333333338</v>
      </c>
      <c r="O241" s="112">
        <f t="shared" si="60"/>
        <v>20.2</v>
      </c>
      <c r="P241" s="113">
        <f t="shared" ca="1" si="61"/>
        <v>46216.696007999999</v>
      </c>
      <c r="Q241" s="114">
        <f t="shared" ca="1" si="62"/>
        <v>46231.696007999999</v>
      </c>
      <c r="R241" s="114" t="b">
        <f t="shared" ca="1" si="49"/>
        <v>1</v>
      </c>
      <c r="S241" s="115">
        <f t="shared" ca="1" si="50"/>
        <v>15</v>
      </c>
      <c r="T241" s="126">
        <f t="shared" ca="1" si="51"/>
        <v>46246.696007999999</v>
      </c>
      <c r="U241" s="127" t="str">
        <f t="shared" si="48"/>
        <v>S</v>
      </c>
      <c r="V241" s="128">
        <f t="shared" si="63"/>
        <v>75.963333333333338</v>
      </c>
      <c r="W241" s="129">
        <f t="shared" si="52"/>
        <v>75.963333333333338</v>
      </c>
      <c r="X241" s="197"/>
      <c r="Y241" s="115">
        <f t="shared" ca="1" si="53"/>
        <v>297</v>
      </c>
      <c r="Z241" s="118">
        <f t="shared" ca="1" si="54"/>
        <v>0.18630136986301371</v>
      </c>
      <c r="AA241" s="116"/>
      <c r="AB241" s="117">
        <f t="shared" si="55"/>
        <v>3.5511365797383623</v>
      </c>
      <c r="AC241" s="118">
        <f t="shared" si="56"/>
        <v>0.23129735748909841</v>
      </c>
      <c r="AE241" s="55"/>
      <c r="AF241" s="72"/>
      <c r="AG241" s="72"/>
      <c r="AH241" s="66"/>
      <c r="AJ241" t="s">
        <v>524</v>
      </c>
    </row>
    <row r="242" spans="1:36" ht="16" hidden="1" thickBot="1" x14ac:dyDescent="0.25">
      <c r="A242" s="119" t="s">
        <v>525</v>
      </c>
      <c r="B242" s="120" t="s">
        <v>1277</v>
      </c>
      <c r="C242" s="108" t="str">
        <f t="shared" si="57"/>
        <v>/Applications/Stellarium.app/Contents/Resources/nebulae/default/n6891.png</v>
      </c>
      <c r="D242" s="121" t="s">
        <v>1672</v>
      </c>
      <c r="E242" s="109"/>
      <c r="F242" s="122">
        <v>20</v>
      </c>
      <c r="G242" s="123">
        <v>15</v>
      </c>
      <c r="H242" s="122">
        <v>12</v>
      </c>
      <c r="I242" s="124">
        <v>41</v>
      </c>
      <c r="J242" s="112" t="s">
        <v>1009</v>
      </c>
      <c r="K242" s="125">
        <v>12.5</v>
      </c>
      <c r="L242" s="196"/>
      <c r="M242" s="110">
        <f t="shared" si="58"/>
        <v>12.683333333333334</v>
      </c>
      <c r="N242" s="111">
        <f t="shared" si="59"/>
        <v>50.463333333333338</v>
      </c>
      <c r="O242" s="112">
        <f t="shared" si="60"/>
        <v>20.25</v>
      </c>
      <c r="P242" s="113">
        <f t="shared" ca="1" si="61"/>
        <v>46217.456928</v>
      </c>
      <c r="Q242" s="114">
        <f t="shared" ca="1" si="62"/>
        <v>46232.456928</v>
      </c>
      <c r="R242" s="114" t="b">
        <f t="shared" ca="1" si="49"/>
        <v>1</v>
      </c>
      <c r="S242" s="115">
        <f t="shared" ca="1" si="50"/>
        <v>15</v>
      </c>
      <c r="T242" s="126">
        <f t="shared" ca="1" si="51"/>
        <v>46247.456928</v>
      </c>
      <c r="U242" s="127" t="str">
        <f t="shared" si="48"/>
        <v>S</v>
      </c>
      <c r="V242" s="128">
        <f t="shared" si="63"/>
        <v>50.463333333333338</v>
      </c>
      <c r="W242" s="129">
        <f t="shared" si="52"/>
        <v>50.463333333333338</v>
      </c>
      <c r="X242" s="197"/>
      <c r="Y242" s="115">
        <f t="shared" ca="1" si="53"/>
        <v>297</v>
      </c>
      <c r="Z242" s="118">
        <f t="shared" ca="1" si="54"/>
        <v>0.18630136986301371</v>
      </c>
      <c r="AA242" s="116"/>
      <c r="AB242" s="117">
        <f t="shared" si="55"/>
        <v>3.6010000580548565</v>
      </c>
      <c r="AC242" s="118">
        <f t="shared" si="56"/>
        <v>0.23337500241895234</v>
      </c>
      <c r="AE242" s="55"/>
      <c r="AF242" s="72"/>
      <c r="AG242" s="72"/>
      <c r="AH242" s="66"/>
      <c r="AJ242" t="s">
        <v>525</v>
      </c>
    </row>
    <row r="243" spans="1:36" ht="16" hidden="1" thickBot="1" x14ac:dyDescent="0.25">
      <c r="A243" s="119" t="s">
        <v>526</v>
      </c>
      <c r="B243" s="120" t="s">
        <v>1334</v>
      </c>
      <c r="C243" s="108" t="str">
        <f t="shared" si="57"/>
        <v>/Applications/Stellarium.app/Contents/Resources/nebulae/default/n6894.png</v>
      </c>
      <c r="D243" s="121" t="s">
        <v>1673</v>
      </c>
      <c r="E243" s="109"/>
      <c r="F243" s="122">
        <v>20</v>
      </c>
      <c r="G243" s="123">
        <v>16</v>
      </c>
      <c r="H243" s="122">
        <v>30</v>
      </c>
      <c r="I243" s="124">
        <v>31</v>
      </c>
      <c r="J243" s="112" t="s">
        <v>1056</v>
      </c>
      <c r="K243" s="125">
        <v>13.5</v>
      </c>
      <c r="L243" s="196"/>
      <c r="M243" s="110">
        <f t="shared" si="58"/>
        <v>30.516666666666666</v>
      </c>
      <c r="N243" s="111">
        <f t="shared" si="59"/>
        <v>68.296666666666667</v>
      </c>
      <c r="O243" s="112">
        <f t="shared" si="60"/>
        <v>20.266666666666666</v>
      </c>
      <c r="P243" s="113">
        <f t="shared" ca="1" si="61"/>
        <v>46217.710568000002</v>
      </c>
      <c r="Q243" s="114">
        <f t="shared" ca="1" si="62"/>
        <v>46232.710568000002</v>
      </c>
      <c r="R243" s="114" t="b">
        <f t="shared" ca="1" si="49"/>
        <v>1</v>
      </c>
      <c r="S243" s="115">
        <f t="shared" ca="1" si="50"/>
        <v>15</v>
      </c>
      <c r="T243" s="126">
        <f t="shared" ca="1" si="51"/>
        <v>46247.710568000002</v>
      </c>
      <c r="U243" s="127" t="str">
        <f t="shared" si="48"/>
        <v>S</v>
      </c>
      <c r="V243" s="128">
        <f t="shared" si="63"/>
        <v>68.296666666666667</v>
      </c>
      <c r="W243" s="129">
        <f t="shared" si="52"/>
        <v>68.296666666666667</v>
      </c>
      <c r="X243" s="197"/>
      <c r="Y243" s="115">
        <f t="shared" ca="1" si="53"/>
        <v>296</v>
      </c>
      <c r="Z243" s="118">
        <f t="shared" ca="1" si="54"/>
        <v>0.18904109589041096</v>
      </c>
      <c r="AA243" s="116"/>
      <c r="AB243" s="117">
        <f t="shared" si="55"/>
        <v>3.6176212174936868</v>
      </c>
      <c r="AC243" s="118">
        <f t="shared" si="56"/>
        <v>0.23406755072890362</v>
      </c>
      <c r="AE243" s="55"/>
      <c r="AF243" s="72"/>
      <c r="AG243" s="72"/>
      <c r="AH243" s="66"/>
      <c r="AJ243" t="s">
        <v>526</v>
      </c>
    </row>
    <row r="244" spans="1:36" ht="16" hidden="1" thickBot="1" x14ac:dyDescent="0.25">
      <c r="A244" s="119" t="s">
        <v>700</v>
      </c>
      <c r="B244" s="120" t="s">
        <v>1430</v>
      </c>
      <c r="C244" s="108" t="str">
        <f t="shared" si="57"/>
        <v>/Applications/Stellarium.app/Contents/Resources/nebulae/default/dwb20.png</v>
      </c>
      <c r="D244" s="121" t="s">
        <v>1674</v>
      </c>
      <c r="E244" s="109"/>
      <c r="F244" s="122">
        <v>20</v>
      </c>
      <c r="G244" s="123">
        <v>16</v>
      </c>
      <c r="H244" s="122">
        <v>37</v>
      </c>
      <c r="I244" s="124">
        <v>43</v>
      </c>
      <c r="J244" s="112" t="s">
        <v>1176</v>
      </c>
      <c r="K244" s="125">
        <v>14.2</v>
      </c>
      <c r="L244" s="196"/>
      <c r="M244" s="110">
        <f t="shared" si="58"/>
        <v>37.716666666666669</v>
      </c>
      <c r="N244" s="111">
        <f t="shared" si="59"/>
        <v>75.49666666666667</v>
      </c>
      <c r="O244" s="112">
        <f t="shared" si="60"/>
        <v>20.266666666666666</v>
      </c>
      <c r="P244" s="113">
        <f t="shared" ca="1" si="61"/>
        <v>46217.710568000002</v>
      </c>
      <c r="Q244" s="114">
        <f t="shared" ca="1" si="62"/>
        <v>46232.710568000002</v>
      </c>
      <c r="R244" s="114" t="b">
        <f t="shared" ca="1" si="49"/>
        <v>1</v>
      </c>
      <c r="S244" s="115">
        <f t="shared" ca="1" si="50"/>
        <v>15</v>
      </c>
      <c r="T244" s="126">
        <f t="shared" ca="1" si="51"/>
        <v>46247.710568000002</v>
      </c>
      <c r="U244" s="127" t="str">
        <f t="shared" ref="U244:U307" si="64">IF(N244&lt;90,"S","N")</f>
        <v>S</v>
      </c>
      <c r="V244" s="128">
        <f t="shared" si="63"/>
        <v>75.49666666666667</v>
      </c>
      <c r="W244" s="129">
        <f t="shared" si="52"/>
        <v>75.49666666666667</v>
      </c>
      <c r="X244" s="197"/>
      <c r="Y244" s="115">
        <f t="shared" ca="1" si="53"/>
        <v>296</v>
      </c>
      <c r="Z244" s="118">
        <f t="shared" ca="1" si="54"/>
        <v>0.18904109589041096</v>
      </c>
      <c r="AA244" s="116"/>
      <c r="AB244" s="117">
        <f t="shared" si="55"/>
        <v>3.6176212174936868</v>
      </c>
      <c r="AC244" s="118">
        <f t="shared" si="56"/>
        <v>0.23406755072890362</v>
      </c>
      <c r="AE244" s="55"/>
      <c r="AF244" s="72"/>
      <c r="AG244" s="72"/>
      <c r="AH244" s="66"/>
      <c r="AJ244" t="s">
        <v>700</v>
      </c>
    </row>
    <row r="245" spans="1:36" ht="16" hidden="1" thickBot="1" x14ac:dyDescent="0.25">
      <c r="A245" s="119" t="s">
        <v>522</v>
      </c>
      <c r="B245" s="120" t="s">
        <v>1332</v>
      </c>
      <c r="C245" s="108" t="str">
        <f t="shared" si="57"/>
        <v>/Applications/Stellarium.app/Contents/Resources/nebulae/default/n6872.png</v>
      </c>
      <c r="D245" s="121" t="s">
        <v>1675</v>
      </c>
      <c r="E245" s="109"/>
      <c r="F245" s="122">
        <v>20</v>
      </c>
      <c r="G245" s="123">
        <v>19</v>
      </c>
      <c r="H245" s="122">
        <v>-71</v>
      </c>
      <c r="I245" s="124">
        <v>3</v>
      </c>
      <c r="J245" s="112" t="s">
        <v>1054</v>
      </c>
      <c r="K245" s="125">
        <v>13.5</v>
      </c>
      <c r="L245" s="196"/>
      <c r="M245" s="110">
        <f t="shared" si="58"/>
        <v>-70.95</v>
      </c>
      <c r="N245" s="111">
        <f t="shared" si="59"/>
        <v>-33.17</v>
      </c>
      <c r="O245" s="112">
        <f t="shared" si="60"/>
        <v>20.316666666666666</v>
      </c>
      <c r="P245" s="113">
        <f t="shared" ca="1" si="61"/>
        <v>46218.471488000003</v>
      </c>
      <c r="Q245" s="114">
        <f t="shared" ca="1" si="62"/>
        <v>46233.471488000003</v>
      </c>
      <c r="R245" s="114" t="b">
        <f t="shared" ca="1" si="49"/>
        <v>1</v>
      </c>
      <c r="S245" s="115">
        <f t="shared" ca="1" si="50"/>
        <v>15</v>
      </c>
      <c r="T245" s="126">
        <f t="shared" ca="1" si="51"/>
        <v>46248.471488000003</v>
      </c>
      <c r="U245" s="127" t="str">
        <f t="shared" si="64"/>
        <v>S</v>
      </c>
      <c r="V245" s="128">
        <f t="shared" si="63"/>
        <v>-33.17</v>
      </c>
      <c r="W245" s="129">
        <f t="shared" si="52"/>
        <v>-33.17</v>
      </c>
      <c r="X245" s="197"/>
      <c r="Y245" s="115">
        <f t="shared" ca="1" si="53"/>
        <v>296</v>
      </c>
      <c r="Z245" s="118">
        <f t="shared" ca="1" si="54"/>
        <v>0.18904109589041096</v>
      </c>
      <c r="AA245" s="116"/>
      <c r="AB245" s="117">
        <f t="shared" si="55"/>
        <v>3.6674846958101814</v>
      </c>
      <c r="AC245" s="118">
        <f t="shared" si="56"/>
        <v>0.23614519565875755</v>
      </c>
      <c r="AE245" s="55"/>
      <c r="AF245" s="72"/>
      <c r="AG245" s="72"/>
      <c r="AH245" s="66"/>
      <c r="AJ245" t="s">
        <v>522</v>
      </c>
    </row>
    <row r="246" spans="1:36" ht="16" hidden="1" thickBot="1" x14ac:dyDescent="0.25">
      <c r="A246" s="119" t="s">
        <v>527</v>
      </c>
      <c r="B246" s="120" t="s">
        <v>1335</v>
      </c>
      <c r="C246" s="108" t="str">
        <f t="shared" si="57"/>
        <v>/Applications/Stellarium.app/Contents/Resources/nebulae/default/n6905.png</v>
      </c>
      <c r="D246" s="121" t="s">
        <v>1676</v>
      </c>
      <c r="E246" s="109"/>
      <c r="F246" s="122">
        <v>20</v>
      </c>
      <c r="G246" s="123">
        <v>22</v>
      </c>
      <c r="H246" s="122">
        <v>20</v>
      </c>
      <c r="I246" s="124">
        <v>2</v>
      </c>
      <c r="J246" s="112" t="s">
        <v>1057</v>
      </c>
      <c r="K246" s="125">
        <v>13.4</v>
      </c>
      <c r="L246" s="196"/>
      <c r="M246" s="110">
        <f t="shared" si="58"/>
        <v>20.033333333333335</v>
      </c>
      <c r="N246" s="111">
        <f t="shared" si="59"/>
        <v>57.813333333333333</v>
      </c>
      <c r="O246" s="112">
        <f t="shared" si="60"/>
        <v>20.366666666666667</v>
      </c>
      <c r="P246" s="113">
        <f t="shared" ca="1" si="61"/>
        <v>46219.232408000003</v>
      </c>
      <c r="Q246" s="114">
        <f t="shared" ca="1" si="62"/>
        <v>46234.232408000003</v>
      </c>
      <c r="R246" s="114" t="b">
        <f t="shared" ca="1" si="49"/>
        <v>1</v>
      </c>
      <c r="S246" s="115">
        <f t="shared" ca="1" si="50"/>
        <v>15</v>
      </c>
      <c r="T246" s="126">
        <f t="shared" ca="1" si="51"/>
        <v>46249.232408000003</v>
      </c>
      <c r="U246" s="127" t="str">
        <f t="shared" si="64"/>
        <v>S</v>
      </c>
      <c r="V246" s="128">
        <f t="shared" si="63"/>
        <v>57.813333333333333</v>
      </c>
      <c r="W246" s="129">
        <f t="shared" si="52"/>
        <v>57.813333333333333</v>
      </c>
      <c r="X246" s="197"/>
      <c r="Y246" s="115">
        <f t="shared" ca="1" si="53"/>
        <v>295</v>
      </c>
      <c r="Z246" s="118">
        <f t="shared" ca="1" si="54"/>
        <v>0.19178082191780821</v>
      </c>
      <c r="AA246" s="116"/>
      <c r="AB246" s="117">
        <f t="shared" si="55"/>
        <v>3.7173481741266761</v>
      </c>
      <c r="AC246" s="118">
        <f t="shared" si="56"/>
        <v>0.23822284058861151</v>
      </c>
      <c r="AE246" s="55"/>
      <c r="AF246" s="72"/>
      <c r="AG246" s="72"/>
      <c r="AH246" s="66"/>
      <c r="AJ246" t="s">
        <v>527</v>
      </c>
    </row>
    <row r="247" spans="1:36" ht="16" hidden="1" thickBot="1" x14ac:dyDescent="0.25">
      <c r="A247" s="119" t="s">
        <v>121</v>
      </c>
      <c r="B247" s="120" t="s">
        <v>1210</v>
      </c>
      <c r="C247" s="108" t="str">
        <f t="shared" si="57"/>
        <v>/Applications/Stellarium.app/Contents/Resources/nebulae/default/m29.png</v>
      </c>
      <c r="D247" s="121" t="s">
        <v>1677</v>
      </c>
      <c r="E247" s="109"/>
      <c r="F247" s="122">
        <v>-4</v>
      </c>
      <c r="G247" s="123">
        <v>24</v>
      </c>
      <c r="H247" s="122">
        <v>38</v>
      </c>
      <c r="I247" s="124">
        <v>25</v>
      </c>
      <c r="J247" s="112" t="s">
        <v>92</v>
      </c>
      <c r="K247" s="125">
        <v>12.8</v>
      </c>
      <c r="L247" s="196"/>
      <c r="M247" s="110">
        <f t="shared" si="58"/>
        <v>38.416666666666664</v>
      </c>
      <c r="N247" s="111">
        <f t="shared" si="59"/>
        <v>76.196666666666658</v>
      </c>
      <c r="O247" s="112">
        <f t="shared" si="60"/>
        <v>-3.6</v>
      </c>
      <c r="P247" s="113">
        <f t="shared" ca="1" si="61"/>
        <v>46219.739688000001</v>
      </c>
      <c r="Q247" s="114">
        <f t="shared" ca="1" si="62"/>
        <v>46234.739688000001</v>
      </c>
      <c r="R247" s="114" t="b">
        <f t="shared" ca="1" si="49"/>
        <v>1</v>
      </c>
      <c r="S247" s="115">
        <f t="shared" ca="1" si="50"/>
        <v>15</v>
      </c>
      <c r="T247" s="126">
        <f t="shared" ca="1" si="51"/>
        <v>46249.739688000001</v>
      </c>
      <c r="U247" s="127" t="str">
        <f t="shared" si="64"/>
        <v>S</v>
      </c>
      <c r="V247" s="128">
        <f t="shared" si="63"/>
        <v>76.196666666666658</v>
      </c>
      <c r="W247" s="129">
        <f t="shared" si="52"/>
        <v>76.196666666666658</v>
      </c>
      <c r="X247" s="197"/>
      <c r="Y247" s="115">
        <f t="shared" ca="1" si="53"/>
        <v>294</v>
      </c>
      <c r="Z247" s="118">
        <f t="shared" ca="1" si="54"/>
        <v>0.19452054794520546</v>
      </c>
      <c r="AA247" s="116"/>
      <c r="AB247" s="117">
        <f t="shared" si="55"/>
        <v>3.7505904930043363</v>
      </c>
      <c r="AC247" s="118">
        <f t="shared" si="56"/>
        <v>0.23960793720851403</v>
      </c>
      <c r="AE247" s="55"/>
      <c r="AF247" s="72"/>
      <c r="AG247" s="72"/>
      <c r="AH247" s="66"/>
      <c r="AJ247" t="s">
        <v>121</v>
      </c>
    </row>
    <row r="248" spans="1:36" ht="16" hidden="1" thickBot="1" x14ac:dyDescent="0.25">
      <c r="A248" s="119" t="s">
        <v>528</v>
      </c>
      <c r="B248" s="120" t="s">
        <v>1336</v>
      </c>
      <c r="C248" s="108" t="str">
        <f t="shared" si="57"/>
        <v>/Applications/Stellarium.app/Contents/Resources/nebulae/default/n6914.png</v>
      </c>
      <c r="D248" s="121" t="s">
        <v>1678</v>
      </c>
      <c r="E248" s="109"/>
      <c r="F248" s="122">
        <v>20</v>
      </c>
      <c r="G248" s="123">
        <v>25</v>
      </c>
      <c r="H248" s="122">
        <v>40</v>
      </c>
      <c r="I248" s="124">
        <v>39</v>
      </c>
      <c r="J248" s="112" t="s">
        <v>1058</v>
      </c>
      <c r="K248" s="125">
        <v>13.6</v>
      </c>
      <c r="L248" s="196"/>
      <c r="M248" s="110">
        <f t="shared" si="58"/>
        <v>40.65</v>
      </c>
      <c r="N248" s="111">
        <f t="shared" si="59"/>
        <v>78.430000000000007</v>
      </c>
      <c r="O248" s="112">
        <f t="shared" si="60"/>
        <v>20.416666666666668</v>
      </c>
      <c r="P248" s="113">
        <f t="shared" ca="1" si="61"/>
        <v>46219.993327999997</v>
      </c>
      <c r="Q248" s="114">
        <f t="shared" ca="1" si="62"/>
        <v>46234.993327999997</v>
      </c>
      <c r="R248" s="114" t="b">
        <f t="shared" ca="1" si="49"/>
        <v>1</v>
      </c>
      <c r="S248" s="115">
        <f t="shared" ca="1" si="50"/>
        <v>15</v>
      </c>
      <c r="T248" s="126">
        <f t="shared" ca="1" si="51"/>
        <v>46249.993327999997</v>
      </c>
      <c r="U248" s="127" t="str">
        <f t="shared" si="64"/>
        <v>S</v>
      </c>
      <c r="V248" s="128">
        <f t="shared" si="63"/>
        <v>78.430000000000007</v>
      </c>
      <c r="W248" s="129">
        <f t="shared" si="52"/>
        <v>78.430000000000007</v>
      </c>
      <c r="X248" s="197"/>
      <c r="Y248" s="115">
        <f t="shared" ca="1" si="53"/>
        <v>294</v>
      </c>
      <c r="Z248" s="118">
        <f t="shared" ca="1" si="54"/>
        <v>0.19452054794520546</v>
      </c>
      <c r="AA248" s="116"/>
      <c r="AB248" s="117">
        <f t="shared" si="55"/>
        <v>3.7672116524431702</v>
      </c>
      <c r="AC248" s="118">
        <f t="shared" si="56"/>
        <v>0.24030048551846542</v>
      </c>
      <c r="AE248" s="55"/>
      <c r="AF248" s="72"/>
      <c r="AG248" s="72"/>
      <c r="AH248" s="66"/>
      <c r="AJ248" t="s">
        <v>528</v>
      </c>
    </row>
    <row r="249" spans="1:36" ht="16" hidden="1" thickBot="1" x14ac:dyDescent="0.25">
      <c r="A249" s="119" t="s">
        <v>616</v>
      </c>
      <c r="B249" s="120" t="s">
        <v>1394</v>
      </c>
      <c r="C249" s="108" t="str">
        <f t="shared" si="57"/>
        <v>/Applications/Stellarium.app/Contents/Resources/nebulae/default/sh2-106.png</v>
      </c>
      <c r="D249" s="121" t="s">
        <v>1679</v>
      </c>
      <c r="E249" s="109"/>
      <c r="F249" s="122">
        <v>20</v>
      </c>
      <c r="G249" s="123">
        <v>27</v>
      </c>
      <c r="H249" s="122">
        <v>37</v>
      </c>
      <c r="I249" s="124">
        <v>17</v>
      </c>
      <c r="J249" s="112" t="s">
        <v>776</v>
      </c>
      <c r="K249" s="125">
        <v>13.5</v>
      </c>
      <c r="L249" s="196"/>
      <c r="M249" s="110">
        <f t="shared" si="58"/>
        <v>37.283333333333331</v>
      </c>
      <c r="N249" s="111">
        <f t="shared" si="59"/>
        <v>75.063333333333333</v>
      </c>
      <c r="O249" s="112">
        <f t="shared" si="60"/>
        <v>20.45</v>
      </c>
      <c r="P249" s="113">
        <f t="shared" ca="1" si="61"/>
        <v>46220.500608000002</v>
      </c>
      <c r="Q249" s="114">
        <f t="shared" ca="1" si="62"/>
        <v>46235.500608000002</v>
      </c>
      <c r="R249" s="114" t="b">
        <f t="shared" ca="1" si="49"/>
        <v>1</v>
      </c>
      <c r="S249" s="115">
        <f t="shared" ca="1" si="50"/>
        <v>15</v>
      </c>
      <c r="T249" s="126">
        <f t="shared" ca="1" si="51"/>
        <v>46250.500608000002</v>
      </c>
      <c r="U249" s="127" t="str">
        <f t="shared" si="64"/>
        <v>S</v>
      </c>
      <c r="V249" s="128">
        <f t="shared" si="63"/>
        <v>75.063333333333333</v>
      </c>
      <c r="W249" s="129">
        <f t="shared" si="52"/>
        <v>75.063333333333333</v>
      </c>
      <c r="X249" s="197"/>
      <c r="Y249" s="115">
        <f t="shared" ca="1" si="53"/>
        <v>293</v>
      </c>
      <c r="Z249" s="118">
        <f t="shared" ca="1" si="54"/>
        <v>0.19726027397260271</v>
      </c>
      <c r="AA249" s="116"/>
      <c r="AB249" s="117">
        <f t="shared" si="55"/>
        <v>3.800453971320831</v>
      </c>
      <c r="AC249" s="118">
        <f t="shared" si="56"/>
        <v>0.24168558213836797</v>
      </c>
      <c r="AE249" s="55"/>
      <c r="AF249" s="72"/>
      <c r="AG249" s="72"/>
      <c r="AH249" s="66"/>
      <c r="AJ249" t="s">
        <v>616</v>
      </c>
    </row>
    <row r="250" spans="1:36" ht="16" hidden="1" thickBot="1" x14ac:dyDescent="0.25">
      <c r="A250" s="119" t="s">
        <v>705</v>
      </c>
      <c r="B250" s="120" t="s">
        <v>1435</v>
      </c>
      <c r="C250" s="108" t="str">
        <f t="shared" si="57"/>
        <v>/Applications/Stellarium.app/Contents/Resources/nebulae/default/GammaCygni-vasey.png</v>
      </c>
      <c r="D250" s="121" t="s">
        <v>1680</v>
      </c>
      <c r="E250" s="109"/>
      <c r="F250" s="122">
        <v>20</v>
      </c>
      <c r="G250" s="123">
        <v>29</v>
      </c>
      <c r="H250" s="122">
        <v>38</v>
      </c>
      <c r="I250" s="124">
        <v>21</v>
      </c>
      <c r="J250" s="112" t="s">
        <v>1180</v>
      </c>
      <c r="K250" s="125">
        <v>13.4</v>
      </c>
      <c r="L250" s="196"/>
      <c r="M250" s="110">
        <f t="shared" si="58"/>
        <v>38.35</v>
      </c>
      <c r="N250" s="111">
        <f t="shared" si="59"/>
        <v>76.13</v>
      </c>
      <c r="O250" s="112">
        <f t="shared" si="60"/>
        <v>20.483333333333334</v>
      </c>
      <c r="P250" s="113">
        <f t="shared" ca="1" si="61"/>
        <v>46221.007888</v>
      </c>
      <c r="Q250" s="114">
        <f t="shared" ca="1" si="62"/>
        <v>46236.007888</v>
      </c>
      <c r="R250" s="114" t="b">
        <f t="shared" ca="1" si="49"/>
        <v>1</v>
      </c>
      <c r="S250" s="115">
        <f t="shared" ca="1" si="50"/>
        <v>15</v>
      </c>
      <c r="T250" s="126">
        <f t="shared" ca="1" si="51"/>
        <v>46251.007888</v>
      </c>
      <c r="U250" s="127" t="str">
        <f t="shared" si="64"/>
        <v>S</v>
      </c>
      <c r="V250" s="128">
        <f t="shared" si="63"/>
        <v>76.13</v>
      </c>
      <c r="W250" s="129">
        <f t="shared" si="52"/>
        <v>76.13</v>
      </c>
      <c r="X250" s="197"/>
      <c r="Y250" s="115">
        <f t="shared" ca="1" si="53"/>
        <v>293</v>
      </c>
      <c r="Z250" s="118">
        <f t="shared" ca="1" si="54"/>
        <v>0.19726027397260271</v>
      </c>
      <c r="AA250" s="116"/>
      <c r="AB250" s="117">
        <f t="shared" si="55"/>
        <v>3.8336962901984952</v>
      </c>
      <c r="AC250" s="118">
        <f t="shared" si="56"/>
        <v>0.24307067875827063</v>
      </c>
      <c r="AE250" s="55"/>
      <c r="AF250" s="72"/>
      <c r="AG250" s="72"/>
      <c r="AH250" s="66"/>
      <c r="AJ250" t="s">
        <v>705</v>
      </c>
    </row>
    <row r="251" spans="1:36" ht="16" hidden="1" thickBot="1" x14ac:dyDescent="0.25">
      <c r="A251" s="119" t="s">
        <v>529</v>
      </c>
      <c r="B251" s="120" t="s">
        <v>1191</v>
      </c>
      <c r="C251" s="108" t="str">
        <f t="shared" si="57"/>
        <v>/Applications/Stellarium.app/Contents/Resources/nebulae/default/n6934.png</v>
      </c>
      <c r="D251" s="121" t="s">
        <v>1681</v>
      </c>
      <c r="E251" s="109"/>
      <c r="F251" s="122">
        <v>20</v>
      </c>
      <c r="G251" s="123">
        <v>34</v>
      </c>
      <c r="H251" s="122">
        <v>7</v>
      </c>
      <c r="I251" s="124">
        <v>19</v>
      </c>
      <c r="J251" s="112" t="s">
        <v>1059</v>
      </c>
      <c r="K251" s="125">
        <v>13.6</v>
      </c>
      <c r="L251" s="196"/>
      <c r="M251" s="110">
        <f t="shared" si="58"/>
        <v>7.3166666666666664</v>
      </c>
      <c r="N251" s="111">
        <f t="shared" si="59"/>
        <v>45.096666666666664</v>
      </c>
      <c r="O251" s="112">
        <f t="shared" si="60"/>
        <v>20.566666666666666</v>
      </c>
      <c r="P251" s="113">
        <f t="shared" ca="1" si="61"/>
        <v>46222.276087999999</v>
      </c>
      <c r="Q251" s="114">
        <f t="shared" ca="1" si="62"/>
        <v>46237.276087999999</v>
      </c>
      <c r="R251" s="114" t="b">
        <f t="shared" ca="1" si="49"/>
        <v>1</v>
      </c>
      <c r="S251" s="115">
        <f t="shared" ca="1" si="50"/>
        <v>15</v>
      </c>
      <c r="T251" s="126">
        <f t="shared" ca="1" si="51"/>
        <v>46252.276087999999</v>
      </c>
      <c r="U251" s="127" t="str">
        <f t="shared" si="64"/>
        <v>S</v>
      </c>
      <c r="V251" s="128">
        <f t="shared" si="63"/>
        <v>45.096666666666664</v>
      </c>
      <c r="W251" s="129">
        <f t="shared" si="52"/>
        <v>45.096666666666664</v>
      </c>
      <c r="X251" s="197"/>
      <c r="Y251" s="115">
        <f t="shared" ca="1" si="53"/>
        <v>292</v>
      </c>
      <c r="Z251" s="118">
        <f t="shared" ca="1" si="54"/>
        <v>0.19999999999999996</v>
      </c>
      <c r="AA251" s="116"/>
      <c r="AB251" s="117">
        <f t="shared" si="55"/>
        <v>3.9168020873926501</v>
      </c>
      <c r="AC251" s="118">
        <f t="shared" si="56"/>
        <v>0.24653342030802708</v>
      </c>
      <c r="AE251" s="55"/>
      <c r="AF251" s="72"/>
      <c r="AG251" s="72"/>
      <c r="AH251" s="66"/>
      <c r="AJ251" t="s">
        <v>529</v>
      </c>
    </row>
    <row r="252" spans="1:36" ht="16" hidden="1" thickBot="1" x14ac:dyDescent="0.25">
      <c r="A252" s="119" t="s">
        <v>530</v>
      </c>
      <c r="B252" s="120" t="s">
        <v>1269</v>
      </c>
      <c r="C252" s="108" t="str">
        <f t="shared" si="57"/>
        <v>/Applications/Stellarium.app/Contents/Resources/nebulae/default/n6946dumont.png</v>
      </c>
      <c r="D252" s="121" t="s">
        <v>1682</v>
      </c>
      <c r="E252" s="109"/>
      <c r="F252" s="122">
        <v>-4</v>
      </c>
      <c r="G252" s="123">
        <v>35</v>
      </c>
      <c r="H252" s="122">
        <v>60</v>
      </c>
      <c r="I252" s="124">
        <v>0</v>
      </c>
      <c r="J252" s="112" t="s">
        <v>1060</v>
      </c>
      <c r="K252" s="125">
        <v>14</v>
      </c>
      <c r="L252" s="196"/>
      <c r="M252" s="110">
        <f t="shared" si="58"/>
        <v>60</v>
      </c>
      <c r="N252" s="111">
        <f t="shared" si="59"/>
        <v>97.78</v>
      </c>
      <c r="O252" s="112">
        <f t="shared" si="60"/>
        <v>-3.4166666666666665</v>
      </c>
      <c r="P252" s="113">
        <f t="shared" ca="1" si="61"/>
        <v>46222.529728000001</v>
      </c>
      <c r="Q252" s="114">
        <f t="shared" ca="1" si="62"/>
        <v>46237.529728000001</v>
      </c>
      <c r="R252" s="114" t="b">
        <f t="shared" ca="1" si="49"/>
        <v>1</v>
      </c>
      <c r="S252" s="115">
        <f t="shared" ca="1" si="50"/>
        <v>15</v>
      </c>
      <c r="T252" s="126">
        <f t="shared" ca="1" si="51"/>
        <v>46252.529728000001</v>
      </c>
      <c r="U252" s="127" t="str">
        <f t="shared" si="64"/>
        <v>N</v>
      </c>
      <c r="V252" s="128">
        <f t="shared" si="63"/>
        <v>82.22</v>
      </c>
      <c r="W252" s="129">
        <f t="shared" si="52"/>
        <v>82.22</v>
      </c>
      <c r="X252" s="197"/>
      <c r="Y252" s="115">
        <f t="shared" ca="1" si="53"/>
        <v>291</v>
      </c>
      <c r="Z252" s="118">
        <f t="shared" ca="1" si="54"/>
        <v>0.20273972602739732</v>
      </c>
      <c r="AA252" s="116"/>
      <c r="AB252" s="117">
        <f t="shared" si="55"/>
        <v>3.9334232468314805</v>
      </c>
      <c r="AC252" s="118">
        <f t="shared" si="56"/>
        <v>0.24722596861797838</v>
      </c>
      <c r="AE252" s="55"/>
      <c r="AF252" s="72"/>
      <c r="AG252" s="72"/>
      <c r="AH252" s="66"/>
      <c r="AJ252" t="s">
        <v>530</v>
      </c>
    </row>
    <row r="253" spans="1:36" ht="16" hidden="1" thickBot="1" x14ac:dyDescent="0.25">
      <c r="A253" s="119" t="s">
        <v>52</v>
      </c>
      <c r="B253" s="120" t="s">
        <v>1395</v>
      </c>
      <c r="C253" s="108" t="str">
        <f t="shared" si="57"/>
        <v>/Applications/Stellarium.app/Contents/Resources/nebulae/default/sh2-112.png</v>
      </c>
      <c r="D253" s="121" t="s">
        <v>1683</v>
      </c>
      <c r="E253" s="109"/>
      <c r="F253" s="122">
        <v>20</v>
      </c>
      <c r="G253" s="123">
        <v>35</v>
      </c>
      <c r="H253" s="122">
        <v>45</v>
      </c>
      <c r="I253" s="124">
        <v>23</v>
      </c>
      <c r="J253" s="112" t="s">
        <v>56</v>
      </c>
      <c r="K253" s="125">
        <v>14.5</v>
      </c>
      <c r="L253" s="196"/>
      <c r="M253" s="110">
        <f t="shared" si="58"/>
        <v>45.383333333333333</v>
      </c>
      <c r="N253" s="111">
        <f t="shared" si="59"/>
        <v>83.163333333333327</v>
      </c>
      <c r="O253" s="112">
        <f t="shared" si="60"/>
        <v>20.583333333333332</v>
      </c>
      <c r="P253" s="113">
        <f t="shared" ca="1" si="61"/>
        <v>46222.529728000001</v>
      </c>
      <c r="Q253" s="114">
        <f t="shared" ca="1" si="62"/>
        <v>46237.529728000001</v>
      </c>
      <c r="R253" s="114" t="b">
        <f t="shared" ca="1" si="49"/>
        <v>1</v>
      </c>
      <c r="S253" s="115">
        <f t="shared" ca="1" si="50"/>
        <v>15</v>
      </c>
      <c r="T253" s="126">
        <f t="shared" ca="1" si="51"/>
        <v>46252.529728000001</v>
      </c>
      <c r="U253" s="127" t="str">
        <f t="shared" si="64"/>
        <v>S</v>
      </c>
      <c r="V253" s="128">
        <f t="shared" si="63"/>
        <v>83.163333333333327</v>
      </c>
      <c r="W253" s="129">
        <f t="shared" si="52"/>
        <v>83.163333333333327</v>
      </c>
      <c r="X253" s="197"/>
      <c r="Y253" s="115">
        <f t="shared" ca="1" si="53"/>
        <v>291</v>
      </c>
      <c r="Z253" s="118">
        <f t="shared" ca="1" si="54"/>
        <v>0.20273972602739732</v>
      </c>
      <c r="AA253" s="116"/>
      <c r="AB253" s="117">
        <f t="shared" si="55"/>
        <v>3.9334232468314805</v>
      </c>
      <c r="AC253" s="118">
        <f t="shared" si="56"/>
        <v>0.24722596861797838</v>
      </c>
      <c r="AE253" s="55" t="s">
        <v>0</v>
      </c>
      <c r="AF253" s="72" t="s">
        <v>51</v>
      </c>
      <c r="AG253" s="72">
        <v>585</v>
      </c>
      <c r="AH253" s="66" t="s">
        <v>14</v>
      </c>
      <c r="AJ253" t="s">
        <v>52</v>
      </c>
    </row>
    <row r="254" spans="1:36" ht="16" hidden="1" thickBot="1" x14ac:dyDescent="0.25">
      <c r="A254" s="119" t="s">
        <v>701</v>
      </c>
      <c r="B254" s="120" t="s">
        <v>1431</v>
      </c>
      <c r="C254" s="108" t="str">
        <f t="shared" si="57"/>
        <v>/Applications/Stellarium.app/Contents/Resources/nebulae/default/dwb111.png</v>
      </c>
      <c r="D254" s="121" t="s">
        <v>1684</v>
      </c>
      <c r="E254" s="109"/>
      <c r="F254" s="122">
        <v>20</v>
      </c>
      <c r="G254" s="123">
        <v>36</v>
      </c>
      <c r="H254" s="122">
        <v>43</v>
      </c>
      <c r="I254" s="124">
        <v>27</v>
      </c>
      <c r="J254" s="112" t="s">
        <v>1177</v>
      </c>
      <c r="K254" s="125">
        <v>13.5</v>
      </c>
      <c r="L254" s="196"/>
      <c r="M254" s="110">
        <f t="shared" si="58"/>
        <v>43.45</v>
      </c>
      <c r="N254" s="111">
        <f t="shared" si="59"/>
        <v>81.23</v>
      </c>
      <c r="O254" s="112">
        <f t="shared" si="60"/>
        <v>20.6</v>
      </c>
      <c r="P254" s="113">
        <f t="shared" ca="1" si="61"/>
        <v>46222.783367999997</v>
      </c>
      <c r="Q254" s="114">
        <f t="shared" ca="1" si="62"/>
        <v>46237.783367999997</v>
      </c>
      <c r="R254" s="114" t="b">
        <f t="shared" ca="1" si="49"/>
        <v>1</v>
      </c>
      <c r="S254" s="115">
        <f t="shared" ca="1" si="50"/>
        <v>15</v>
      </c>
      <c r="T254" s="126">
        <f t="shared" ca="1" si="51"/>
        <v>46252.783367999997</v>
      </c>
      <c r="U254" s="127" t="str">
        <f t="shared" si="64"/>
        <v>S</v>
      </c>
      <c r="V254" s="128">
        <f t="shared" si="63"/>
        <v>81.23</v>
      </c>
      <c r="W254" s="129">
        <f t="shared" si="52"/>
        <v>81.23</v>
      </c>
      <c r="X254" s="197"/>
      <c r="Y254" s="115">
        <f t="shared" ca="1" si="53"/>
        <v>291</v>
      </c>
      <c r="Z254" s="118">
        <f t="shared" ca="1" si="54"/>
        <v>0.20273972602739732</v>
      </c>
      <c r="AA254" s="116"/>
      <c r="AB254" s="117">
        <f t="shared" si="55"/>
        <v>3.9500444062703144</v>
      </c>
      <c r="AC254" s="118">
        <f t="shared" si="56"/>
        <v>0.24791851692792977</v>
      </c>
      <c r="AE254" s="55"/>
      <c r="AF254" s="72"/>
      <c r="AG254" s="72"/>
      <c r="AH254" s="66"/>
      <c r="AJ254" t="s">
        <v>701</v>
      </c>
    </row>
    <row r="255" spans="1:36" ht="16" hidden="1" thickBot="1" x14ac:dyDescent="0.25">
      <c r="A255" s="119" t="s">
        <v>618</v>
      </c>
      <c r="B255" s="120" t="s">
        <v>1396</v>
      </c>
      <c r="C255" s="108" t="str">
        <f t="shared" si="57"/>
        <v>/Applications/Stellarium.app/Contents/Resources/nebulae/default/sh2-115.png</v>
      </c>
      <c r="D255" s="121" t="s">
        <v>1685</v>
      </c>
      <c r="E255" s="109"/>
      <c r="F255" s="122">
        <v>20</v>
      </c>
      <c r="G255" s="123">
        <v>37</v>
      </c>
      <c r="H255" s="122">
        <v>46</v>
      </c>
      <c r="I255" s="124">
        <v>24</v>
      </c>
      <c r="J255" s="112" t="s">
        <v>1091</v>
      </c>
      <c r="K255" s="125">
        <v>14.5</v>
      </c>
      <c r="L255" s="196"/>
      <c r="M255" s="110">
        <f t="shared" si="58"/>
        <v>46.4</v>
      </c>
      <c r="N255" s="111">
        <f t="shared" si="59"/>
        <v>84.18</v>
      </c>
      <c r="O255" s="112">
        <f t="shared" si="60"/>
        <v>20.616666666666667</v>
      </c>
      <c r="P255" s="113">
        <f t="shared" ca="1" si="61"/>
        <v>46223.037007999999</v>
      </c>
      <c r="Q255" s="114">
        <f t="shared" ca="1" si="62"/>
        <v>46238.037007999999</v>
      </c>
      <c r="R255" s="114" t="b">
        <f t="shared" ca="1" si="49"/>
        <v>1</v>
      </c>
      <c r="S255" s="115">
        <f t="shared" ca="1" si="50"/>
        <v>15</v>
      </c>
      <c r="T255" s="126">
        <f t="shared" ca="1" si="51"/>
        <v>46253.037007999999</v>
      </c>
      <c r="U255" s="127" t="str">
        <f t="shared" si="64"/>
        <v>S</v>
      </c>
      <c r="V255" s="128">
        <f t="shared" si="63"/>
        <v>84.18</v>
      </c>
      <c r="W255" s="129">
        <f t="shared" si="52"/>
        <v>84.18</v>
      </c>
      <c r="X255" s="197"/>
      <c r="Y255" s="115">
        <f t="shared" ca="1" si="53"/>
        <v>291</v>
      </c>
      <c r="Z255" s="118">
        <f t="shared" ca="1" si="54"/>
        <v>0.20273972602739732</v>
      </c>
      <c r="AA255" s="116"/>
      <c r="AB255" s="117">
        <f t="shared" si="55"/>
        <v>3.9666655657091447</v>
      </c>
      <c r="AC255" s="118">
        <f t="shared" si="56"/>
        <v>0.24861106523788101</v>
      </c>
      <c r="AE255" s="55"/>
      <c r="AF255" s="72"/>
      <c r="AG255" s="72"/>
      <c r="AH255" s="66"/>
      <c r="AJ255" t="s">
        <v>618</v>
      </c>
    </row>
    <row r="256" spans="1:36" ht="16" hidden="1" thickBot="1" x14ac:dyDescent="0.25">
      <c r="A256" s="119" t="s">
        <v>531</v>
      </c>
      <c r="B256" s="120" t="s">
        <v>1269</v>
      </c>
      <c r="C256" s="108" t="str">
        <f t="shared" si="57"/>
        <v>/Applications/Stellarium.app/Contents/Resources/nebulae/default/n6951.png</v>
      </c>
      <c r="D256" s="121" t="s">
        <v>1686</v>
      </c>
      <c r="E256" s="109"/>
      <c r="F256" s="122">
        <v>20</v>
      </c>
      <c r="G256" s="123">
        <v>38</v>
      </c>
      <c r="H256" s="122">
        <v>66</v>
      </c>
      <c r="I256" s="124">
        <v>2</v>
      </c>
      <c r="J256" s="112" t="s">
        <v>1061</v>
      </c>
      <c r="K256" s="125">
        <v>13.2</v>
      </c>
      <c r="L256" s="196"/>
      <c r="M256" s="110">
        <f t="shared" si="58"/>
        <v>66.033333333333331</v>
      </c>
      <c r="N256" s="111">
        <f t="shared" si="59"/>
        <v>103.81333333333333</v>
      </c>
      <c r="O256" s="112">
        <f t="shared" si="60"/>
        <v>20.633333333333333</v>
      </c>
      <c r="P256" s="113">
        <f t="shared" ca="1" si="61"/>
        <v>46223.290648000002</v>
      </c>
      <c r="Q256" s="114">
        <f t="shared" ca="1" si="62"/>
        <v>46238.290648000002</v>
      </c>
      <c r="R256" s="114" t="b">
        <f t="shared" ca="1" si="49"/>
        <v>1</v>
      </c>
      <c r="S256" s="115">
        <f t="shared" ca="1" si="50"/>
        <v>15</v>
      </c>
      <c r="T256" s="126">
        <f t="shared" ca="1" si="51"/>
        <v>46253.290648000002</v>
      </c>
      <c r="U256" s="127" t="str">
        <f t="shared" si="64"/>
        <v>N</v>
      </c>
      <c r="V256" s="128">
        <f t="shared" si="63"/>
        <v>76.186666666666667</v>
      </c>
      <c r="W256" s="129">
        <f t="shared" si="52"/>
        <v>76.186666666666667</v>
      </c>
      <c r="X256" s="197"/>
      <c r="Y256" s="115">
        <f t="shared" ca="1" si="53"/>
        <v>291</v>
      </c>
      <c r="Z256" s="118">
        <f t="shared" ca="1" si="54"/>
        <v>0.20273972602739732</v>
      </c>
      <c r="AA256" s="116"/>
      <c r="AB256" s="117">
        <f t="shared" si="55"/>
        <v>3.9832867251479751</v>
      </c>
      <c r="AC256" s="118">
        <f t="shared" si="56"/>
        <v>0.24930361354783229</v>
      </c>
      <c r="AE256" s="55"/>
      <c r="AF256" s="72"/>
      <c r="AG256" s="72"/>
      <c r="AH256" s="66"/>
      <c r="AJ256" t="s">
        <v>531</v>
      </c>
    </row>
    <row r="257" spans="1:36" ht="16" hidden="1" thickBot="1" x14ac:dyDescent="0.25">
      <c r="A257" s="119" t="s">
        <v>161</v>
      </c>
      <c r="B257" s="120" t="s">
        <v>1191</v>
      </c>
      <c r="C257" s="108" t="str">
        <f t="shared" si="57"/>
        <v>/Applications/Stellarium.app/Contents/Resources/nebulae/default/m72.png</v>
      </c>
      <c r="D257" s="121" t="s">
        <v>1687</v>
      </c>
      <c r="E257" s="109"/>
      <c r="F257" s="122">
        <v>20</v>
      </c>
      <c r="G257" s="123">
        <v>53</v>
      </c>
      <c r="H257" s="122">
        <v>-13</v>
      </c>
      <c r="I257" s="124">
        <v>23</v>
      </c>
      <c r="J257" s="112" t="s">
        <v>760</v>
      </c>
      <c r="K257" s="125">
        <v>14.5</v>
      </c>
      <c r="L257" s="196"/>
      <c r="M257" s="110">
        <f t="shared" si="58"/>
        <v>-12.616666666666667</v>
      </c>
      <c r="N257" s="111">
        <f t="shared" si="59"/>
        <v>25.163333333333334</v>
      </c>
      <c r="O257" s="112">
        <f t="shared" si="60"/>
        <v>20.883333333333333</v>
      </c>
      <c r="P257" s="113">
        <f t="shared" ca="1" si="61"/>
        <v>46227.095247999998</v>
      </c>
      <c r="Q257" s="114">
        <f t="shared" ca="1" si="62"/>
        <v>46242.095247999998</v>
      </c>
      <c r="R257" s="114" t="b">
        <f t="shared" ca="1" si="49"/>
        <v>1</v>
      </c>
      <c r="S257" s="115">
        <f t="shared" ca="1" si="50"/>
        <v>15</v>
      </c>
      <c r="T257" s="126">
        <f t="shared" ca="1" si="51"/>
        <v>46257.095247999998</v>
      </c>
      <c r="U257" s="127" t="str">
        <f t="shared" si="64"/>
        <v>S</v>
      </c>
      <c r="V257" s="128">
        <f t="shared" si="63"/>
        <v>25.163333333333334</v>
      </c>
      <c r="W257" s="129">
        <f t="shared" si="52"/>
        <v>25.163333333333334</v>
      </c>
      <c r="X257" s="197"/>
      <c r="Y257" s="115">
        <f t="shared" ca="1" si="53"/>
        <v>287</v>
      </c>
      <c r="Z257" s="118">
        <f t="shared" ca="1" si="54"/>
        <v>0.21369863013698631</v>
      </c>
      <c r="AA257" s="116"/>
      <c r="AB257" s="117">
        <f t="shared" si="55"/>
        <v>4.2326041167304433</v>
      </c>
      <c r="AC257" s="118">
        <f t="shared" si="56"/>
        <v>0.25969183819710179</v>
      </c>
      <c r="AE257" s="55"/>
      <c r="AF257" s="72"/>
      <c r="AG257" s="72"/>
      <c r="AH257" s="66"/>
      <c r="AJ257" t="s">
        <v>161</v>
      </c>
    </row>
    <row r="258" spans="1:36" ht="16" hidden="1" thickBot="1" x14ac:dyDescent="0.25">
      <c r="A258" s="119" t="s">
        <v>601</v>
      </c>
      <c r="B258" s="120" t="s">
        <v>1383</v>
      </c>
      <c r="C258" s="108" t="str">
        <f t="shared" si="57"/>
        <v>/Applications/Stellarium.app/Contents/Resources/nebulae/default/ic5076.png</v>
      </c>
      <c r="D258" s="121" t="s">
        <v>1688</v>
      </c>
      <c r="E258" s="109"/>
      <c r="F258" s="122">
        <v>20</v>
      </c>
      <c r="G258" s="123">
        <v>56</v>
      </c>
      <c r="H258" s="122">
        <v>47</v>
      </c>
      <c r="I258" s="124">
        <v>17</v>
      </c>
      <c r="J258" s="112" t="s">
        <v>1044</v>
      </c>
      <c r="K258" s="125">
        <v>13.8</v>
      </c>
      <c r="L258" s="196"/>
      <c r="M258" s="110">
        <f t="shared" si="58"/>
        <v>47.283333333333331</v>
      </c>
      <c r="N258" s="111">
        <f t="shared" si="59"/>
        <v>85.063333333333333</v>
      </c>
      <c r="O258" s="112">
        <f t="shared" si="60"/>
        <v>20.933333333333334</v>
      </c>
      <c r="P258" s="113">
        <f t="shared" ca="1" si="61"/>
        <v>46227.856167999998</v>
      </c>
      <c r="Q258" s="114">
        <f t="shared" ca="1" si="62"/>
        <v>46242.856167999998</v>
      </c>
      <c r="R258" s="114" t="b">
        <f t="shared" ca="1" si="49"/>
        <v>1</v>
      </c>
      <c r="S258" s="115">
        <f t="shared" ca="1" si="50"/>
        <v>15</v>
      </c>
      <c r="T258" s="126">
        <f t="shared" ca="1" si="51"/>
        <v>46257.856167999998</v>
      </c>
      <c r="U258" s="127" t="str">
        <f t="shared" si="64"/>
        <v>S</v>
      </c>
      <c r="V258" s="128">
        <f t="shared" si="63"/>
        <v>85.063333333333333</v>
      </c>
      <c r="W258" s="129">
        <f t="shared" si="52"/>
        <v>85.063333333333333</v>
      </c>
      <c r="X258" s="197"/>
      <c r="Y258" s="115">
        <f t="shared" ca="1" si="53"/>
        <v>286</v>
      </c>
      <c r="Z258" s="118">
        <f t="shared" ca="1" si="54"/>
        <v>0.21643835616438356</v>
      </c>
      <c r="AA258" s="116"/>
      <c r="AB258" s="117">
        <f t="shared" si="55"/>
        <v>4.2824675950469384</v>
      </c>
      <c r="AC258" s="118">
        <f t="shared" si="56"/>
        <v>0.26176948312695575</v>
      </c>
      <c r="AE258" s="55"/>
      <c r="AF258" s="72"/>
      <c r="AG258" s="72"/>
      <c r="AH258" s="66"/>
      <c r="AJ258" t="s">
        <v>601</v>
      </c>
    </row>
    <row r="259" spans="1:36" ht="16" hidden="1" thickBot="1" x14ac:dyDescent="0.25">
      <c r="A259" s="119" t="s">
        <v>606</v>
      </c>
      <c r="B259" s="120" t="s">
        <v>1388</v>
      </c>
      <c r="C259" s="108" t="str">
        <f t="shared" si="57"/>
        <v>/Applications/Stellarium.app/Contents/Resources/nebulae/default/barnard150.png</v>
      </c>
      <c r="D259" s="121" t="s">
        <v>1689</v>
      </c>
      <c r="E259" s="109"/>
      <c r="F259" s="122">
        <v>20</v>
      </c>
      <c r="G259" s="123">
        <v>56</v>
      </c>
      <c r="H259" s="122">
        <v>59</v>
      </c>
      <c r="I259" s="124">
        <v>30</v>
      </c>
      <c r="J259" s="112" t="s">
        <v>1115</v>
      </c>
      <c r="K259" s="125">
        <v>14.5</v>
      </c>
      <c r="L259" s="196"/>
      <c r="M259" s="110">
        <f t="shared" si="58"/>
        <v>59.5</v>
      </c>
      <c r="N259" s="111">
        <f t="shared" si="59"/>
        <v>97.28</v>
      </c>
      <c r="O259" s="112">
        <f t="shared" si="60"/>
        <v>20.933333333333334</v>
      </c>
      <c r="P259" s="113">
        <f t="shared" ca="1" si="61"/>
        <v>46227.856167999998</v>
      </c>
      <c r="Q259" s="114">
        <f t="shared" ca="1" si="62"/>
        <v>46242.856167999998</v>
      </c>
      <c r="R259" s="114" t="b">
        <f t="shared" ca="1" si="49"/>
        <v>1</v>
      </c>
      <c r="S259" s="115">
        <f t="shared" ca="1" si="50"/>
        <v>15</v>
      </c>
      <c r="T259" s="126">
        <f t="shared" ca="1" si="51"/>
        <v>46257.856167999998</v>
      </c>
      <c r="U259" s="127" t="str">
        <f t="shared" si="64"/>
        <v>N</v>
      </c>
      <c r="V259" s="128">
        <f t="shared" si="63"/>
        <v>82.72</v>
      </c>
      <c r="W259" s="129">
        <f t="shared" si="52"/>
        <v>82.72</v>
      </c>
      <c r="X259" s="197"/>
      <c r="Y259" s="115">
        <f t="shared" ca="1" si="53"/>
        <v>286</v>
      </c>
      <c r="Z259" s="118">
        <f t="shared" ca="1" si="54"/>
        <v>0.21643835616438356</v>
      </c>
      <c r="AA259" s="116"/>
      <c r="AB259" s="117">
        <f t="shared" si="55"/>
        <v>4.2824675950469384</v>
      </c>
      <c r="AC259" s="118">
        <f t="shared" si="56"/>
        <v>0.26176948312695575</v>
      </c>
      <c r="AE259" s="55"/>
      <c r="AF259" s="72"/>
      <c r="AG259" s="72"/>
      <c r="AH259" s="66"/>
      <c r="AJ259" t="s">
        <v>606</v>
      </c>
    </row>
    <row r="260" spans="1:36" ht="16" hidden="1" thickBot="1" x14ac:dyDescent="0.25">
      <c r="A260" s="119" t="s">
        <v>162</v>
      </c>
      <c r="B260" s="120" t="s">
        <v>1207</v>
      </c>
      <c r="C260" s="108" t="str">
        <f t="shared" si="57"/>
        <v>/Applications/Stellarium.app/Contents/Resources/nebulae/default/m73.png</v>
      </c>
      <c r="D260" s="121" t="s">
        <v>1690</v>
      </c>
      <c r="E260" s="109"/>
      <c r="F260" s="122">
        <v>-4</v>
      </c>
      <c r="G260" s="123">
        <v>59</v>
      </c>
      <c r="H260" s="122">
        <v>-13</v>
      </c>
      <c r="I260" s="124">
        <v>18</v>
      </c>
      <c r="J260" s="112" t="s">
        <v>761</v>
      </c>
      <c r="K260" s="125">
        <v>10.9</v>
      </c>
      <c r="L260" s="196"/>
      <c r="M260" s="110">
        <f t="shared" si="58"/>
        <v>-12.7</v>
      </c>
      <c r="N260" s="111">
        <f t="shared" si="59"/>
        <v>25.080000000000002</v>
      </c>
      <c r="O260" s="112">
        <f t="shared" si="60"/>
        <v>-3.0166666666666666</v>
      </c>
      <c r="P260" s="113">
        <f t="shared" ca="1" si="61"/>
        <v>46228.617087999999</v>
      </c>
      <c r="Q260" s="114">
        <f t="shared" ca="1" si="62"/>
        <v>46243.617087999999</v>
      </c>
      <c r="R260" s="114" t="b">
        <f t="shared" ca="1" si="49"/>
        <v>1</v>
      </c>
      <c r="S260" s="115">
        <f t="shared" ca="1" si="50"/>
        <v>15</v>
      </c>
      <c r="T260" s="126">
        <f t="shared" ca="1" si="51"/>
        <v>46258.617087999999</v>
      </c>
      <c r="U260" s="127" t="str">
        <f t="shared" si="64"/>
        <v>S</v>
      </c>
      <c r="V260" s="128">
        <f t="shared" si="63"/>
        <v>25.080000000000002</v>
      </c>
      <c r="W260" s="129">
        <f t="shared" si="52"/>
        <v>25.080000000000002</v>
      </c>
      <c r="X260" s="197"/>
      <c r="Y260" s="115">
        <f t="shared" ca="1" si="53"/>
        <v>285</v>
      </c>
      <c r="Z260" s="118">
        <f t="shared" ca="1" si="54"/>
        <v>0.21917808219178081</v>
      </c>
      <c r="AA260" s="116"/>
      <c r="AB260" s="117">
        <f t="shared" si="55"/>
        <v>4.3323310733634326</v>
      </c>
      <c r="AC260" s="118">
        <f t="shared" si="56"/>
        <v>0.26384712805680971</v>
      </c>
      <c r="AE260" s="55"/>
      <c r="AF260" s="72"/>
      <c r="AG260" s="72"/>
      <c r="AH260" s="66"/>
      <c r="AJ260" t="s">
        <v>162</v>
      </c>
    </row>
    <row r="261" spans="1:36" ht="16" hidden="1" thickBot="1" x14ac:dyDescent="0.25">
      <c r="A261" s="119" t="s">
        <v>535</v>
      </c>
      <c r="B261" s="120" t="s">
        <v>1339</v>
      </c>
      <c r="C261" s="108" t="str">
        <f t="shared" si="57"/>
        <v>/Applications/Stellarium.app/Contents/Resources/nebulae/default/n7008-vasey.png</v>
      </c>
      <c r="D261" s="121" t="s">
        <v>1691</v>
      </c>
      <c r="E261" s="109"/>
      <c r="F261" s="122">
        <v>21</v>
      </c>
      <c r="G261" s="123">
        <v>0</v>
      </c>
      <c r="H261" s="122">
        <v>54</v>
      </c>
      <c r="I261" s="124">
        <v>29</v>
      </c>
      <c r="J261" s="112" t="s">
        <v>1065</v>
      </c>
      <c r="K261" s="125">
        <v>13.4</v>
      </c>
      <c r="L261" s="196"/>
      <c r="M261" s="110">
        <f t="shared" si="58"/>
        <v>54.483333333333334</v>
      </c>
      <c r="N261" s="111">
        <f t="shared" si="59"/>
        <v>92.263333333333335</v>
      </c>
      <c r="O261" s="112">
        <f t="shared" si="60"/>
        <v>21</v>
      </c>
      <c r="P261" s="113">
        <f t="shared" ca="1" si="61"/>
        <v>46228.870728000002</v>
      </c>
      <c r="Q261" s="114">
        <f t="shared" ca="1" si="62"/>
        <v>46243.870728000002</v>
      </c>
      <c r="R261" s="114" t="b">
        <f t="shared" ca="1" si="49"/>
        <v>1</v>
      </c>
      <c r="S261" s="115">
        <f t="shared" ca="1" si="50"/>
        <v>15</v>
      </c>
      <c r="T261" s="126">
        <f t="shared" ca="1" si="51"/>
        <v>46258.870728000002</v>
      </c>
      <c r="U261" s="127" t="str">
        <f t="shared" si="64"/>
        <v>N</v>
      </c>
      <c r="V261" s="128">
        <f t="shared" si="63"/>
        <v>87.736666666666665</v>
      </c>
      <c r="W261" s="129">
        <f t="shared" si="52"/>
        <v>87.736666666666665</v>
      </c>
      <c r="X261" s="197"/>
      <c r="Y261" s="115">
        <f t="shared" ca="1" si="53"/>
        <v>285</v>
      </c>
      <c r="Z261" s="118">
        <f t="shared" ca="1" si="54"/>
        <v>0.21917808219178081</v>
      </c>
      <c r="AA261" s="116"/>
      <c r="AB261" s="117">
        <f t="shared" si="55"/>
        <v>4.3489522328022625</v>
      </c>
      <c r="AC261" s="118">
        <f t="shared" si="56"/>
        <v>0.26453967636676096</v>
      </c>
      <c r="AE261" s="55"/>
      <c r="AF261" s="72"/>
      <c r="AG261" s="72"/>
      <c r="AH261" s="66"/>
      <c r="AJ261" t="s">
        <v>535</v>
      </c>
    </row>
    <row r="262" spans="1:36" ht="16" hidden="1" thickBot="1" x14ac:dyDescent="0.25">
      <c r="A262" s="119" t="s">
        <v>534</v>
      </c>
      <c r="B262" s="120" t="s">
        <v>1191</v>
      </c>
      <c r="C262" s="108" t="str">
        <f t="shared" si="57"/>
        <v>/Applications/Stellarium.app/Contents/Resources/nebulae/default/n7006-sdss.png</v>
      </c>
      <c r="D262" s="121" t="s">
        <v>1692</v>
      </c>
      <c r="E262" s="109"/>
      <c r="F262" s="122">
        <v>21</v>
      </c>
      <c r="G262" s="123">
        <v>1</v>
      </c>
      <c r="H262" s="122">
        <v>16</v>
      </c>
      <c r="I262" s="124">
        <v>8</v>
      </c>
      <c r="J262" s="112" t="s">
        <v>1064</v>
      </c>
      <c r="K262" s="125">
        <v>13.5</v>
      </c>
      <c r="L262" s="196"/>
      <c r="M262" s="110">
        <f t="shared" si="58"/>
        <v>16.133333333333333</v>
      </c>
      <c r="N262" s="111">
        <f t="shared" si="59"/>
        <v>53.913333333333334</v>
      </c>
      <c r="O262" s="112">
        <f t="shared" si="60"/>
        <v>21.016666666666666</v>
      </c>
      <c r="P262" s="113">
        <f t="shared" ca="1" si="61"/>
        <v>46229.124367999997</v>
      </c>
      <c r="Q262" s="114">
        <f t="shared" ca="1" si="62"/>
        <v>46244.124367999997</v>
      </c>
      <c r="R262" s="114" t="b">
        <f t="shared" ca="1" si="49"/>
        <v>1</v>
      </c>
      <c r="S262" s="115">
        <f t="shared" ca="1" si="50"/>
        <v>15</v>
      </c>
      <c r="T262" s="126">
        <f t="shared" ca="1" si="51"/>
        <v>46259.124367999997</v>
      </c>
      <c r="U262" s="127" t="str">
        <f t="shared" si="64"/>
        <v>S</v>
      </c>
      <c r="V262" s="128">
        <f t="shared" si="63"/>
        <v>53.913333333333334</v>
      </c>
      <c r="W262" s="129">
        <f t="shared" si="52"/>
        <v>53.913333333333334</v>
      </c>
      <c r="X262" s="197"/>
      <c r="Y262" s="115">
        <f t="shared" ca="1" si="53"/>
        <v>285</v>
      </c>
      <c r="Z262" s="118">
        <f t="shared" ca="1" si="54"/>
        <v>0.21917808219178081</v>
      </c>
      <c r="AA262" s="116"/>
      <c r="AB262" s="117">
        <f t="shared" si="55"/>
        <v>4.3655733922410933</v>
      </c>
      <c r="AC262" s="118">
        <f t="shared" si="56"/>
        <v>0.2652322246767122</v>
      </c>
      <c r="AE262" s="55"/>
      <c r="AF262" s="72"/>
      <c r="AG262" s="72"/>
      <c r="AH262" s="66"/>
      <c r="AJ262" t="s">
        <v>534</v>
      </c>
    </row>
    <row r="263" spans="1:36" ht="16" hidden="1" thickBot="1" x14ac:dyDescent="0.25">
      <c r="A263" s="119" t="s">
        <v>674</v>
      </c>
      <c r="B263" s="120" t="s">
        <v>1415</v>
      </c>
      <c r="C263" s="108" t="str">
        <f t="shared" si="57"/>
        <v>/Applications/Stellarium.app/Contents/Resources/nebulae/default/u11668.png</v>
      </c>
      <c r="D263" s="121" t="s">
        <v>1693</v>
      </c>
      <c r="E263" s="109"/>
      <c r="F263" s="122">
        <v>21</v>
      </c>
      <c r="G263" s="123">
        <v>2</v>
      </c>
      <c r="H263" s="122">
        <v>36</v>
      </c>
      <c r="I263" s="124">
        <v>40</v>
      </c>
      <c r="J263" s="112" t="s">
        <v>927</v>
      </c>
      <c r="K263" s="125">
        <v>13.9</v>
      </c>
      <c r="L263" s="196"/>
      <c r="M263" s="110">
        <f t="shared" si="58"/>
        <v>36.666666666666664</v>
      </c>
      <c r="N263" s="111">
        <f t="shared" si="59"/>
        <v>74.446666666666658</v>
      </c>
      <c r="O263" s="112">
        <f t="shared" si="60"/>
        <v>21.033333333333335</v>
      </c>
      <c r="P263" s="113">
        <f t="shared" ca="1" si="61"/>
        <v>46229.378008</v>
      </c>
      <c r="Q263" s="114">
        <f t="shared" ca="1" si="62"/>
        <v>46244.378008</v>
      </c>
      <c r="R263" s="114" t="b">
        <f t="shared" ca="1" si="49"/>
        <v>1</v>
      </c>
      <c r="S263" s="115">
        <f t="shared" ca="1" si="50"/>
        <v>15</v>
      </c>
      <c r="T263" s="126">
        <f t="shared" ca="1" si="51"/>
        <v>46259.378008</v>
      </c>
      <c r="U263" s="127" t="str">
        <f t="shared" si="64"/>
        <v>S</v>
      </c>
      <c r="V263" s="128">
        <f t="shared" si="63"/>
        <v>74.446666666666658</v>
      </c>
      <c r="W263" s="129">
        <f t="shared" si="52"/>
        <v>74.446666666666658</v>
      </c>
      <c r="X263" s="197"/>
      <c r="Y263" s="115">
        <f t="shared" ca="1" si="53"/>
        <v>285</v>
      </c>
      <c r="Z263" s="118">
        <f t="shared" ca="1" si="54"/>
        <v>0.21917808219178081</v>
      </c>
      <c r="AA263" s="116"/>
      <c r="AB263" s="117">
        <f t="shared" si="55"/>
        <v>4.3821945516799268</v>
      </c>
      <c r="AC263" s="118">
        <f t="shared" si="56"/>
        <v>0.26592477298666362</v>
      </c>
      <c r="AE263" s="55"/>
      <c r="AF263" s="72"/>
      <c r="AG263" s="72"/>
      <c r="AH263" s="66"/>
      <c r="AJ263" t="s">
        <v>674</v>
      </c>
    </row>
    <row r="264" spans="1:36" ht="16" hidden="1" thickBot="1" x14ac:dyDescent="0.25">
      <c r="A264" s="119" t="s">
        <v>532</v>
      </c>
      <c r="B264" s="120" t="s">
        <v>1337</v>
      </c>
      <c r="C264" s="108" t="str">
        <f t="shared" si="57"/>
        <v>/Applications/Stellarium.app/Contents/Resources/nebulae/default/n6960.png</v>
      </c>
      <c r="D264" s="121" t="s">
        <v>1694</v>
      </c>
      <c r="E264" s="109"/>
      <c r="F264" s="122">
        <v>21</v>
      </c>
      <c r="G264" s="123">
        <v>3</v>
      </c>
      <c r="H264" s="122">
        <v>29</v>
      </c>
      <c r="I264" s="124">
        <v>31</v>
      </c>
      <c r="J264" s="112" t="s">
        <v>1062</v>
      </c>
      <c r="K264" s="125">
        <v>13.4</v>
      </c>
      <c r="L264" s="196"/>
      <c r="M264" s="110">
        <f t="shared" si="58"/>
        <v>29.516666666666666</v>
      </c>
      <c r="N264" s="111">
        <f t="shared" si="59"/>
        <v>67.296666666666667</v>
      </c>
      <c r="O264" s="112">
        <f t="shared" si="60"/>
        <v>21.05</v>
      </c>
      <c r="P264" s="113">
        <f t="shared" ca="1" si="61"/>
        <v>46229.631648000002</v>
      </c>
      <c r="Q264" s="114">
        <f t="shared" ca="1" si="62"/>
        <v>46244.631648000002</v>
      </c>
      <c r="R264" s="114" t="b">
        <f t="shared" ca="1" si="49"/>
        <v>1</v>
      </c>
      <c r="S264" s="115">
        <f t="shared" ca="1" si="50"/>
        <v>15</v>
      </c>
      <c r="T264" s="126">
        <f t="shared" ca="1" si="51"/>
        <v>46259.631648000002</v>
      </c>
      <c r="U264" s="127" t="str">
        <f t="shared" si="64"/>
        <v>S</v>
      </c>
      <c r="V264" s="128">
        <f t="shared" si="63"/>
        <v>67.296666666666667</v>
      </c>
      <c r="W264" s="129">
        <f t="shared" si="52"/>
        <v>67.296666666666667</v>
      </c>
      <c r="X264" s="197"/>
      <c r="Y264" s="115">
        <f t="shared" ca="1" si="53"/>
        <v>284</v>
      </c>
      <c r="Z264" s="118">
        <f t="shared" ca="1" si="54"/>
        <v>0.22191780821917806</v>
      </c>
      <c r="AA264" s="116"/>
      <c r="AB264" s="117">
        <f t="shared" si="55"/>
        <v>4.3988157111187576</v>
      </c>
      <c r="AC264" s="118">
        <f t="shared" si="56"/>
        <v>0.26661732129661492</v>
      </c>
      <c r="AE264" s="55"/>
      <c r="AF264" s="72"/>
      <c r="AG264" s="72"/>
      <c r="AH264" s="66"/>
      <c r="AJ264" t="s">
        <v>532</v>
      </c>
    </row>
    <row r="265" spans="1:36" ht="16" hidden="1" thickBot="1" x14ac:dyDescent="0.25">
      <c r="A265" s="119" t="s">
        <v>536</v>
      </c>
      <c r="B265" s="120" t="s">
        <v>1340</v>
      </c>
      <c r="C265" s="108" t="str">
        <f t="shared" si="57"/>
        <v>/Applications/Stellarium.app/Contents/Resources/nebulae/default/n7009.png</v>
      </c>
      <c r="D265" s="121" t="s">
        <v>1695</v>
      </c>
      <c r="E265" s="109"/>
      <c r="F265" s="122">
        <v>21</v>
      </c>
      <c r="G265" s="123">
        <v>4</v>
      </c>
      <c r="H265" s="122">
        <v>-12</v>
      </c>
      <c r="I265" s="124">
        <v>36</v>
      </c>
      <c r="J265" s="112" t="s">
        <v>1066</v>
      </c>
      <c r="K265" s="125">
        <v>10.5</v>
      </c>
      <c r="L265" s="196"/>
      <c r="M265" s="110">
        <f t="shared" si="58"/>
        <v>-11.4</v>
      </c>
      <c r="N265" s="111">
        <f t="shared" si="59"/>
        <v>26.380000000000003</v>
      </c>
      <c r="O265" s="112">
        <f t="shared" si="60"/>
        <v>21.066666666666666</v>
      </c>
      <c r="P265" s="113">
        <f t="shared" ca="1" si="61"/>
        <v>46229.885287999998</v>
      </c>
      <c r="Q265" s="114">
        <f t="shared" ca="1" si="62"/>
        <v>46244.885287999998</v>
      </c>
      <c r="R265" s="114" t="b">
        <f t="shared" ca="1" si="49"/>
        <v>1</v>
      </c>
      <c r="S265" s="115">
        <f t="shared" ca="1" si="50"/>
        <v>15</v>
      </c>
      <c r="T265" s="126">
        <f t="shared" ca="1" si="51"/>
        <v>46259.885287999998</v>
      </c>
      <c r="U265" s="127" t="str">
        <f t="shared" si="64"/>
        <v>S</v>
      </c>
      <c r="V265" s="128">
        <f t="shared" si="63"/>
        <v>26.380000000000003</v>
      </c>
      <c r="W265" s="129">
        <f t="shared" si="52"/>
        <v>26.380000000000003</v>
      </c>
      <c r="X265" s="197"/>
      <c r="Y265" s="115">
        <f t="shared" ca="1" si="53"/>
        <v>284</v>
      </c>
      <c r="Z265" s="118">
        <f t="shared" ca="1" si="54"/>
        <v>0.22191780821917806</v>
      </c>
      <c r="AA265" s="116"/>
      <c r="AB265" s="117">
        <f t="shared" si="55"/>
        <v>4.4154368705575875</v>
      </c>
      <c r="AC265" s="118">
        <f t="shared" si="56"/>
        <v>0.26730986960656616</v>
      </c>
      <c r="AE265" s="55"/>
      <c r="AF265" s="72"/>
      <c r="AG265" s="72"/>
      <c r="AH265" s="66"/>
      <c r="AJ265" t="s">
        <v>536</v>
      </c>
    </row>
    <row r="266" spans="1:36" ht="16" hidden="1" thickBot="1" x14ac:dyDescent="0.25">
      <c r="A266" s="119" t="s">
        <v>533</v>
      </c>
      <c r="B266" s="120" t="s">
        <v>1338</v>
      </c>
      <c r="C266" s="108" t="str">
        <f t="shared" si="57"/>
        <v>/Applications/Stellarium.app/Contents/Resources/nebulae/default/n7000.png</v>
      </c>
      <c r="D266" s="121" t="s">
        <v>1696</v>
      </c>
      <c r="E266" s="109"/>
      <c r="F266" s="122">
        <v>21</v>
      </c>
      <c r="G266" s="123">
        <v>6</v>
      </c>
      <c r="H266" s="122">
        <v>41</v>
      </c>
      <c r="I266" s="124">
        <v>50</v>
      </c>
      <c r="J266" s="112" t="s">
        <v>1063</v>
      </c>
      <c r="K266" s="125">
        <v>13.2</v>
      </c>
      <c r="L266" s="196"/>
      <c r="M266" s="110">
        <f t="shared" si="58"/>
        <v>41.833333333333336</v>
      </c>
      <c r="N266" s="111">
        <f t="shared" si="59"/>
        <v>79.613333333333344</v>
      </c>
      <c r="O266" s="112">
        <f t="shared" si="60"/>
        <v>21.1</v>
      </c>
      <c r="P266" s="113">
        <f t="shared" ca="1" si="61"/>
        <v>46230.392568000003</v>
      </c>
      <c r="Q266" s="114">
        <f t="shared" ca="1" si="62"/>
        <v>46245.392568000003</v>
      </c>
      <c r="R266" s="114" t="b">
        <f t="shared" ca="1" si="49"/>
        <v>1</v>
      </c>
      <c r="S266" s="115">
        <f t="shared" ca="1" si="50"/>
        <v>15</v>
      </c>
      <c r="T266" s="126">
        <f t="shared" ca="1" si="51"/>
        <v>46260.392568000003</v>
      </c>
      <c r="U266" s="127" t="str">
        <f t="shared" si="64"/>
        <v>S</v>
      </c>
      <c r="V266" s="128">
        <f t="shared" si="63"/>
        <v>79.613333333333344</v>
      </c>
      <c r="W266" s="129">
        <f t="shared" si="52"/>
        <v>79.613333333333344</v>
      </c>
      <c r="X266" s="197"/>
      <c r="Y266" s="115">
        <f t="shared" ca="1" si="53"/>
        <v>284</v>
      </c>
      <c r="Z266" s="118">
        <f t="shared" ca="1" si="54"/>
        <v>0.22191780821917806</v>
      </c>
      <c r="AA266" s="116"/>
      <c r="AB266" s="117">
        <f t="shared" si="55"/>
        <v>4.4486791894352518</v>
      </c>
      <c r="AC266" s="118">
        <f t="shared" si="56"/>
        <v>0.26869496622646882</v>
      </c>
      <c r="AE266" s="55"/>
      <c r="AF266" s="72"/>
      <c r="AG266" s="72"/>
      <c r="AH266" s="66"/>
      <c r="AJ266" t="s">
        <v>533</v>
      </c>
    </row>
    <row r="267" spans="1:36" ht="16" hidden="1" thickBot="1" x14ac:dyDescent="0.25">
      <c r="A267" s="119" t="s">
        <v>538</v>
      </c>
      <c r="B267" s="120" t="s">
        <v>1341</v>
      </c>
      <c r="C267" s="108" t="str">
        <f t="shared" si="57"/>
        <v>/Applications/Stellarium.app/Contents/Resources/nebulae/default/n7026.png</v>
      </c>
      <c r="D267" s="121" t="s">
        <v>1697</v>
      </c>
      <c r="E267" s="109"/>
      <c r="F267" s="122">
        <v>21</v>
      </c>
      <c r="G267" s="123">
        <v>6</v>
      </c>
      <c r="H267" s="122">
        <v>47</v>
      </c>
      <c r="I267" s="124">
        <v>48</v>
      </c>
      <c r="J267" s="112" t="s">
        <v>924</v>
      </c>
      <c r="K267" s="125">
        <v>13</v>
      </c>
      <c r="L267" s="196"/>
      <c r="M267" s="110">
        <f t="shared" si="58"/>
        <v>47.8</v>
      </c>
      <c r="N267" s="111">
        <f t="shared" si="59"/>
        <v>85.58</v>
      </c>
      <c r="O267" s="112">
        <f t="shared" si="60"/>
        <v>21.1</v>
      </c>
      <c r="P267" s="113">
        <f t="shared" ca="1" si="61"/>
        <v>46230.392568000003</v>
      </c>
      <c r="Q267" s="114">
        <f t="shared" ca="1" si="62"/>
        <v>46245.392568000003</v>
      </c>
      <c r="R267" s="114" t="b">
        <f t="shared" ref="R267:R330" ca="1" si="65">AND(Q267&gt;=DATE(YEAR(Q267),3,31)-WEEKDAY(DATE(YEAR(Q267),3,31),2),Q267&lt;DATE(YEAR(Q267),10,31)-WEEKDAY(DATE(YEAR(Q267),10,31),2))</f>
        <v>1</v>
      </c>
      <c r="S267" s="115">
        <f t="shared" ref="S267:S330" ca="1" si="66">IF(R267,15,0)</f>
        <v>15</v>
      </c>
      <c r="T267" s="126">
        <f t="shared" ref="T267:T330" ca="1" si="67">Q267+S267</f>
        <v>46260.392568000003</v>
      </c>
      <c r="U267" s="127" t="str">
        <f t="shared" si="64"/>
        <v>S</v>
      </c>
      <c r="V267" s="128">
        <f t="shared" si="63"/>
        <v>85.58</v>
      </c>
      <c r="W267" s="129">
        <f t="shared" ref="W267:W330" si="68">IF(M267&lt;&gt;0,V267,"")</f>
        <v>85.58</v>
      </c>
      <c r="X267" s="197"/>
      <c r="Y267" s="115">
        <f t="shared" ref="Y267:Y330" ca="1" si="69">INT(IF(AC$7&gt;T267,AC$7-T267,AC$7+365-T267)+0.5)+S267</f>
        <v>284</v>
      </c>
      <c r="Z267" s="118">
        <f t="shared" ref="Z267:Z330" ca="1" si="70">$AB$5-Y267/365</f>
        <v>0.22191780821917806</v>
      </c>
      <c r="AA267" s="116"/>
      <c r="AB267" s="117">
        <f t="shared" ref="AB267:AB330" si="71">MOD(O267-AB$10,24)/1.00273790935</f>
        <v>4.4486791894352518</v>
      </c>
      <c r="AC267" s="118">
        <f t="shared" ref="AC267:AC330" si="72">(IF(M267&lt;&gt;0,MOD(AB267+AB$11,24)/24,""))</f>
        <v>0.26869496622646882</v>
      </c>
      <c r="AE267" s="55"/>
      <c r="AF267" s="72"/>
      <c r="AG267" s="72"/>
      <c r="AH267" s="66"/>
      <c r="AJ267" t="s">
        <v>538</v>
      </c>
    </row>
    <row r="268" spans="1:36" ht="16" hidden="1" thickBot="1" x14ac:dyDescent="0.25">
      <c r="A268" s="119" t="s">
        <v>537</v>
      </c>
      <c r="B268" s="120" t="s">
        <v>1207</v>
      </c>
      <c r="C268" s="108" t="str">
        <f t="shared" ref="C268:C331" si="73">CONCATENATE(A$9&amp;D268)</f>
        <v>/Applications/Stellarium.app/Contents/Resources/nebulae/default/n7023.png</v>
      </c>
      <c r="D268" s="121" t="s">
        <v>1698</v>
      </c>
      <c r="E268" s="109"/>
      <c r="F268" s="122">
        <v>21</v>
      </c>
      <c r="G268" s="123">
        <v>7</v>
      </c>
      <c r="H268" s="122">
        <v>67</v>
      </c>
      <c r="I268" s="124">
        <v>34</v>
      </c>
      <c r="J268" s="112" t="s">
        <v>1067</v>
      </c>
      <c r="K268" s="125">
        <v>13</v>
      </c>
      <c r="L268" s="196"/>
      <c r="M268" s="110">
        <f t="shared" ref="M268:M331" si="74">H268+I268/60</f>
        <v>67.566666666666663</v>
      </c>
      <c r="N268" s="111">
        <f t="shared" ref="N268:N331" si="75">90-$B$6+M268</f>
        <v>105.34666666666666</v>
      </c>
      <c r="O268" s="112">
        <f t="shared" ref="O268:O331" si="76">F268+G268/60</f>
        <v>21.116666666666667</v>
      </c>
      <c r="P268" s="113">
        <f t="shared" ref="P268:P331" ca="1" si="77">DATE(YEAR(TODAY()),3,21)+MOD(O268-12-$B$7/15,24)*15.2184</f>
        <v>46230.646207999998</v>
      </c>
      <c r="Q268" s="114">
        <f t="shared" ref="Q268:Q331" ca="1" si="78">DATE(YEAR(TODAY()),3,21)+MOD(O268-12-$B$7/15,24)*15.2184+15</f>
        <v>46245.646207999998</v>
      </c>
      <c r="R268" s="114" t="b">
        <f t="shared" ca="1" si="65"/>
        <v>1</v>
      </c>
      <c r="S268" s="115">
        <f t="shared" ca="1" si="66"/>
        <v>15</v>
      </c>
      <c r="T268" s="126">
        <f t="shared" ca="1" si="67"/>
        <v>46260.646207999998</v>
      </c>
      <c r="U268" s="127" t="str">
        <f t="shared" si="64"/>
        <v>N</v>
      </c>
      <c r="V268" s="128">
        <f t="shared" ref="V268:V331" si="79">IF(90-B$6+M268&gt;90,180-90+B$6-M268,90-B$6+M268)</f>
        <v>74.653333333333336</v>
      </c>
      <c r="W268" s="129">
        <f t="shared" si="68"/>
        <v>74.653333333333336</v>
      </c>
      <c r="X268" s="197"/>
      <c r="Y268" s="115">
        <f t="shared" ca="1" si="69"/>
        <v>283</v>
      </c>
      <c r="Z268" s="118">
        <f t="shared" ca="1" si="70"/>
        <v>0.22465753424657531</v>
      </c>
      <c r="AA268" s="116"/>
      <c r="AB268" s="117">
        <f t="shared" si="71"/>
        <v>4.4653003488740826</v>
      </c>
      <c r="AC268" s="118">
        <f t="shared" si="72"/>
        <v>0.26938751453642013</v>
      </c>
      <c r="AE268" s="55"/>
      <c r="AF268" s="72"/>
      <c r="AG268" s="72"/>
      <c r="AH268" s="66"/>
      <c r="AJ268" t="s">
        <v>537</v>
      </c>
    </row>
    <row r="269" spans="1:36" ht="16" hidden="1" thickBot="1" x14ac:dyDescent="0.25">
      <c r="A269" s="119" t="s">
        <v>539</v>
      </c>
      <c r="B269" s="120" t="s">
        <v>1342</v>
      </c>
      <c r="C269" s="108" t="str">
        <f t="shared" si="73"/>
        <v>/Applications/Stellarium.app/Contents/Resources/nebulae/default/n7027.png</v>
      </c>
      <c r="D269" s="121" t="s">
        <v>1699</v>
      </c>
      <c r="E269" s="109"/>
      <c r="F269" s="122">
        <v>21</v>
      </c>
      <c r="G269" s="123">
        <v>7</v>
      </c>
      <c r="H269" s="122">
        <v>42</v>
      </c>
      <c r="I269" s="124">
        <v>13</v>
      </c>
      <c r="J269" s="112" t="s">
        <v>1068</v>
      </c>
      <c r="K269" s="125">
        <v>12.5</v>
      </c>
      <c r="L269" s="196"/>
      <c r="M269" s="110">
        <f t="shared" si="74"/>
        <v>42.216666666666669</v>
      </c>
      <c r="N269" s="111">
        <f t="shared" si="75"/>
        <v>79.99666666666667</v>
      </c>
      <c r="O269" s="112">
        <f t="shared" si="76"/>
        <v>21.116666666666667</v>
      </c>
      <c r="P269" s="113">
        <f t="shared" ca="1" si="77"/>
        <v>46230.646207999998</v>
      </c>
      <c r="Q269" s="114">
        <f t="shared" ca="1" si="78"/>
        <v>46245.646207999998</v>
      </c>
      <c r="R269" s="114" t="b">
        <f t="shared" ca="1" si="65"/>
        <v>1</v>
      </c>
      <c r="S269" s="115">
        <f t="shared" ca="1" si="66"/>
        <v>15</v>
      </c>
      <c r="T269" s="126">
        <f t="shared" ca="1" si="67"/>
        <v>46260.646207999998</v>
      </c>
      <c r="U269" s="127" t="str">
        <f t="shared" si="64"/>
        <v>S</v>
      </c>
      <c r="V269" s="128">
        <f t="shared" si="79"/>
        <v>79.99666666666667</v>
      </c>
      <c r="W269" s="129">
        <f t="shared" si="68"/>
        <v>79.99666666666667</v>
      </c>
      <c r="X269" s="197"/>
      <c r="Y269" s="115">
        <f t="shared" ca="1" si="69"/>
        <v>283</v>
      </c>
      <c r="Z269" s="118">
        <f t="shared" ca="1" si="70"/>
        <v>0.22465753424657531</v>
      </c>
      <c r="AA269" s="116"/>
      <c r="AB269" s="117">
        <f t="shared" si="71"/>
        <v>4.4653003488740826</v>
      </c>
      <c r="AC269" s="118">
        <f t="shared" si="72"/>
        <v>0.26938751453642013</v>
      </c>
      <c r="AE269" s="55"/>
      <c r="AF269" s="72"/>
      <c r="AG269" s="72"/>
      <c r="AH269" s="66"/>
      <c r="AJ269" t="s">
        <v>539</v>
      </c>
    </row>
    <row r="270" spans="1:36" ht="16" hidden="1" thickBot="1" x14ac:dyDescent="0.25">
      <c r="A270" s="119" t="s">
        <v>688</v>
      </c>
      <c r="B270" s="120" t="s">
        <v>1425</v>
      </c>
      <c r="C270" s="108" t="str">
        <f t="shared" si="73"/>
        <v>/Applications/Stellarium.app/Contents/Resources/nebulae/default/lbn550.png</v>
      </c>
      <c r="D270" s="121" t="s">
        <v>1700</v>
      </c>
      <c r="E270" s="109"/>
      <c r="F270" s="122">
        <v>21</v>
      </c>
      <c r="G270" s="123">
        <v>13</v>
      </c>
      <c r="H270" s="122">
        <v>76</v>
      </c>
      <c r="I270" s="124">
        <v>56</v>
      </c>
      <c r="J270" s="112" t="s">
        <v>1167</v>
      </c>
      <c r="K270" s="125">
        <v>14.5</v>
      </c>
      <c r="L270" s="196"/>
      <c r="M270" s="110">
        <f t="shared" si="74"/>
        <v>76.933333333333337</v>
      </c>
      <c r="N270" s="111">
        <f t="shared" si="75"/>
        <v>114.71333333333334</v>
      </c>
      <c r="O270" s="112">
        <f t="shared" si="76"/>
        <v>21.216666666666665</v>
      </c>
      <c r="P270" s="113">
        <f t="shared" ca="1" si="77"/>
        <v>46232.168048</v>
      </c>
      <c r="Q270" s="114">
        <f t="shared" ca="1" si="78"/>
        <v>46247.168048</v>
      </c>
      <c r="R270" s="114" t="b">
        <f t="shared" ca="1" si="65"/>
        <v>1</v>
      </c>
      <c r="S270" s="115">
        <f t="shared" ca="1" si="66"/>
        <v>15</v>
      </c>
      <c r="T270" s="126">
        <f t="shared" ca="1" si="67"/>
        <v>46262.168048</v>
      </c>
      <c r="U270" s="127" t="str">
        <f t="shared" si="64"/>
        <v>N</v>
      </c>
      <c r="V270" s="128">
        <f t="shared" si="79"/>
        <v>65.286666666666662</v>
      </c>
      <c r="W270" s="129">
        <f t="shared" si="68"/>
        <v>65.286666666666662</v>
      </c>
      <c r="X270" s="197"/>
      <c r="Y270" s="115">
        <f t="shared" ca="1" si="69"/>
        <v>282</v>
      </c>
      <c r="Z270" s="118">
        <f t="shared" ca="1" si="70"/>
        <v>0.22739726027397256</v>
      </c>
      <c r="AA270" s="116"/>
      <c r="AB270" s="117">
        <f t="shared" si="71"/>
        <v>4.5650273055070674</v>
      </c>
      <c r="AC270" s="118">
        <f t="shared" si="72"/>
        <v>0.27354280439612783</v>
      </c>
      <c r="AE270" s="55"/>
      <c r="AF270" s="72"/>
      <c r="AG270" s="72"/>
      <c r="AH270" s="66"/>
      <c r="AJ270" t="s">
        <v>688</v>
      </c>
    </row>
    <row r="271" spans="1:36" ht="16" hidden="1" thickBot="1" x14ac:dyDescent="0.25">
      <c r="A271" s="119" t="s">
        <v>540</v>
      </c>
      <c r="B271" s="120" t="s">
        <v>1343</v>
      </c>
      <c r="C271" s="108" t="str">
        <f t="shared" si="73"/>
        <v>/Applications/Stellarium.app/Contents/Resources/nebulae/default/n7048.png</v>
      </c>
      <c r="D271" s="121" t="s">
        <v>1701</v>
      </c>
      <c r="E271" s="109"/>
      <c r="F271" s="122">
        <v>21</v>
      </c>
      <c r="G271" s="123">
        <v>14</v>
      </c>
      <c r="H271" s="122">
        <v>46</v>
      </c>
      <c r="I271" s="124">
        <v>15</v>
      </c>
      <c r="J271" s="112" t="s">
        <v>1069</v>
      </c>
      <c r="K271" s="125">
        <v>12.5</v>
      </c>
      <c r="L271" s="196"/>
      <c r="M271" s="110">
        <f t="shared" si="74"/>
        <v>46.25</v>
      </c>
      <c r="N271" s="111">
        <f t="shared" si="75"/>
        <v>84.03</v>
      </c>
      <c r="O271" s="112">
        <f t="shared" si="76"/>
        <v>21.233333333333334</v>
      </c>
      <c r="P271" s="113">
        <f t="shared" ca="1" si="77"/>
        <v>46232.421688000002</v>
      </c>
      <c r="Q271" s="114">
        <f t="shared" ca="1" si="78"/>
        <v>46247.421688000002</v>
      </c>
      <c r="R271" s="114" t="b">
        <f t="shared" ca="1" si="65"/>
        <v>1</v>
      </c>
      <c r="S271" s="115">
        <f t="shared" ca="1" si="66"/>
        <v>15</v>
      </c>
      <c r="T271" s="126">
        <f t="shared" ca="1" si="67"/>
        <v>46262.421688000002</v>
      </c>
      <c r="U271" s="127" t="str">
        <f t="shared" si="64"/>
        <v>S</v>
      </c>
      <c r="V271" s="128">
        <f t="shared" si="79"/>
        <v>84.03</v>
      </c>
      <c r="W271" s="129">
        <f t="shared" si="68"/>
        <v>84.03</v>
      </c>
      <c r="X271" s="197"/>
      <c r="Y271" s="115">
        <f t="shared" ca="1" si="69"/>
        <v>282</v>
      </c>
      <c r="Z271" s="118">
        <f t="shared" ca="1" si="70"/>
        <v>0.22739726027397256</v>
      </c>
      <c r="AA271" s="116"/>
      <c r="AB271" s="117">
        <f t="shared" si="71"/>
        <v>4.5816484649459017</v>
      </c>
      <c r="AC271" s="118">
        <f t="shared" si="72"/>
        <v>0.27423535270607924</v>
      </c>
      <c r="AE271" s="55"/>
      <c r="AF271" s="72"/>
      <c r="AG271" s="72"/>
      <c r="AH271" s="66"/>
      <c r="AJ271" t="s">
        <v>540</v>
      </c>
    </row>
    <row r="272" spans="1:36" ht="16" hidden="1" thickBot="1" x14ac:dyDescent="0.25">
      <c r="A272" s="119" t="s">
        <v>623</v>
      </c>
      <c r="B272" s="120" t="s">
        <v>1395</v>
      </c>
      <c r="C272" s="108" t="str">
        <f t="shared" si="73"/>
        <v>/Applications/Stellarium.app/Contents/Resources/nebulae/default/sh2-136.png</v>
      </c>
      <c r="D272" s="121" t="s">
        <v>1702</v>
      </c>
      <c r="E272" s="109"/>
      <c r="F272" s="122">
        <v>21</v>
      </c>
      <c r="G272" s="123">
        <v>18</v>
      </c>
      <c r="H272" s="122">
        <v>68</v>
      </c>
      <c r="I272" s="124">
        <v>3</v>
      </c>
      <c r="J272" s="112" t="s">
        <v>1129</v>
      </c>
      <c r="K272" s="125">
        <v>14.2</v>
      </c>
      <c r="L272" s="196"/>
      <c r="M272" s="110">
        <f t="shared" si="74"/>
        <v>68.05</v>
      </c>
      <c r="N272" s="111">
        <f t="shared" si="75"/>
        <v>105.83</v>
      </c>
      <c r="O272" s="112">
        <f t="shared" si="76"/>
        <v>21.3</v>
      </c>
      <c r="P272" s="113">
        <f t="shared" ca="1" si="77"/>
        <v>46233.436247999998</v>
      </c>
      <c r="Q272" s="114">
        <f t="shared" ca="1" si="78"/>
        <v>46248.436247999998</v>
      </c>
      <c r="R272" s="114" t="b">
        <f t="shared" ca="1" si="65"/>
        <v>1</v>
      </c>
      <c r="S272" s="115">
        <f t="shared" ca="1" si="66"/>
        <v>15</v>
      </c>
      <c r="T272" s="126">
        <f t="shared" ca="1" si="67"/>
        <v>46263.436247999998</v>
      </c>
      <c r="U272" s="127" t="str">
        <f t="shared" si="64"/>
        <v>N</v>
      </c>
      <c r="V272" s="128">
        <f t="shared" si="79"/>
        <v>74.17</v>
      </c>
      <c r="W272" s="129">
        <f t="shared" si="68"/>
        <v>74.17</v>
      </c>
      <c r="X272" s="197"/>
      <c r="Y272" s="115">
        <f t="shared" ca="1" si="69"/>
        <v>281</v>
      </c>
      <c r="Z272" s="118">
        <f t="shared" ca="1" si="70"/>
        <v>0.23013698630136992</v>
      </c>
      <c r="AA272" s="116"/>
      <c r="AB272" s="117">
        <f t="shared" si="71"/>
        <v>4.6481331027012258</v>
      </c>
      <c r="AC272" s="118">
        <f t="shared" si="72"/>
        <v>0.27700554594588439</v>
      </c>
      <c r="AE272" s="55"/>
      <c r="AF272" s="72"/>
      <c r="AG272" s="72"/>
      <c r="AH272" s="66"/>
      <c r="AJ272" t="s">
        <v>623</v>
      </c>
    </row>
    <row r="273" spans="1:36" ht="16" hidden="1" thickBot="1" x14ac:dyDescent="0.25">
      <c r="A273" s="119" t="s">
        <v>621</v>
      </c>
      <c r="B273" s="120" t="s">
        <v>1397</v>
      </c>
      <c r="C273" s="108" t="str">
        <f t="shared" si="73"/>
        <v>/Applications/Stellarium.app/Contents/Resources/nebulae/default/sh2-129.png</v>
      </c>
      <c r="D273" s="121" t="s">
        <v>1703</v>
      </c>
      <c r="E273" s="109"/>
      <c r="F273" s="122">
        <v>21</v>
      </c>
      <c r="G273" s="123">
        <v>23</v>
      </c>
      <c r="H273" s="122">
        <v>58</v>
      </c>
      <c r="I273" s="124">
        <v>24</v>
      </c>
      <c r="J273" s="112" t="s">
        <v>1126</v>
      </c>
      <c r="K273" s="125">
        <v>15.2</v>
      </c>
      <c r="L273" s="196"/>
      <c r="M273" s="110">
        <f t="shared" si="74"/>
        <v>58.4</v>
      </c>
      <c r="N273" s="111">
        <f t="shared" si="75"/>
        <v>96.18</v>
      </c>
      <c r="O273" s="112">
        <f t="shared" si="76"/>
        <v>21.383333333333333</v>
      </c>
      <c r="P273" s="113">
        <f t="shared" ca="1" si="77"/>
        <v>46234.704447999997</v>
      </c>
      <c r="Q273" s="114">
        <f t="shared" ca="1" si="78"/>
        <v>46249.704447999997</v>
      </c>
      <c r="R273" s="114" t="b">
        <f t="shared" ca="1" si="65"/>
        <v>1</v>
      </c>
      <c r="S273" s="115">
        <f t="shared" ca="1" si="66"/>
        <v>15</v>
      </c>
      <c r="T273" s="126">
        <f t="shared" ca="1" si="67"/>
        <v>46264.704447999997</v>
      </c>
      <c r="U273" s="127" t="str">
        <f t="shared" si="64"/>
        <v>N</v>
      </c>
      <c r="V273" s="128">
        <f t="shared" si="79"/>
        <v>83.82</v>
      </c>
      <c r="W273" s="129">
        <f t="shared" si="68"/>
        <v>83.82</v>
      </c>
      <c r="X273" s="197"/>
      <c r="Y273" s="115">
        <f t="shared" ca="1" si="69"/>
        <v>279</v>
      </c>
      <c r="Z273" s="118">
        <f t="shared" ca="1" si="70"/>
        <v>0.23561643835616441</v>
      </c>
      <c r="AA273" s="116"/>
      <c r="AB273" s="117">
        <f t="shared" si="71"/>
        <v>4.7312388998953816</v>
      </c>
      <c r="AC273" s="118">
        <f t="shared" si="72"/>
        <v>0.2804682874956409</v>
      </c>
      <c r="AE273" s="55"/>
      <c r="AF273" s="72"/>
      <c r="AG273" s="72"/>
      <c r="AH273" s="66"/>
      <c r="AJ273" t="s">
        <v>621</v>
      </c>
    </row>
    <row r="274" spans="1:36" ht="16" hidden="1" thickBot="1" x14ac:dyDescent="0.25">
      <c r="A274" s="119" t="s">
        <v>617</v>
      </c>
      <c r="B274" s="120" t="s">
        <v>1396</v>
      </c>
      <c r="C274" s="108" t="str">
        <f t="shared" si="73"/>
        <v>/Applications/Stellarium.app/Contents/Resources/nebulae/default/sh2-113.png</v>
      </c>
      <c r="D274" s="121" t="s">
        <v>1704</v>
      </c>
      <c r="E274" s="109"/>
      <c r="F274" s="122">
        <v>21</v>
      </c>
      <c r="G274" s="123">
        <v>25</v>
      </c>
      <c r="H274" s="122">
        <v>38</v>
      </c>
      <c r="I274" s="124">
        <v>4</v>
      </c>
      <c r="J274" s="112" t="s">
        <v>1115</v>
      </c>
      <c r="K274" s="125">
        <v>13.5</v>
      </c>
      <c r="L274" s="196"/>
      <c r="M274" s="110">
        <f t="shared" si="74"/>
        <v>38.06666666666667</v>
      </c>
      <c r="N274" s="111">
        <f t="shared" si="75"/>
        <v>75.846666666666664</v>
      </c>
      <c r="O274" s="112">
        <f t="shared" si="76"/>
        <v>21.416666666666668</v>
      </c>
      <c r="P274" s="113">
        <f t="shared" ca="1" si="77"/>
        <v>46235.211728000002</v>
      </c>
      <c r="Q274" s="114">
        <f t="shared" ca="1" si="78"/>
        <v>46250.211728000002</v>
      </c>
      <c r="R274" s="114" t="b">
        <f t="shared" ca="1" si="65"/>
        <v>1</v>
      </c>
      <c r="S274" s="115">
        <f t="shared" ca="1" si="66"/>
        <v>15</v>
      </c>
      <c r="T274" s="126">
        <f t="shared" ca="1" si="67"/>
        <v>46265.211728000002</v>
      </c>
      <c r="U274" s="127" t="str">
        <f t="shared" si="64"/>
        <v>S</v>
      </c>
      <c r="V274" s="128">
        <f t="shared" si="79"/>
        <v>75.846666666666664</v>
      </c>
      <c r="W274" s="129">
        <f t="shared" si="68"/>
        <v>75.846666666666664</v>
      </c>
      <c r="X274" s="197"/>
      <c r="Y274" s="115">
        <f t="shared" ca="1" si="69"/>
        <v>279</v>
      </c>
      <c r="Z274" s="118">
        <f t="shared" ca="1" si="70"/>
        <v>0.23561643835616441</v>
      </c>
      <c r="AA274" s="116"/>
      <c r="AB274" s="117">
        <f t="shared" si="71"/>
        <v>4.764481218773045</v>
      </c>
      <c r="AC274" s="118">
        <f t="shared" si="72"/>
        <v>0.28185338411554356</v>
      </c>
      <c r="AE274" s="55"/>
      <c r="AF274" s="72"/>
      <c r="AG274" s="72"/>
      <c r="AH274" s="66"/>
      <c r="AJ274" t="s">
        <v>617</v>
      </c>
    </row>
    <row r="275" spans="1:36" ht="16" hidden="1" thickBot="1" x14ac:dyDescent="0.25">
      <c r="A275" s="119" t="s">
        <v>619</v>
      </c>
      <c r="B275" s="120" t="s">
        <v>1396</v>
      </c>
      <c r="C275" s="108" t="str">
        <f t="shared" si="73"/>
        <v>/Applications/Stellarium.app/Contents/Resources/nebulae/default/sh2-119.png</v>
      </c>
      <c r="D275" s="121" t="s">
        <v>1705</v>
      </c>
      <c r="E275" s="109"/>
      <c r="F275" s="122">
        <v>21</v>
      </c>
      <c r="G275" s="123">
        <v>26</v>
      </c>
      <c r="H275" s="122">
        <v>42</v>
      </c>
      <c r="I275" s="124">
        <v>23</v>
      </c>
      <c r="J275" s="112" t="s">
        <v>1124</v>
      </c>
      <c r="K275" s="125">
        <v>14</v>
      </c>
      <c r="L275" s="196"/>
      <c r="M275" s="110">
        <f t="shared" si="74"/>
        <v>42.383333333333333</v>
      </c>
      <c r="N275" s="111">
        <f t="shared" si="75"/>
        <v>80.163333333333327</v>
      </c>
      <c r="O275" s="112">
        <f t="shared" si="76"/>
        <v>21.433333333333334</v>
      </c>
      <c r="P275" s="113">
        <f t="shared" ca="1" si="77"/>
        <v>46235.465367999997</v>
      </c>
      <c r="Q275" s="114">
        <f t="shared" ca="1" si="78"/>
        <v>46250.465367999997</v>
      </c>
      <c r="R275" s="114" t="b">
        <f t="shared" ca="1" si="65"/>
        <v>1</v>
      </c>
      <c r="S275" s="115">
        <f t="shared" ca="1" si="66"/>
        <v>15</v>
      </c>
      <c r="T275" s="126">
        <f t="shared" ca="1" si="67"/>
        <v>46265.465367999997</v>
      </c>
      <c r="U275" s="127" t="str">
        <f t="shared" si="64"/>
        <v>S</v>
      </c>
      <c r="V275" s="128">
        <f t="shared" si="79"/>
        <v>80.163333333333327</v>
      </c>
      <c r="W275" s="129">
        <f t="shared" si="68"/>
        <v>80.163333333333327</v>
      </c>
      <c r="X275" s="197"/>
      <c r="Y275" s="115">
        <f t="shared" ca="1" si="69"/>
        <v>279</v>
      </c>
      <c r="Z275" s="118">
        <f t="shared" ca="1" si="70"/>
        <v>0.23561643835616441</v>
      </c>
      <c r="AA275" s="116"/>
      <c r="AB275" s="117">
        <f t="shared" si="71"/>
        <v>4.7811023782118758</v>
      </c>
      <c r="AC275" s="118">
        <f t="shared" si="72"/>
        <v>0.28254593242549481</v>
      </c>
      <c r="AE275" s="55"/>
      <c r="AF275" s="72"/>
      <c r="AG275" s="72"/>
      <c r="AH275" s="66"/>
      <c r="AJ275" t="s">
        <v>619</v>
      </c>
    </row>
    <row r="276" spans="1:36" ht="16" hidden="1" thickBot="1" x14ac:dyDescent="0.25">
      <c r="A276" s="119" t="s">
        <v>107</v>
      </c>
      <c r="B276" s="120" t="s">
        <v>1200</v>
      </c>
      <c r="C276" s="108" t="str">
        <f t="shared" si="73"/>
        <v>/Applications/Stellarium.app/Contents/Resources/nebulae/default/m15-vasey.png</v>
      </c>
      <c r="D276" s="121" t="s">
        <v>1706</v>
      </c>
      <c r="E276" s="109"/>
      <c r="F276" s="122">
        <v>21</v>
      </c>
      <c r="G276" s="123">
        <v>30</v>
      </c>
      <c r="H276" s="122">
        <v>11</v>
      </c>
      <c r="I276" s="124">
        <v>57</v>
      </c>
      <c r="J276" s="112" t="s">
        <v>721</v>
      </c>
      <c r="K276" s="125">
        <v>13.4</v>
      </c>
      <c r="L276" s="196"/>
      <c r="M276" s="110">
        <f t="shared" si="74"/>
        <v>11.95</v>
      </c>
      <c r="N276" s="111">
        <f t="shared" si="75"/>
        <v>49.730000000000004</v>
      </c>
      <c r="O276" s="112">
        <f t="shared" si="76"/>
        <v>21.5</v>
      </c>
      <c r="P276" s="113">
        <f t="shared" ca="1" si="77"/>
        <v>46236.479928000001</v>
      </c>
      <c r="Q276" s="114">
        <f t="shared" ca="1" si="78"/>
        <v>46251.479928000001</v>
      </c>
      <c r="R276" s="114" t="b">
        <f t="shared" ca="1" si="65"/>
        <v>1</v>
      </c>
      <c r="S276" s="115">
        <f t="shared" ca="1" si="66"/>
        <v>15</v>
      </c>
      <c r="T276" s="126">
        <f t="shared" ca="1" si="67"/>
        <v>46266.479928000001</v>
      </c>
      <c r="U276" s="127" t="str">
        <f t="shared" si="64"/>
        <v>S</v>
      </c>
      <c r="V276" s="128">
        <f t="shared" si="79"/>
        <v>49.730000000000004</v>
      </c>
      <c r="W276" s="129">
        <f t="shared" si="68"/>
        <v>49.730000000000004</v>
      </c>
      <c r="X276" s="197"/>
      <c r="Y276" s="115">
        <f t="shared" ca="1" si="69"/>
        <v>278</v>
      </c>
      <c r="Z276" s="118">
        <f t="shared" ca="1" si="70"/>
        <v>0.23835616438356166</v>
      </c>
      <c r="AA276" s="116"/>
      <c r="AB276" s="117">
        <f t="shared" si="71"/>
        <v>4.8475870159672008</v>
      </c>
      <c r="AC276" s="118">
        <f t="shared" si="72"/>
        <v>0.28531612566530001</v>
      </c>
      <c r="AE276" s="55"/>
      <c r="AF276" s="72"/>
      <c r="AG276" s="72"/>
      <c r="AH276" s="66"/>
      <c r="AJ276" t="s">
        <v>107</v>
      </c>
    </row>
    <row r="277" spans="1:36" ht="16" hidden="1" thickBot="1" x14ac:dyDescent="0.25">
      <c r="A277" s="119" t="s">
        <v>94</v>
      </c>
      <c r="B277" s="120" t="s">
        <v>1191</v>
      </c>
      <c r="C277" s="108" t="str">
        <f t="shared" si="73"/>
        <v>/Applications/Stellarium.app/Contents/Resources/nebulae/default/m2.png</v>
      </c>
      <c r="D277" s="121" t="s">
        <v>1707</v>
      </c>
      <c r="E277" s="109"/>
      <c r="F277" s="122">
        <v>21</v>
      </c>
      <c r="G277" s="123">
        <v>33</v>
      </c>
      <c r="H277" s="122">
        <v>-1</v>
      </c>
      <c r="I277" s="124">
        <v>1</v>
      </c>
      <c r="J277" s="112" t="s">
        <v>720</v>
      </c>
      <c r="K277" s="125">
        <v>13.9</v>
      </c>
      <c r="L277" s="196"/>
      <c r="M277" s="110">
        <f t="shared" si="74"/>
        <v>-0.98333333333333328</v>
      </c>
      <c r="N277" s="111">
        <f t="shared" si="75"/>
        <v>36.796666666666667</v>
      </c>
      <c r="O277" s="112">
        <f t="shared" si="76"/>
        <v>21.55</v>
      </c>
      <c r="P277" s="113">
        <f t="shared" ca="1" si="77"/>
        <v>46237.240848000001</v>
      </c>
      <c r="Q277" s="114">
        <f t="shared" ca="1" si="78"/>
        <v>46252.240848000001</v>
      </c>
      <c r="R277" s="114" t="b">
        <f t="shared" ca="1" si="65"/>
        <v>1</v>
      </c>
      <c r="S277" s="115">
        <f t="shared" ca="1" si="66"/>
        <v>15</v>
      </c>
      <c r="T277" s="126">
        <f t="shared" ca="1" si="67"/>
        <v>46267.240848000001</v>
      </c>
      <c r="U277" s="127" t="str">
        <f t="shared" si="64"/>
        <v>S</v>
      </c>
      <c r="V277" s="128">
        <f t="shared" si="79"/>
        <v>36.796666666666667</v>
      </c>
      <c r="W277" s="129">
        <f t="shared" si="68"/>
        <v>36.796666666666667</v>
      </c>
      <c r="X277" s="197"/>
      <c r="Y277" s="115">
        <f t="shared" ca="1" si="69"/>
        <v>277</v>
      </c>
      <c r="Z277" s="118">
        <f t="shared" ca="1" si="70"/>
        <v>0.24109589041095891</v>
      </c>
      <c r="AA277" s="116"/>
      <c r="AB277" s="117">
        <f t="shared" si="71"/>
        <v>4.8974504942836949</v>
      </c>
      <c r="AC277" s="118">
        <f t="shared" si="72"/>
        <v>0.28739377059515397</v>
      </c>
      <c r="AE277" s="55"/>
      <c r="AF277" s="72"/>
      <c r="AG277" s="72"/>
      <c r="AH277" s="66"/>
      <c r="AJ277" t="s">
        <v>94</v>
      </c>
    </row>
    <row r="278" spans="1:36" ht="16" hidden="1" thickBot="1" x14ac:dyDescent="0.25">
      <c r="A278" s="119" t="s">
        <v>130</v>
      </c>
      <c r="B278" s="120" t="s">
        <v>1207</v>
      </c>
      <c r="C278" s="108" t="str">
        <f t="shared" si="73"/>
        <v>/Applications/Stellarium.app/Contents/Resources/nebulae/default/m39-dss.png</v>
      </c>
      <c r="D278" s="121" t="s">
        <v>1708</v>
      </c>
      <c r="E278" s="109"/>
      <c r="F278" s="122">
        <v>21</v>
      </c>
      <c r="G278" s="123">
        <v>33</v>
      </c>
      <c r="H278" s="122">
        <v>48</v>
      </c>
      <c r="I278" s="124">
        <v>10</v>
      </c>
      <c r="J278" s="112" t="s">
        <v>741</v>
      </c>
      <c r="K278" s="125">
        <v>12.4</v>
      </c>
      <c r="L278" s="196"/>
      <c r="M278" s="110">
        <f t="shared" si="74"/>
        <v>48.166666666666664</v>
      </c>
      <c r="N278" s="111">
        <f t="shared" si="75"/>
        <v>85.946666666666658</v>
      </c>
      <c r="O278" s="112">
        <f t="shared" si="76"/>
        <v>21.55</v>
      </c>
      <c r="P278" s="113">
        <f t="shared" ca="1" si="77"/>
        <v>46237.240848000001</v>
      </c>
      <c r="Q278" s="114">
        <f t="shared" ca="1" si="78"/>
        <v>46252.240848000001</v>
      </c>
      <c r="R278" s="114" t="b">
        <f t="shared" ca="1" si="65"/>
        <v>1</v>
      </c>
      <c r="S278" s="115">
        <f t="shared" ca="1" si="66"/>
        <v>15</v>
      </c>
      <c r="T278" s="126">
        <f t="shared" ca="1" si="67"/>
        <v>46267.240848000001</v>
      </c>
      <c r="U278" s="127" t="str">
        <f t="shared" si="64"/>
        <v>S</v>
      </c>
      <c r="V278" s="128">
        <f t="shared" si="79"/>
        <v>85.946666666666658</v>
      </c>
      <c r="W278" s="129">
        <f t="shared" si="68"/>
        <v>85.946666666666658</v>
      </c>
      <c r="X278" s="197"/>
      <c r="Y278" s="115">
        <f t="shared" ca="1" si="69"/>
        <v>277</v>
      </c>
      <c r="Z278" s="118">
        <f t="shared" ca="1" si="70"/>
        <v>0.24109589041095891</v>
      </c>
      <c r="AA278" s="116"/>
      <c r="AB278" s="117">
        <f t="shared" si="71"/>
        <v>4.8974504942836949</v>
      </c>
      <c r="AC278" s="118">
        <f t="shared" si="72"/>
        <v>0.28739377059515397</v>
      </c>
      <c r="AE278" s="55"/>
      <c r="AF278" s="72"/>
      <c r="AG278" s="72"/>
      <c r="AH278" s="66"/>
      <c r="AJ278" t="s">
        <v>130</v>
      </c>
    </row>
    <row r="279" spans="1:36" ht="16" hidden="1" thickBot="1" x14ac:dyDescent="0.25">
      <c r="A279" s="119" t="s">
        <v>122</v>
      </c>
      <c r="B279" s="120" t="s">
        <v>1211</v>
      </c>
      <c r="C279" s="108" t="str">
        <f t="shared" si="73"/>
        <v>/Applications/Stellarium.app/Contents/Resources/nebulae/default/m30.png</v>
      </c>
      <c r="D279" s="121" t="s">
        <v>1709</v>
      </c>
      <c r="E279" s="109"/>
      <c r="F279" s="122">
        <v>21</v>
      </c>
      <c r="G279" s="123">
        <v>40</v>
      </c>
      <c r="H279" s="122">
        <v>-24</v>
      </c>
      <c r="I279" s="124">
        <v>43</v>
      </c>
      <c r="J279" s="112" t="s">
        <v>726</v>
      </c>
      <c r="K279" s="125">
        <v>13.5</v>
      </c>
      <c r="L279" s="196"/>
      <c r="M279" s="110">
        <f t="shared" si="74"/>
        <v>-23.283333333333335</v>
      </c>
      <c r="N279" s="111">
        <f t="shared" si="75"/>
        <v>14.496666666666666</v>
      </c>
      <c r="O279" s="112">
        <f t="shared" si="76"/>
        <v>21.666666666666668</v>
      </c>
      <c r="P279" s="113">
        <f t="shared" ca="1" si="77"/>
        <v>46239.016327999998</v>
      </c>
      <c r="Q279" s="114">
        <f t="shared" ca="1" si="78"/>
        <v>46254.016327999998</v>
      </c>
      <c r="R279" s="114" t="b">
        <f t="shared" ca="1" si="65"/>
        <v>1</v>
      </c>
      <c r="S279" s="115">
        <f t="shared" ca="1" si="66"/>
        <v>15</v>
      </c>
      <c r="T279" s="126">
        <f t="shared" ca="1" si="67"/>
        <v>46269.016327999998</v>
      </c>
      <c r="U279" s="127" t="str">
        <f t="shared" si="64"/>
        <v>S</v>
      </c>
      <c r="V279" s="128">
        <f t="shared" si="79"/>
        <v>14.496666666666666</v>
      </c>
      <c r="W279" s="129">
        <f t="shared" si="68"/>
        <v>14.496666666666666</v>
      </c>
      <c r="X279" s="197"/>
      <c r="Y279" s="115">
        <f t="shared" ca="1" si="69"/>
        <v>275</v>
      </c>
      <c r="Z279" s="118">
        <f t="shared" ca="1" si="70"/>
        <v>0.24657534246575341</v>
      </c>
      <c r="AA279" s="116"/>
      <c r="AB279" s="117">
        <f t="shared" si="71"/>
        <v>5.0137986103555141</v>
      </c>
      <c r="AC279" s="118">
        <f t="shared" si="72"/>
        <v>0.29224160876481309</v>
      </c>
      <c r="AE279" s="55"/>
      <c r="AF279" s="72"/>
      <c r="AG279" s="72"/>
      <c r="AH279" s="66"/>
      <c r="AJ279" t="s">
        <v>122</v>
      </c>
    </row>
    <row r="280" spans="1:36" ht="16" hidden="1" thickBot="1" x14ac:dyDescent="0.25">
      <c r="A280" s="119" t="s">
        <v>541</v>
      </c>
      <c r="B280" s="120" t="s">
        <v>1344</v>
      </c>
      <c r="C280" s="108" t="str">
        <f t="shared" si="73"/>
        <v>/Applications/Stellarium.app/Contents/Resources/nebulae/default/n7129.png</v>
      </c>
      <c r="D280" s="121" t="s">
        <v>1710</v>
      </c>
      <c r="E280" s="109"/>
      <c r="F280" s="122">
        <v>21</v>
      </c>
      <c r="G280" s="123">
        <v>44</v>
      </c>
      <c r="H280" s="122">
        <v>65</v>
      </c>
      <c r="I280" s="124">
        <v>57</v>
      </c>
      <c r="J280" s="112" t="s">
        <v>1070</v>
      </c>
      <c r="K280" s="125">
        <v>13</v>
      </c>
      <c r="L280" s="196"/>
      <c r="M280" s="110">
        <f t="shared" si="74"/>
        <v>65.95</v>
      </c>
      <c r="N280" s="111">
        <f t="shared" si="75"/>
        <v>103.73</v>
      </c>
      <c r="O280" s="112">
        <f t="shared" si="76"/>
        <v>21.733333333333334</v>
      </c>
      <c r="P280" s="113">
        <f t="shared" ca="1" si="77"/>
        <v>46240.030888000001</v>
      </c>
      <c r="Q280" s="114">
        <f t="shared" ca="1" si="78"/>
        <v>46255.030888000001</v>
      </c>
      <c r="R280" s="114" t="b">
        <f t="shared" ca="1" si="65"/>
        <v>1</v>
      </c>
      <c r="S280" s="115">
        <f t="shared" ca="1" si="66"/>
        <v>15</v>
      </c>
      <c r="T280" s="126">
        <f t="shared" ca="1" si="67"/>
        <v>46270.030888000001</v>
      </c>
      <c r="U280" s="127" t="str">
        <f t="shared" si="64"/>
        <v>N</v>
      </c>
      <c r="V280" s="128">
        <f t="shared" si="79"/>
        <v>76.27</v>
      </c>
      <c r="W280" s="129">
        <f t="shared" si="68"/>
        <v>76.27</v>
      </c>
      <c r="X280" s="197"/>
      <c r="Y280" s="115">
        <f t="shared" ca="1" si="69"/>
        <v>274</v>
      </c>
      <c r="Z280" s="118">
        <f t="shared" ca="1" si="70"/>
        <v>0.24931506849315066</v>
      </c>
      <c r="AA280" s="116"/>
      <c r="AB280" s="117">
        <f t="shared" si="71"/>
        <v>5.0802832481108391</v>
      </c>
      <c r="AC280" s="118">
        <f t="shared" si="72"/>
        <v>0.2950118020046183</v>
      </c>
      <c r="AE280" s="55"/>
      <c r="AF280" s="72"/>
      <c r="AG280" s="72"/>
      <c r="AH280" s="66"/>
      <c r="AJ280" t="s">
        <v>541</v>
      </c>
    </row>
    <row r="281" spans="1:36" ht="16" hidden="1" thickBot="1" x14ac:dyDescent="0.25">
      <c r="A281" s="119" t="s">
        <v>620</v>
      </c>
      <c r="B281" s="120" t="s">
        <v>1395</v>
      </c>
      <c r="C281" s="108" t="str">
        <f t="shared" si="73"/>
        <v>/Applications/Stellarium.app/Contents/Resources/nebulae/default/sh2-124.png</v>
      </c>
      <c r="D281" s="121" t="s">
        <v>1711</v>
      </c>
      <c r="E281" s="109"/>
      <c r="F281" s="122">
        <v>21</v>
      </c>
      <c r="G281" s="123">
        <v>45</v>
      </c>
      <c r="H281" s="122">
        <v>49</v>
      </c>
      <c r="I281" s="124">
        <v>18</v>
      </c>
      <c r="J281" s="112" t="s">
        <v>1125</v>
      </c>
      <c r="K281" s="125">
        <v>15</v>
      </c>
      <c r="L281" s="196"/>
      <c r="M281" s="110">
        <f t="shared" si="74"/>
        <v>49.3</v>
      </c>
      <c r="N281" s="111">
        <f t="shared" si="75"/>
        <v>87.08</v>
      </c>
      <c r="O281" s="112">
        <f t="shared" si="76"/>
        <v>21.75</v>
      </c>
      <c r="P281" s="113">
        <f t="shared" ca="1" si="77"/>
        <v>46240.284527999996</v>
      </c>
      <c r="Q281" s="114">
        <f t="shared" ca="1" si="78"/>
        <v>46255.284527999996</v>
      </c>
      <c r="R281" s="114" t="b">
        <f t="shared" ca="1" si="65"/>
        <v>1</v>
      </c>
      <c r="S281" s="115">
        <f t="shared" ca="1" si="66"/>
        <v>15</v>
      </c>
      <c r="T281" s="126">
        <f t="shared" ca="1" si="67"/>
        <v>46270.284527999996</v>
      </c>
      <c r="U281" s="127" t="str">
        <f t="shared" si="64"/>
        <v>S</v>
      </c>
      <c r="V281" s="128">
        <f t="shared" si="79"/>
        <v>87.08</v>
      </c>
      <c r="W281" s="129">
        <f t="shared" si="68"/>
        <v>87.08</v>
      </c>
      <c r="X281" s="197"/>
      <c r="Y281" s="115">
        <f t="shared" ca="1" si="69"/>
        <v>274</v>
      </c>
      <c r="Z281" s="118">
        <f t="shared" ca="1" si="70"/>
        <v>0.24931506849315066</v>
      </c>
      <c r="AA281" s="116"/>
      <c r="AB281" s="117">
        <f t="shared" si="71"/>
        <v>5.096904407549669</v>
      </c>
      <c r="AC281" s="118">
        <f t="shared" si="72"/>
        <v>0.29570435031456954</v>
      </c>
      <c r="AE281" s="55"/>
      <c r="AF281" s="72"/>
      <c r="AG281" s="72"/>
      <c r="AH281" s="66"/>
      <c r="AJ281" t="s">
        <v>620</v>
      </c>
    </row>
    <row r="282" spans="1:36" ht="16" hidden="1" thickBot="1" x14ac:dyDescent="0.25">
      <c r="A282" s="119" t="s">
        <v>542</v>
      </c>
      <c r="B282" s="120" t="s">
        <v>1277</v>
      </c>
      <c r="C282" s="108" t="str">
        <f t="shared" si="73"/>
        <v>/Applications/Stellarium.app/Contents/Resources/nebulae/default/n7139.png</v>
      </c>
      <c r="D282" s="121" t="s">
        <v>1712</v>
      </c>
      <c r="E282" s="109"/>
      <c r="F282" s="122">
        <v>21</v>
      </c>
      <c r="G282" s="123">
        <v>46</v>
      </c>
      <c r="H282" s="122">
        <v>63</v>
      </c>
      <c r="I282" s="124">
        <v>45</v>
      </c>
      <c r="J282" s="112" t="s">
        <v>1071</v>
      </c>
      <c r="K282" s="125">
        <v>13</v>
      </c>
      <c r="L282" s="196"/>
      <c r="M282" s="110">
        <f t="shared" si="74"/>
        <v>63.75</v>
      </c>
      <c r="N282" s="111">
        <f t="shared" si="75"/>
        <v>101.53</v>
      </c>
      <c r="O282" s="112">
        <f t="shared" si="76"/>
        <v>21.766666666666666</v>
      </c>
      <c r="P282" s="113">
        <f t="shared" ca="1" si="77"/>
        <v>46240.538167999999</v>
      </c>
      <c r="Q282" s="114">
        <f t="shared" ca="1" si="78"/>
        <v>46255.538167999999</v>
      </c>
      <c r="R282" s="114" t="b">
        <f t="shared" ca="1" si="65"/>
        <v>1</v>
      </c>
      <c r="S282" s="115">
        <f t="shared" ca="1" si="66"/>
        <v>15</v>
      </c>
      <c r="T282" s="126">
        <f t="shared" ca="1" si="67"/>
        <v>46270.538167999999</v>
      </c>
      <c r="U282" s="127" t="str">
        <f t="shared" si="64"/>
        <v>N</v>
      </c>
      <c r="V282" s="128">
        <f t="shared" si="79"/>
        <v>78.47</v>
      </c>
      <c r="W282" s="129">
        <f t="shared" si="68"/>
        <v>78.47</v>
      </c>
      <c r="X282" s="197"/>
      <c r="Y282" s="115">
        <f t="shared" ca="1" si="69"/>
        <v>273</v>
      </c>
      <c r="Z282" s="118">
        <f t="shared" ca="1" si="70"/>
        <v>0.25205479452054791</v>
      </c>
      <c r="AA282" s="116"/>
      <c r="AB282" s="117">
        <f t="shared" si="71"/>
        <v>5.1135255669884998</v>
      </c>
      <c r="AC282" s="118">
        <f t="shared" si="72"/>
        <v>0.29639689862452084</v>
      </c>
      <c r="AE282" s="55"/>
      <c r="AF282" s="72"/>
      <c r="AG282" s="72"/>
      <c r="AH282" s="66"/>
      <c r="AJ282" t="s">
        <v>542</v>
      </c>
    </row>
    <row r="283" spans="1:36" ht="16" hidden="1" thickBot="1" x14ac:dyDescent="0.25">
      <c r="A283" s="119" t="s">
        <v>579</v>
      </c>
      <c r="B283" s="120" t="s">
        <v>1365</v>
      </c>
      <c r="C283" s="108" t="str">
        <f t="shared" si="73"/>
        <v>/Applications/Stellarium.app/Contents/Resources/nebulae/default/ic1396.png</v>
      </c>
      <c r="D283" s="121" t="s">
        <v>1713</v>
      </c>
      <c r="E283" s="109"/>
      <c r="F283" s="122">
        <v>21</v>
      </c>
      <c r="G283" s="123">
        <v>51</v>
      </c>
      <c r="H283" s="122">
        <v>55</v>
      </c>
      <c r="I283" s="124">
        <v>47</v>
      </c>
      <c r="J283" s="112" t="s">
        <v>1097</v>
      </c>
      <c r="K283" s="125">
        <v>14.6</v>
      </c>
      <c r="L283" s="196"/>
      <c r="M283" s="110">
        <f t="shared" si="74"/>
        <v>55.783333333333331</v>
      </c>
      <c r="N283" s="111">
        <f t="shared" si="75"/>
        <v>93.563333333333333</v>
      </c>
      <c r="O283" s="112">
        <f t="shared" si="76"/>
        <v>21.85</v>
      </c>
      <c r="P283" s="113">
        <f t="shared" ca="1" si="77"/>
        <v>46241.806367999998</v>
      </c>
      <c r="Q283" s="114">
        <f t="shared" ca="1" si="78"/>
        <v>46256.806367999998</v>
      </c>
      <c r="R283" s="114" t="b">
        <f t="shared" ca="1" si="65"/>
        <v>1</v>
      </c>
      <c r="S283" s="115">
        <f t="shared" ca="1" si="66"/>
        <v>15</v>
      </c>
      <c r="T283" s="126">
        <f t="shared" ca="1" si="67"/>
        <v>46271.806367999998</v>
      </c>
      <c r="U283" s="127" t="str">
        <f t="shared" si="64"/>
        <v>N</v>
      </c>
      <c r="V283" s="128">
        <f t="shared" si="79"/>
        <v>86.436666666666667</v>
      </c>
      <c r="W283" s="129">
        <f t="shared" si="68"/>
        <v>86.436666666666667</v>
      </c>
      <c r="X283" s="197"/>
      <c r="Y283" s="115">
        <f t="shared" ca="1" si="69"/>
        <v>272</v>
      </c>
      <c r="Z283" s="118">
        <f t="shared" ca="1" si="70"/>
        <v>0.25479452054794516</v>
      </c>
      <c r="AA283" s="116"/>
      <c r="AB283" s="117">
        <f t="shared" si="71"/>
        <v>5.1966313641826583</v>
      </c>
      <c r="AC283" s="118">
        <f t="shared" si="72"/>
        <v>0.29985964017427741</v>
      </c>
      <c r="AE283" s="55"/>
      <c r="AF283" s="72"/>
      <c r="AG283" s="72"/>
      <c r="AH283" s="66"/>
      <c r="AJ283" t="s">
        <v>579</v>
      </c>
    </row>
    <row r="284" spans="1:36" ht="16" hidden="1" thickBot="1" x14ac:dyDescent="0.25">
      <c r="A284" s="119" t="s">
        <v>602</v>
      </c>
      <c r="B284" s="120" t="s">
        <v>1384</v>
      </c>
      <c r="C284" s="108" t="str">
        <f t="shared" si="73"/>
        <v>/Applications/Stellarium.app/Contents/Resources/nebulae/default/ic5146.png</v>
      </c>
      <c r="D284" s="121" t="s">
        <v>1714</v>
      </c>
      <c r="E284" s="109"/>
      <c r="F284" s="122">
        <v>21</v>
      </c>
      <c r="G284" s="123">
        <v>54</v>
      </c>
      <c r="H284" s="122">
        <v>47</v>
      </c>
      <c r="I284" s="124">
        <v>6</v>
      </c>
      <c r="J284" s="112" t="s">
        <v>1113</v>
      </c>
      <c r="K284" s="125">
        <v>13.8</v>
      </c>
      <c r="L284" s="196"/>
      <c r="M284" s="110">
        <f t="shared" si="74"/>
        <v>47.1</v>
      </c>
      <c r="N284" s="111">
        <f t="shared" si="75"/>
        <v>84.88</v>
      </c>
      <c r="O284" s="112">
        <f t="shared" si="76"/>
        <v>21.9</v>
      </c>
      <c r="P284" s="113">
        <f t="shared" ca="1" si="77"/>
        <v>46242.567287999998</v>
      </c>
      <c r="Q284" s="114">
        <f t="shared" ca="1" si="78"/>
        <v>46257.567287999998</v>
      </c>
      <c r="R284" s="114" t="b">
        <f t="shared" ca="1" si="65"/>
        <v>1</v>
      </c>
      <c r="S284" s="115">
        <f t="shared" ca="1" si="66"/>
        <v>15</v>
      </c>
      <c r="T284" s="126">
        <f t="shared" ca="1" si="67"/>
        <v>46272.567287999998</v>
      </c>
      <c r="U284" s="127" t="str">
        <f t="shared" si="64"/>
        <v>S</v>
      </c>
      <c r="V284" s="128">
        <f t="shared" si="79"/>
        <v>84.88</v>
      </c>
      <c r="W284" s="129">
        <f t="shared" si="68"/>
        <v>84.88</v>
      </c>
      <c r="X284" s="197"/>
      <c r="Y284" s="115">
        <f t="shared" ca="1" si="69"/>
        <v>271</v>
      </c>
      <c r="Z284" s="118">
        <f t="shared" ca="1" si="70"/>
        <v>0.25753424657534252</v>
      </c>
      <c r="AA284" s="116"/>
      <c r="AB284" s="117">
        <f t="shared" si="71"/>
        <v>5.2464948424991489</v>
      </c>
      <c r="AC284" s="118">
        <f t="shared" si="72"/>
        <v>0.3019372851041312</v>
      </c>
      <c r="AE284" s="55"/>
      <c r="AF284" s="72"/>
      <c r="AG284" s="72"/>
      <c r="AH284" s="66"/>
      <c r="AJ284" t="s">
        <v>602</v>
      </c>
    </row>
    <row r="285" spans="1:36" ht="16" hidden="1" thickBot="1" x14ac:dyDescent="0.25">
      <c r="A285" s="119" t="s">
        <v>607</v>
      </c>
      <c r="B285" s="120" t="s">
        <v>1389</v>
      </c>
      <c r="C285" s="108" t="str">
        <f t="shared" si="73"/>
        <v>/Applications/Stellarium.app/Contents/Resources/nebulae/default/barnard173-vasey.png</v>
      </c>
      <c r="D285" s="121" t="s">
        <v>1715</v>
      </c>
      <c r="E285" s="109"/>
      <c r="F285" s="122">
        <v>22</v>
      </c>
      <c r="G285" s="123">
        <v>11</v>
      </c>
      <c r="H285" s="122">
        <v>58</v>
      </c>
      <c r="I285" s="124">
        <v>41</v>
      </c>
      <c r="J285" s="112" t="s">
        <v>749</v>
      </c>
      <c r="K285" s="125">
        <v>13.4</v>
      </c>
      <c r="L285" s="196"/>
      <c r="M285" s="110">
        <f t="shared" si="74"/>
        <v>58.68333333333333</v>
      </c>
      <c r="N285" s="111">
        <f t="shared" si="75"/>
        <v>96.463333333333338</v>
      </c>
      <c r="O285" s="112">
        <f t="shared" si="76"/>
        <v>22.183333333333334</v>
      </c>
      <c r="P285" s="113">
        <f t="shared" ca="1" si="77"/>
        <v>46246.879167999999</v>
      </c>
      <c r="Q285" s="114">
        <f t="shared" ca="1" si="78"/>
        <v>46261.879167999999</v>
      </c>
      <c r="R285" s="114" t="b">
        <f t="shared" ca="1" si="65"/>
        <v>1</v>
      </c>
      <c r="S285" s="115">
        <f t="shared" ca="1" si="66"/>
        <v>15</v>
      </c>
      <c r="T285" s="126">
        <f t="shared" ca="1" si="67"/>
        <v>46276.879167999999</v>
      </c>
      <c r="U285" s="127" t="str">
        <f t="shared" si="64"/>
        <v>N</v>
      </c>
      <c r="V285" s="128">
        <f t="shared" si="79"/>
        <v>83.536666666666662</v>
      </c>
      <c r="W285" s="129">
        <f t="shared" si="68"/>
        <v>83.536666666666662</v>
      </c>
      <c r="X285" s="197"/>
      <c r="Y285" s="115">
        <f t="shared" ca="1" si="69"/>
        <v>267</v>
      </c>
      <c r="Z285" s="118">
        <f t="shared" ca="1" si="70"/>
        <v>0.26849315068493151</v>
      </c>
      <c r="AA285" s="116"/>
      <c r="AB285" s="117">
        <f t="shared" si="71"/>
        <v>5.5290545529592823</v>
      </c>
      <c r="AC285" s="118">
        <f t="shared" si="72"/>
        <v>0.31371060637330345</v>
      </c>
      <c r="AE285" s="55"/>
      <c r="AF285" s="72"/>
      <c r="AG285" s="72"/>
      <c r="AH285" s="66"/>
      <c r="AJ285" t="s">
        <v>607</v>
      </c>
    </row>
    <row r="286" spans="1:36" ht="16" hidden="1" thickBot="1" x14ac:dyDescent="0.25">
      <c r="A286" s="119" t="s">
        <v>693</v>
      </c>
      <c r="B286" s="120" t="s">
        <v>1276</v>
      </c>
      <c r="C286" s="108" t="str">
        <f t="shared" si="73"/>
        <v>/Applications/Stellarium.app/Contents/Resources/nebulae/default/vdb152.png</v>
      </c>
      <c r="D286" s="121" t="s">
        <v>1716</v>
      </c>
      <c r="E286" s="109"/>
      <c r="F286" s="122">
        <v>22</v>
      </c>
      <c r="G286" s="123">
        <v>16</v>
      </c>
      <c r="H286" s="122">
        <v>70</v>
      </c>
      <c r="I286" s="124">
        <v>9</v>
      </c>
      <c r="J286" s="112" t="s">
        <v>1170</v>
      </c>
      <c r="K286" s="125">
        <v>13.8</v>
      </c>
      <c r="L286" s="196"/>
      <c r="M286" s="110">
        <f t="shared" si="74"/>
        <v>70.150000000000006</v>
      </c>
      <c r="N286" s="111">
        <f t="shared" si="75"/>
        <v>107.93</v>
      </c>
      <c r="O286" s="112">
        <f t="shared" si="76"/>
        <v>22.266666666666666</v>
      </c>
      <c r="P286" s="113">
        <f t="shared" ca="1" si="77"/>
        <v>46248.147367999998</v>
      </c>
      <c r="Q286" s="114">
        <f t="shared" ca="1" si="78"/>
        <v>46263.147367999998</v>
      </c>
      <c r="R286" s="114" t="b">
        <f t="shared" ca="1" si="65"/>
        <v>1</v>
      </c>
      <c r="S286" s="115">
        <f t="shared" ca="1" si="66"/>
        <v>15</v>
      </c>
      <c r="T286" s="126">
        <f t="shared" ca="1" si="67"/>
        <v>46278.147367999998</v>
      </c>
      <c r="U286" s="127" t="str">
        <f t="shared" si="64"/>
        <v>N</v>
      </c>
      <c r="V286" s="128">
        <f t="shared" si="79"/>
        <v>72.069999999999993</v>
      </c>
      <c r="W286" s="129">
        <f t="shared" si="68"/>
        <v>72.069999999999993</v>
      </c>
      <c r="X286" s="197"/>
      <c r="Y286" s="115">
        <f t="shared" ca="1" si="69"/>
        <v>266</v>
      </c>
      <c r="Z286" s="118">
        <f t="shared" ca="1" si="70"/>
        <v>0.27123287671232876</v>
      </c>
      <c r="AA286" s="116"/>
      <c r="AB286" s="117">
        <f t="shared" si="71"/>
        <v>5.6121603501534372</v>
      </c>
      <c r="AC286" s="118">
        <f t="shared" si="72"/>
        <v>0.3171733479230599</v>
      </c>
      <c r="AE286" s="55"/>
      <c r="AF286" s="72"/>
      <c r="AG286" s="72"/>
      <c r="AH286" s="66"/>
      <c r="AJ286" t="s">
        <v>693</v>
      </c>
    </row>
    <row r="287" spans="1:36" ht="16" hidden="1" thickBot="1" x14ac:dyDescent="0.25">
      <c r="A287" s="119" t="s">
        <v>710</v>
      </c>
      <c r="B287" s="120" t="s">
        <v>1439</v>
      </c>
      <c r="C287" s="108" t="str">
        <f t="shared" si="73"/>
        <v>/Applications/Stellarium.app/Contents/Resources/nebulae/default/darkshark-vasey.png</v>
      </c>
      <c r="D287" s="121" t="s">
        <v>1717</v>
      </c>
      <c r="E287" s="109"/>
      <c r="F287" s="122">
        <v>22</v>
      </c>
      <c r="G287" s="123">
        <v>19</v>
      </c>
      <c r="H287" s="122">
        <v>71</v>
      </c>
      <c r="I287" s="124">
        <v>48</v>
      </c>
      <c r="J287" s="112" t="s">
        <v>1125</v>
      </c>
      <c r="K287" s="125">
        <v>14.4</v>
      </c>
      <c r="L287" s="196"/>
      <c r="M287" s="110">
        <f t="shared" si="74"/>
        <v>71.8</v>
      </c>
      <c r="N287" s="111">
        <f t="shared" si="75"/>
        <v>109.58</v>
      </c>
      <c r="O287" s="112">
        <f t="shared" si="76"/>
        <v>22.316666666666666</v>
      </c>
      <c r="P287" s="113">
        <f t="shared" ca="1" si="77"/>
        <v>46248.908287999999</v>
      </c>
      <c r="Q287" s="114">
        <f t="shared" ca="1" si="78"/>
        <v>46263.908287999999</v>
      </c>
      <c r="R287" s="114" t="b">
        <f t="shared" ca="1" si="65"/>
        <v>1</v>
      </c>
      <c r="S287" s="115">
        <f t="shared" ca="1" si="66"/>
        <v>15</v>
      </c>
      <c r="T287" s="126">
        <f t="shared" ca="1" si="67"/>
        <v>46278.908287999999</v>
      </c>
      <c r="U287" s="127" t="str">
        <f t="shared" si="64"/>
        <v>N</v>
      </c>
      <c r="V287" s="128">
        <f t="shared" si="79"/>
        <v>70.42</v>
      </c>
      <c r="W287" s="129">
        <f t="shared" si="68"/>
        <v>70.42</v>
      </c>
      <c r="X287" s="197"/>
      <c r="Y287" s="115">
        <f t="shared" ca="1" si="69"/>
        <v>265</v>
      </c>
      <c r="Z287" s="118">
        <f t="shared" ca="1" si="70"/>
        <v>0.27397260273972601</v>
      </c>
      <c r="AA287" s="116"/>
      <c r="AB287" s="117">
        <f t="shared" si="71"/>
        <v>5.6620238284699314</v>
      </c>
      <c r="AC287" s="118">
        <f t="shared" si="72"/>
        <v>0.31925099285291381</v>
      </c>
      <c r="AE287" s="55"/>
      <c r="AF287" s="72"/>
      <c r="AG287" s="72"/>
      <c r="AH287" s="66"/>
      <c r="AJ287" t="s">
        <v>710</v>
      </c>
    </row>
    <row r="288" spans="1:36" ht="16" hidden="1" thickBot="1" x14ac:dyDescent="0.25">
      <c r="A288" s="119" t="s">
        <v>624</v>
      </c>
      <c r="B288" s="120" t="s">
        <v>1395</v>
      </c>
      <c r="C288" s="108" t="str">
        <f t="shared" si="73"/>
        <v>/Applications/Stellarium.app/Contents/Resources/nebulae/default/sh2-140-dss.png</v>
      </c>
      <c r="D288" s="121" t="s">
        <v>1718</v>
      </c>
      <c r="E288" s="109"/>
      <c r="F288" s="122">
        <v>22</v>
      </c>
      <c r="G288" s="123">
        <v>20</v>
      </c>
      <c r="H288" s="122">
        <v>62</v>
      </c>
      <c r="I288" s="124">
        <v>50</v>
      </c>
      <c r="J288" s="112" t="s">
        <v>1130</v>
      </c>
      <c r="K288" s="125">
        <v>14.2</v>
      </c>
      <c r="L288" s="196"/>
      <c r="M288" s="110">
        <f t="shared" si="74"/>
        <v>62.833333333333336</v>
      </c>
      <c r="N288" s="111">
        <f t="shared" si="75"/>
        <v>100.61333333333334</v>
      </c>
      <c r="O288" s="112">
        <f t="shared" si="76"/>
        <v>22.333333333333332</v>
      </c>
      <c r="P288" s="113">
        <f t="shared" ca="1" si="77"/>
        <v>46249.161928000001</v>
      </c>
      <c r="Q288" s="114">
        <f t="shared" ca="1" si="78"/>
        <v>46264.161928000001</v>
      </c>
      <c r="R288" s="114" t="b">
        <f t="shared" ca="1" si="65"/>
        <v>1</v>
      </c>
      <c r="S288" s="115">
        <f t="shared" ca="1" si="66"/>
        <v>15</v>
      </c>
      <c r="T288" s="126">
        <f t="shared" ca="1" si="67"/>
        <v>46279.161928000001</v>
      </c>
      <c r="U288" s="127" t="str">
        <f t="shared" si="64"/>
        <v>N</v>
      </c>
      <c r="V288" s="128">
        <f t="shared" si="79"/>
        <v>79.386666666666656</v>
      </c>
      <c r="W288" s="129">
        <f t="shared" si="68"/>
        <v>79.386666666666656</v>
      </c>
      <c r="X288" s="197"/>
      <c r="Y288" s="115">
        <f t="shared" ca="1" si="69"/>
        <v>265</v>
      </c>
      <c r="Z288" s="118">
        <f t="shared" ca="1" si="70"/>
        <v>0.27397260273972601</v>
      </c>
      <c r="AA288" s="116"/>
      <c r="AB288" s="117">
        <f t="shared" si="71"/>
        <v>5.6786449879087622</v>
      </c>
      <c r="AC288" s="118">
        <f t="shared" si="72"/>
        <v>0.31994354116286511</v>
      </c>
      <c r="AE288" s="55"/>
      <c r="AF288" s="72"/>
      <c r="AG288" s="72"/>
      <c r="AH288" s="66"/>
      <c r="AJ288" t="s">
        <v>624</v>
      </c>
    </row>
    <row r="289" spans="1:36" ht="16" hidden="1" thickBot="1" x14ac:dyDescent="0.25">
      <c r="A289" s="119" t="s">
        <v>74</v>
      </c>
      <c r="B289" s="120" t="s">
        <v>1398</v>
      </c>
      <c r="C289" s="108" t="str">
        <f t="shared" si="73"/>
        <v>/Applications/Stellarium.app/Contents/Resources/nebulae/default/sh2-132.png</v>
      </c>
      <c r="D289" s="121" t="s">
        <v>1719</v>
      </c>
      <c r="E289" s="109"/>
      <c r="F289" s="122">
        <v>22</v>
      </c>
      <c r="G289" s="123">
        <v>22</v>
      </c>
      <c r="H289" s="122">
        <v>55</v>
      </c>
      <c r="I289" s="124">
        <v>13</v>
      </c>
      <c r="J289" s="112" t="s">
        <v>1127</v>
      </c>
      <c r="K289" s="125">
        <v>14.5</v>
      </c>
      <c r="L289" s="196"/>
      <c r="M289" s="110">
        <f t="shared" si="74"/>
        <v>55.216666666666669</v>
      </c>
      <c r="N289" s="111">
        <f t="shared" si="75"/>
        <v>92.99666666666667</v>
      </c>
      <c r="O289" s="112">
        <f t="shared" si="76"/>
        <v>22.366666666666667</v>
      </c>
      <c r="P289" s="113">
        <f t="shared" ca="1" si="77"/>
        <v>46249.669207999999</v>
      </c>
      <c r="Q289" s="114">
        <f t="shared" ca="1" si="78"/>
        <v>46264.669207999999</v>
      </c>
      <c r="R289" s="114" t="b">
        <f t="shared" ca="1" si="65"/>
        <v>1</v>
      </c>
      <c r="S289" s="115">
        <f t="shared" ca="1" si="66"/>
        <v>15</v>
      </c>
      <c r="T289" s="126">
        <f t="shared" ca="1" si="67"/>
        <v>46279.669207999999</v>
      </c>
      <c r="U289" s="127" t="str">
        <f t="shared" si="64"/>
        <v>N</v>
      </c>
      <c r="V289" s="128">
        <f t="shared" si="79"/>
        <v>87.00333333333333</v>
      </c>
      <c r="W289" s="129">
        <f t="shared" si="68"/>
        <v>87.00333333333333</v>
      </c>
      <c r="X289" s="197"/>
      <c r="Y289" s="115">
        <f t="shared" ca="1" si="69"/>
        <v>264</v>
      </c>
      <c r="Z289" s="118">
        <f t="shared" ca="1" si="70"/>
        <v>0.27671232876712326</v>
      </c>
      <c r="AA289" s="116"/>
      <c r="AB289" s="117">
        <f t="shared" si="71"/>
        <v>5.7118873067864255</v>
      </c>
      <c r="AC289" s="118">
        <f t="shared" si="72"/>
        <v>0.32132863778276771</v>
      </c>
      <c r="AE289" s="55"/>
      <c r="AF289" s="72"/>
      <c r="AG289" s="72"/>
      <c r="AH289" s="66"/>
      <c r="AJ289" t="s">
        <v>74</v>
      </c>
    </row>
    <row r="290" spans="1:36" ht="16" hidden="1" thickBot="1" x14ac:dyDescent="0.25">
      <c r="A290" s="119" t="s">
        <v>622</v>
      </c>
      <c r="B290" s="120" t="s">
        <v>1395</v>
      </c>
      <c r="C290" s="108" t="str">
        <f t="shared" si="73"/>
        <v>/Applications/Stellarium.app/Contents/Resources/nebulae/default/sh2-135.png</v>
      </c>
      <c r="D290" s="121" t="s">
        <v>1720</v>
      </c>
      <c r="E290" s="109"/>
      <c r="F290" s="122">
        <v>22</v>
      </c>
      <c r="G290" s="123">
        <v>24</v>
      </c>
      <c r="H290" s="122">
        <v>58</v>
      </c>
      <c r="I290" s="124">
        <v>25</v>
      </c>
      <c r="J290" s="112" t="s">
        <v>1128</v>
      </c>
      <c r="K290" s="125">
        <v>14.2</v>
      </c>
      <c r="L290" s="196"/>
      <c r="M290" s="110">
        <f t="shared" si="74"/>
        <v>58.416666666666664</v>
      </c>
      <c r="N290" s="111">
        <f t="shared" si="75"/>
        <v>96.196666666666658</v>
      </c>
      <c r="O290" s="112">
        <f t="shared" si="76"/>
        <v>22.4</v>
      </c>
      <c r="P290" s="113">
        <f t="shared" ca="1" si="77"/>
        <v>46250.176487999997</v>
      </c>
      <c r="Q290" s="114">
        <f t="shared" ca="1" si="78"/>
        <v>46265.176487999997</v>
      </c>
      <c r="R290" s="114" t="b">
        <f t="shared" ca="1" si="65"/>
        <v>1</v>
      </c>
      <c r="S290" s="115">
        <f t="shared" ca="1" si="66"/>
        <v>15</v>
      </c>
      <c r="T290" s="126">
        <f t="shared" ca="1" si="67"/>
        <v>46280.176487999997</v>
      </c>
      <c r="U290" s="127" t="str">
        <f t="shared" si="64"/>
        <v>N</v>
      </c>
      <c r="V290" s="128">
        <f t="shared" si="79"/>
        <v>83.803333333333342</v>
      </c>
      <c r="W290" s="129">
        <f t="shared" si="68"/>
        <v>83.803333333333342</v>
      </c>
      <c r="X290" s="197"/>
      <c r="Y290" s="115">
        <f t="shared" ca="1" si="69"/>
        <v>264</v>
      </c>
      <c r="Z290" s="118">
        <f t="shared" ca="1" si="70"/>
        <v>0.27671232876712326</v>
      </c>
      <c r="AA290" s="116"/>
      <c r="AB290" s="117">
        <f t="shared" si="71"/>
        <v>5.7451296256640862</v>
      </c>
      <c r="AC290" s="118">
        <f t="shared" si="72"/>
        <v>0.32271373440267026</v>
      </c>
      <c r="AE290" s="55"/>
      <c r="AF290" s="72"/>
      <c r="AG290" s="72"/>
      <c r="AH290" s="66"/>
      <c r="AJ290" t="s">
        <v>622</v>
      </c>
    </row>
    <row r="291" spans="1:36" ht="16" hidden="1" thickBot="1" x14ac:dyDescent="0.25">
      <c r="A291" s="119" t="s">
        <v>543</v>
      </c>
      <c r="B291" s="120" t="s">
        <v>1345</v>
      </c>
      <c r="C291" s="108" t="str">
        <f t="shared" si="73"/>
        <v>/Applications/Stellarium.app/Contents/Resources/nebulae/default/n7293.png</v>
      </c>
      <c r="D291" s="121" t="s">
        <v>1721</v>
      </c>
      <c r="E291" s="109"/>
      <c r="F291" s="122">
        <v>22</v>
      </c>
      <c r="G291" s="123">
        <v>30</v>
      </c>
      <c r="H291" s="122">
        <v>-22</v>
      </c>
      <c r="I291" s="124">
        <v>56</v>
      </c>
      <c r="J291" s="112" t="s">
        <v>1072</v>
      </c>
      <c r="K291" s="125">
        <v>13.4</v>
      </c>
      <c r="L291" s="196"/>
      <c r="M291" s="110">
        <f t="shared" si="74"/>
        <v>-21.066666666666666</v>
      </c>
      <c r="N291" s="111">
        <f t="shared" si="75"/>
        <v>16.713333333333335</v>
      </c>
      <c r="O291" s="112">
        <f t="shared" si="76"/>
        <v>22.5</v>
      </c>
      <c r="P291" s="113">
        <f t="shared" ca="1" si="77"/>
        <v>46251.698327999999</v>
      </c>
      <c r="Q291" s="114">
        <f t="shared" ca="1" si="78"/>
        <v>46266.698327999999</v>
      </c>
      <c r="R291" s="114" t="b">
        <f t="shared" ca="1" si="65"/>
        <v>1</v>
      </c>
      <c r="S291" s="115">
        <f t="shared" ca="1" si="66"/>
        <v>15</v>
      </c>
      <c r="T291" s="126">
        <f t="shared" ca="1" si="67"/>
        <v>46281.698327999999</v>
      </c>
      <c r="U291" s="127" t="str">
        <f t="shared" si="64"/>
        <v>S</v>
      </c>
      <c r="V291" s="128">
        <f t="shared" si="79"/>
        <v>16.713333333333335</v>
      </c>
      <c r="W291" s="129">
        <f t="shared" si="68"/>
        <v>16.713333333333335</v>
      </c>
      <c r="X291" s="197"/>
      <c r="Y291" s="115">
        <f t="shared" ca="1" si="69"/>
        <v>262</v>
      </c>
      <c r="Z291" s="118">
        <f t="shared" ca="1" si="70"/>
        <v>0.28219178082191776</v>
      </c>
      <c r="AA291" s="116"/>
      <c r="AB291" s="117">
        <f t="shared" si="71"/>
        <v>5.8448565822970755</v>
      </c>
      <c r="AC291" s="118">
        <f t="shared" si="72"/>
        <v>0.32686902426237813</v>
      </c>
      <c r="AE291" s="55"/>
      <c r="AF291" s="72"/>
      <c r="AG291" s="72"/>
      <c r="AH291" s="66"/>
      <c r="AJ291" t="s">
        <v>543</v>
      </c>
    </row>
    <row r="292" spans="1:36" ht="16" hidden="1" thickBot="1" x14ac:dyDescent="0.25">
      <c r="A292" s="119" t="s">
        <v>544</v>
      </c>
      <c r="B292" s="120" t="s">
        <v>1346</v>
      </c>
      <c r="C292" s="108" t="str">
        <f t="shared" si="73"/>
        <v>/Applications/Stellarium.app/Contents/Resources/nebulae/default/n7318.png</v>
      </c>
      <c r="D292" s="121" t="s">
        <v>1722</v>
      </c>
      <c r="E292" s="109"/>
      <c r="F292" s="122">
        <v>22</v>
      </c>
      <c r="G292" s="123">
        <v>36</v>
      </c>
      <c r="H292" s="122">
        <v>33</v>
      </c>
      <c r="I292" s="124">
        <v>53</v>
      </c>
      <c r="J292" s="112" t="s">
        <v>1073</v>
      </c>
      <c r="K292" s="125">
        <v>13.4</v>
      </c>
      <c r="L292" s="196"/>
      <c r="M292" s="110">
        <f t="shared" si="74"/>
        <v>33.883333333333333</v>
      </c>
      <c r="N292" s="111">
        <f t="shared" si="75"/>
        <v>71.663333333333327</v>
      </c>
      <c r="O292" s="112">
        <f t="shared" si="76"/>
        <v>22.6</v>
      </c>
      <c r="P292" s="113">
        <f t="shared" ca="1" si="77"/>
        <v>46253.220168</v>
      </c>
      <c r="Q292" s="114">
        <f t="shared" ca="1" si="78"/>
        <v>46268.220168</v>
      </c>
      <c r="R292" s="114" t="b">
        <f t="shared" ca="1" si="65"/>
        <v>1</v>
      </c>
      <c r="S292" s="115">
        <f t="shared" ca="1" si="66"/>
        <v>15</v>
      </c>
      <c r="T292" s="126">
        <f t="shared" ca="1" si="67"/>
        <v>46283.220168</v>
      </c>
      <c r="U292" s="127" t="str">
        <f t="shared" si="64"/>
        <v>S</v>
      </c>
      <c r="V292" s="128">
        <f t="shared" si="79"/>
        <v>71.663333333333327</v>
      </c>
      <c r="W292" s="129">
        <f t="shared" si="68"/>
        <v>71.663333333333327</v>
      </c>
      <c r="X292" s="197"/>
      <c r="Y292" s="115">
        <f t="shared" ca="1" si="69"/>
        <v>261</v>
      </c>
      <c r="Z292" s="118">
        <f t="shared" ca="1" si="70"/>
        <v>0.28493150684931512</v>
      </c>
      <c r="AA292" s="116"/>
      <c r="AB292" s="117">
        <f t="shared" si="71"/>
        <v>5.9445835389300647</v>
      </c>
      <c r="AC292" s="118">
        <f t="shared" si="72"/>
        <v>0.33102431412208605</v>
      </c>
      <c r="AE292" s="55"/>
      <c r="AF292" s="72"/>
      <c r="AG292" s="72"/>
      <c r="AH292" s="66"/>
      <c r="AJ292" t="s">
        <v>544</v>
      </c>
    </row>
    <row r="293" spans="1:36" ht="16" hidden="1" thickBot="1" x14ac:dyDescent="0.25">
      <c r="A293" s="119" t="s">
        <v>545</v>
      </c>
      <c r="B293" s="120" t="s">
        <v>1347</v>
      </c>
      <c r="C293" s="131" t="str">
        <f t="shared" si="73"/>
        <v>/Applications/Stellarium.app/Contents/Resources/nebulae/default/n7331-vasey.png</v>
      </c>
      <c r="D293" s="121" t="s">
        <v>1723</v>
      </c>
      <c r="E293" s="109"/>
      <c r="F293" s="122">
        <v>22</v>
      </c>
      <c r="G293" s="123">
        <v>37</v>
      </c>
      <c r="H293" s="122">
        <v>34</v>
      </c>
      <c r="I293" s="124">
        <v>18</v>
      </c>
      <c r="J293" s="112" t="s">
        <v>1074</v>
      </c>
      <c r="K293" s="125">
        <v>13.4</v>
      </c>
      <c r="L293" s="196"/>
      <c r="M293" s="110">
        <f t="shared" si="74"/>
        <v>34.299999999999997</v>
      </c>
      <c r="N293" s="111">
        <f t="shared" si="75"/>
        <v>72.08</v>
      </c>
      <c r="O293" s="112">
        <f t="shared" si="76"/>
        <v>22.616666666666667</v>
      </c>
      <c r="P293" s="113">
        <f t="shared" ca="1" si="77"/>
        <v>46253.473808000002</v>
      </c>
      <c r="Q293" s="114">
        <f t="shared" ca="1" si="78"/>
        <v>46268.473808000002</v>
      </c>
      <c r="R293" s="114" t="b">
        <f t="shared" ca="1" si="65"/>
        <v>1</v>
      </c>
      <c r="S293" s="115">
        <f t="shared" ca="1" si="66"/>
        <v>15</v>
      </c>
      <c r="T293" s="126">
        <f t="shared" ca="1" si="67"/>
        <v>46283.473808000002</v>
      </c>
      <c r="U293" s="127" t="str">
        <f t="shared" si="64"/>
        <v>S</v>
      </c>
      <c r="V293" s="128">
        <f t="shared" si="79"/>
        <v>72.08</v>
      </c>
      <c r="W293" s="129">
        <f t="shared" si="68"/>
        <v>72.08</v>
      </c>
      <c r="X293" s="197"/>
      <c r="Y293" s="115">
        <f t="shared" ca="1" si="69"/>
        <v>261</v>
      </c>
      <c r="Z293" s="118">
        <f t="shared" ca="1" si="70"/>
        <v>0.28493150684931512</v>
      </c>
      <c r="AA293" s="116"/>
      <c r="AB293" s="117">
        <f t="shared" si="71"/>
        <v>5.9612046983688947</v>
      </c>
      <c r="AC293" s="118">
        <f t="shared" si="72"/>
        <v>0.3317168624320373</v>
      </c>
      <c r="AE293" s="55"/>
      <c r="AF293" s="72"/>
      <c r="AG293" s="72"/>
      <c r="AH293" s="66"/>
      <c r="AJ293" t="s">
        <v>545</v>
      </c>
    </row>
    <row r="294" spans="1:36" ht="16" hidden="1" thickBot="1" x14ac:dyDescent="0.25">
      <c r="A294" s="119" t="s">
        <v>546</v>
      </c>
      <c r="B294" s="120" t="s">
        <v>1277</v>
      </c>
      <c r="C294" s="108" t="str">
        <f t="shared" si="73"/>
        <v>/Applications/Stellarium.app/Contents/Resources/nebulae/default/n7354.png</v>
      </c>
      <c r="D294" s="121" t="s">
        <v>1724</v>
      </c>
      <c r="E294" s="109"/>
      <c r="F294" s="122">
        <v>22</v>
      </c>
      <c r="G294" s="123">
        <v>40</v>
      </c>
      <c r="H294" s="122">
        <v>61</v>
      </c>
      <c r="I294" s="124">
        <v>14</v>
      </c>
      <c r="J294" s="112" t="s">
        <v>787</v>
      </c>
      <c r="K294" s="125">
        <v>8.1999999999999993</v>
      </c>
      <c r="L294" s="196"/>
      <c r="M294" s="110">
        <f t="shared" si="74"/>
        <v>61.233333333333334</v>
      </c>
      <c r="N294" s="111">
        <f t="shared" si="75"/>
        <v>99.013333333333335</v>
      </c>
      <c r="O294" s="112">
        <f t="shared" si="76"/>
        <v>22.666666666666668</v>
      </c>
      <c r="P294" s="113">
        <f t="shared" ca="1" si="77"/>
        <v>46254.234728000003</v>
      </c>
      <c r="Q294" s="114">
        <f t="shared" ca="1" si="78"/>
        <v>46269.234728000003</v>
      </c>
      <c r="R294" s="114" t="b">
        <f t="shared" ca="1" si="65"/>
        <v>1</v>
      </c>
      <c r="S294" s="115">
        <f t="shared" ca="1" si="66"/>
        <v>15</v>
      </c>
      <c r="T294" s="126">
        <f t="shared" ca="1" si="67"/>
        <v>46284.234728000003</v>
      </c>
      <c r="U294" s="127" t="str">
        <f t="shared" si="64"/>
        <v>N</v>
      </c>
      <c r="V294" s="128">
        <f t="shared" si="79"/>
        <v>80.986666666666665</v>
      </c>
      <c r="W294" s="129">
        <f t="shared" si="68"/>
        <v>80.986666666666665</v>
      </c>
      <c r="X294" s="197"/>
      <c r="Y294" s="115">
        <f t="shared" ca="1" si="69"/>
        <v>260</v>
      </c>
      <c r="Z294" s="118">
        <f t="shared" ca="1" si="70"/>
        <v>0.28767123287671237</v>
      </c>
      <c r="AA294" s="116"/>
      <c r="AB294" s="117">
        <f t="shared" si="71"/>
        <v>6.0110681766853888</v>
      </c>
      <c r="AC294" s="118">
        <f t="shared" si="72"/>
        <v>0.33379450736189115</v>
      </c>
      <c r="AE294" s="55"/>
      <c r="AF294" s="72"/>
      <c r="AG294" s="72"/>
      <c r="AH294" s="66"/>
      <c r="AJ294" t="s">
        <v>546</v>
      </c>
    </row>
    <row r="295" spans="1:36" ht="16" hidden="1" thickBot="1" x14ac:dyDescent="0.25">
      <c r="A295" s="119" t="s">
        <v>659</v>
      </c>
      <c r="B295" s="120" t="s">
        <v>1413</v>
      </c>
      <c r="C295" s="108" t="str">
        <f t="shared" si="73"/>
        <v>/Applications/Stellarium.app/Contents/Resources/nebulae/default/ldn1251.png</v>
      </c>
      <c r="D295" s="121" t="s">
        <v>1725</v>
      </c>
      <c r="E295" s="109"/>
      <c r="F295" s="122">
        <v>22</v>
      </c>
      <c r="G295" s="123">
        <v>41</v>
      </c>
      <c r="H295" s="122">
        <v>74</v>
      </c>
      <c r="I295" s="124">
        <v>36</v>
      </c>
      <c r="J295" s="112" t="s">
        <v>1146</v>
      </c>
      <c r="K295" s="125">
        <v>14.5</v>
      </c>
      <c r="L295" s="196"/>
      <c r="M295" s="110">
        <f t="shared" si="74"/>
        <v>74.599999999999994</v>
      </c>
      <c r="N295" s="111">
        <f t="shared" si="75"/>
        <v>112.38</v>
      </c>
      <c r="O295" s="112">
        <f t="shared" si="76"/>
        <v>22.683333333333334</v>
      </c>
      <c r="P295" s="113">
        <f t="shared" ca="1" si="77"/>
        <v>46254.488367999998</v>
      </c>
      <c r="Q295" s="114">
        <f t="shared" ca="1" si="78"/>
        <v>46269.488367999998</v>
      </c>
      <c r="R295" s="114" t="b">
        <f t="shared" ca="1" si="65"/>
        <v>1</v>
      </c>
      <c r="S295" s="115">
        <f t="shared" ca="1" si="66"/>
        <v>15</v>
      </c>
      <c r="T295" s="126">
        <f t="shared" ca="1" si="67"/>
        <v>46284.488367999998</v>
      </c>
      <c r="U295" s="127" t="str">
        <f t="shared" si="64"/>
        <v>N</v>
      </c>
      <c r="V295" s="128">
        <f t="shared" si="79"/>
        <v>67.62</v>
      </c>
      <c r="W295" s="129">
        <f t="shared" si="68"/>
        <v>67.62</v>
      </c>
      <c r="X295" s="197"/>
      <c r="Y295" s="115">
        <f t="shared" ca="1" si="69"/>
        <v>260</v>
      </c>
      <c r="Z295" s="118">
        <f t="shared" ca="1" si="70"/>
        <v>0.28767123287671237</v>
      </c>
      <c r="AA295" s="116"/>
      <c r="AB295" s="117">
        <f t="shared" si="71"/>
        <v>6.0276893361242196</v>
      </c>
      <c r="AC295" s="118">
        <f t="shared" si="72"/>
        <v>0.33448705567184245</v>
      </c>
      <c r="AE295" s="55"/>
      <c r="AF295" s="72"/>
      <c r="AG295" s="72"/>
      <c r="AH295" s="66"/>
      <c r="AJ295" t="s">
        <v>659</v>
      </c>
    </row>
    <row r="296" spans="1:36" ht="16" hidden="1" thickBot="1" x14ac:dyDescent="0.25">
      <c r="A296" s="119" t="s">
        <v>687</v>
      </c>
      <c r="B296" s="120" t="s">
        <v>1395</v>
      </c>
      <c r="C296" s="108" t="str">
        <f t="shared" si="73"/>
        <v>/Applications/Stellarium.app/Contents/Resources/nebulae/default/lbn438.png</v>
      </c>
      <c r="D296" s="121" t="s">
        <v>1726</v>
      </c>
      <c r="E296" s="109"/>
      <c r="F296" s="122">
        <v>22</v>
      </c>
      <c r="G296" s="123">
        <v>41</v>
      </c>
      <c r="H296" s="122">
        <v>37</v>
      </c>
      <c r="I296" s="124">
        <v>44</v>
      </c>
      <c r="J296" s="112" t="s">
        <v>1166</v>
      </c>
      <c r="K296" s="125">
        <v>14</v>
      </c>
      <c r="L296" s="196"/>
      <c r="M296" s="110">
        <f t="shared" si="74"/>
        <v>37.733333333333334</v>
      </c>
      <c r="N296" s="111">
        <f t="shared" si="75"/>
        <v>75.513333333333335</v>
      </c>
      <c r="O296" s="112">
        <f t="shared" si="76"/>
        <v>22.683333333333334</v>
      </c>
      <c r="P296" s="113">
        <f t="shared" ca="1" si="77"/>
        <v>46254.488367999998</v>
      </c>
      <c r="Q296" s="114">
        <f t="shared" ca="1" si="78"/>
        <v>46269.488367999998</v>
      </c>
      <c r="R296" s="114" t="b">
        <f t="shared" ca="1" si="65"/>
        <v>1</v>
      </c>
      <c r="S296" s="115">
        <f t="shared" ca="1" si="66"/>
        <v>15</v>
      </c>
      <c r="T296" s="126">
        <f t="shared" ca="1" si="67"/>
        <v>46284.488367999998</v>
      </c>
      <c r="U296" s="127" t="str">
        <f t="shared" si="64"/>
        <v>S</v>
      </c>
      <c r="V296" s="128">
        <f t="shared" si="79"/>
        <v>75.513333333333335</v>
      </c>
      <c r="W296" s="129">
        <f t="shared" si="68"/>
        <v>75.513333333333335</v>
      </c>
      <c r="X296" s="197"/>
      <c r="Y296" s="115">
        <f t="shared" ca="1" si="69"/>
        <v>260</v>
      </c>
      <c r="Z296" s="118">
        <f t="shared" ca="1" si="70"/>
        <v>0.28767123287671237</v>
      </c>
      <c r="AA296" s="116"/>
      <c r="AB296" s="117">
        <f t="shared" si="71"/>
        <v>6.0276893361242196</v>
      </c>
      <c r="AC296" s="118">
        <f t="shared" si="72"/>
        <v>0.33448705567184245</v>
      </c>
      <c r="AE296" s="55"/>
      <c r="AF296" s="72"/>
      <c r="AG296" s="72"/>
      <c r="AH296" s="66"/>
      <c r="AJ296" t="s">
        <v>687</v>
      </c>
    </row>
    <row r="297" spans="1:36" ht="16" hidden="1" thickBot="1" x14ac:dyDescent="0.25">
      <c r="A297" s="119" t="s">
        <v>686</v>
      </c>
      <c r="B297" s="120" t="s">
        <v>1424</v>
      </c>
      <c r="C297" s="108" t="str">
        <f t="shared" si="73"/>
        <v>/Applications/Stellarium.app/Contents/Resources/nebulae/default/lbn437.png</v>
      </c>
      <c r="D297" s="121" t="s">
        <v>1727</v>
      </c>
      <c r="E297" s="109"/>
      <c r="F297" s="122">
        <v>22</v>
      </c>
      <c r="G297" s="123">
        <v>45</v>
      </c>
      <c r="H297" s="122">
        <v>37</v>
      </c>
      <c r="I297" s="124">
        <v>16</v>
      </c>
      <c r="J297" s="112" t="s">
        <v>1165</v>
      </c>
      <c r="K297" s="125">
        <v>14.3</v>
      </c>
      <c r="L297" s="196"/>
      <c r="M297" s="110">
        <f t="shared" si="74"/>
        <v>37.266666666666666</v>
      </c>
      <c r="N297" s="111">
        <f t="shared" si="75"/>
        <v>75.046666666666667</v>
      </c>
      <c r="O297" s="112">
        <f t="shared" si="76"/>
        <v>22.75</v>
      </c>
      <c r="P297" s="113">
        <f t="shared" ca="1" si="77"/>
        <v>46255.502928000002</v>
      </c>
      <c r="Q297" s="114">
        <f t="shared" ca="1" si="78"/>
        <v>46270.502928000002</v>
      </c>
      <c r="R297" s="114" t="b">
        <f t="shared" ca="1" si="65"/>
        <v>1</v>
      </c>
      <c r="S297" s="115">
        <f t="shared" ca="1" si="66"/>
        <v>15</v>
      </c>
      <c r="T297" s="126">
        <f t="shared" ca="1" si="67"/>
        <v>46285.502928000002</v>
      </c>
      <c r="U297" s="127" t="str">
        <f t="shared" si="64"/>
        <v>S</v>
      </c>
      <c r="V297" s="128">
        <f t="shared" si="79"/>
        <v>75.046666666666667</v>
      </c>
      <c r="W297" s="129">
        <f t="shared" si="68"/>
        <v>75.046666666666667</v>
      </c>
      <c r="X297" s="197"/>
      <c r="Y297" s="115">
        <f t="shared" ca="1" si="69"/>
        <v>258</v>
      </c>
      <c r="Z297" s="118">
        <f t="shared" ca="1" si="70"/>
        <v>0.29315068493150687</v>
      </c>
      <c r="AA297" s="116"/>
      <c r="AB297" s="117">
        <f t="shared" si="71"/>
        <v>6.0941739738795446</v>
      </c>
      <c r="AC297" s="118">
        <f t="shared" si="72"/>
        <v>0.33725724891164771</v>
      </c>
      <c r="AE297" s="55"/>
      <c r="AF297" s="72"/>
      <c r="AG297" s="72"/>
      <c r="AH297" s="66"/>
      <c r="AJ297" t="s">
        <v>686</v>
      </c>
    </row>
    <row r="298" spans="1:36" ht="16" hidden="1" thickBot="1" x14ac:dyDescent="0.25">
      <c r="A298" s="119" t="s">
        <v>547</v>
      </c>
      <c r="B298" s="120" t="s">
        <v>1348</v>
      </c>
      <c r="C298" s="108" t="str">
        <f t="shared" si="73"/>
        <v>/Applications/Stellarium.app/Contents/Resources/nebulae/default/n7380.png</v>
      </c>
      <c r="D298" s="121" t="s">
        <v>1728</v>
      </c>
      <c r="E298" s="109"/>
      <c r="F298" s="122">
        <v>22</v>
      </c>
      <c r="G298" s="123">
        <v>49</v>
      </c>
      <c r="H298" s="122">
        <v>57</v>
      </c>
      <c r="I298" s="124">
        <v>43</v>
      </c>
      <c r="J298" s="112" t="s">
        <v>727</v>
      </c>
      <c r="K298" s="125">
        <v>13.7</v>
      </c>
      <c r="L298" s="196"/>
      <c r="M298" s="110">
        <f t="shared" si="74"/>
        <v>57.716666666666669</v>
      </c>
      <c r="N298" s="111">
        <f t="shared" si="75"/>
        <v>95.49666666666667</v>
      </c>
      <c r="O298" s="112">
        <f t="shared" si="76"/>
        <v>22.816666666666666</v>
      </c>
      <c r="P298" s="113">
        <f t="shared" ca="1" si="77"/>
        <v>46256.517487999998</v>
      </c>
      <c r="Q298" s="114">
        <f t="shared" ca="1" si="78"/>
        <v>46271.517487999998</v>
      </c>
      <c r="R298" s="114" t="b">
        <f t="shared" ca="1" si="65"/>
        <v>1</v>
      </c>
      <c r="S298" s="115">
        <f t="shared" ca="1" si="66"/>
        <v>15</v>
      </c>
      <c r="T298" s="126">
        <f t="shared" ca="1" si="67"/>
        <v>46286.517487999998</v>
      </c>
      <c r="U298" s="127" t="str">
        <f t="shared" si="64"/>
        <v>N</v>
      </c>
      <c r="V298" s="128">
        <f t="shared" si="79"/>
        <v>84.50333333333333</v>
      </c>
      <c r="W298" s="129">
        <f t="shared" si="68"/>
        <v>84.50333333333333</v>
      </c>
      <c r="X298" s="197"/>
      <c r="Y298" s="115">
        <f t="shared" ca="1" si="69"/>
        <v>257</v>
      </c>
      <c r="Z298" s="118">
        <f t="shared" ca="1" si="70"/>
        <v>0.29589041095890412</v>
      </c>
      <c r="AA298" s="116"/>
      <c r="AB298" s="117">
        <f t="shared" si="71"/>
        <v>6.1606586116348687</v>
      </c>
      <c r="AC298" s="118">
        <f t="shared" si="72"/>
        <v>0.34002744215145286</v>
      </c>
      <c r="AE298" s="55"/>
      <c r="AF298" s="72"/>
      <c r="AG298" s="72"/>
      <c r="AH298" s="66"/>
      <c r="AJ298" t="s">
        <v>547</v>
      </c>
    </row>
    <row r="299" spans="1:36" ht="16" hidden="1" thickBot="1" x14ac:dyDescent="0.25">
      <c r="A299" s="119" t="s">
        <v>548</v>
      </c>
      <c r="B299" s="120" t="s">
        <v>1349</v>
      </c>
      <c r="C299" s="108" t="str">
        <f t="shared" si="73"/>
        <v>/Applications/Stellarium.app/Contents/Resources/nebulae/default/n7424-dss.png</v>
      </c>
      <c r="D299" s="121" t="s">
        <v>1729</v>
      </c>
      <c r="E299" s="109"/>
      <c r="F299" s="122">
        <v>22</v>
      </c>
      <c r="G299" s="123">
        <v>57</v>
      </c>
      <c r="H299" s="122">
        <v>-42</v>
      </c>
      <c r="I299" s="124">
        <v>50</v>
      </c>
      <c r="J299" s="112" t="s">
        <v>1075</v>
      </c>
      <c r="K299" s="125">
        <v>13.8</v>
      </c>
      <c r="L299" s="196"/>
      <c r="M299" s="110">
        <f t="shared" si="74"/>
        <v>-41.166666666666664</v>
      </c>
      <c r="N299" s="111">
        <f t="shared" si="75"/>
        <v>-3.3866666666666632</v>
      </c>
      <c r="O299" s="112">
        <f t="shared" si="76"/>
        <v>22.95</v>
      </c>
      <c r="P299" s="113">
        <f t="shared" ca="1" si="77"/>
        <v>46258.546607999997</v>
      </c>
      <c r="Q299" s="114">
        <f t="shared" ca="1" si="78"/>
        <v>46273.546607999997</v>
      </c>
      <c r="R299" s="114" t="b">
        <f t="shared" ca="1" si="65"/>
        <v>1</v>
      </c>
      <c r="S299" s="115">
        <f t="shared" ca="1" si="66"/>
        <v>15</v>
      </c>
      <c r="T299" s="126">
        <f t="shared" ca="1" si="67"/>
        <v>46288.546607999997</v>
      </c>
      <c r="U299" s="127" t="str">
        <f t="shared" si="64"/>
        <v>S</v>
      </c>
      <c r="V299" s="128">
        <f t="shared" si="79"/>
        <v>-3.3866666666666632</v>
      </c>
      <c r="W299" s="129">
        <f t="shared" si="68"/>
        <v>-3.3866666666666632</v>
      </c>
      <c r="X299" s="197"/>
      <c r="Y299" s="115">
        <f t="shared" ca="1" si="69"/>
        <v>255</v>
      </c>
      <c r="Z299" s="118">
        <f t="shared" ca="1" si="70"/>
        <v>0.30136986301369861</v>
      </c>
      <c r="AA299" s="116"/>
      <c r="AB299" s="117">
        <f t="shared" si="71"/>
        <v>6.2936278871455187</v>
      </c>
      <c r="AC299" s="118">
        <f t="shared" si="72"/>
        <v>0.34556782863106328</v>
      </c>
      <c r="AE299" s="55"/>
      <c r="AF299" s="72"/>
      <c r="AG299" s="72"/>
      <c r="AH299" s="66"/>
      <c r="AJ299" t="s">
        <v>548</v>
      </c>
    </row>
    <row r="300" spans="1:36" ht="16" hidden="1" thickBot="1" x14ac:dyDescent="0.25">
      <c r="A300" s="119" t="s">
        <v>625</v>
      </c>
      <c r="B300" s="120" t="s">
        <v>1399</v>
      </c>
      <c r="C300" s="108" t="str">
        <f t="shared" si="73"/>
        <v>/Applications/Stellarium.app/Contents/Resources/nebulae/default/sh2-155.png</v>
      </c>
      <c r="D300" s="121" t="s">
        <v>1730</v>
      </c>
      <c r="E300" s="109"/>
      <c r="F300" s="122">
        <v>22</v>
      </c>
      <c r="G300" s="123">
        <v>59</v>
      </c>
      <c r="H300" s="122">
        <v>61</v>
      </c>
      <c r="I300" s="124">
        <v>49</v>
      </c>
      <c r="J300" s="112" t="s">
        <v>1131</v>
      </c>
      <c r="K300" s="125">
        <v>14</v>
      </c>
      <c r="L300" s="196"/>
      <c r="M300" s="110">
        <f t="shared" si="74"/>
        <v>61.81666666666667</v>
      </c>
      <c r="N300" s="111">
        <f t="shared" si="75"/>
        <v>99.596666666666664</v>
      </c>
      <c r="O300" s="112">
        <f t="shared" si="76"/>
        <v>22.983333333333334</v>
      </c>
      <c r="P300" s="113">
        <f t="shared" ca="1" si="77"/>
        <v>46259.053888000002</v>
      </c>
      <c r="Q300" s="114">
        <f t="shared" ca="1" si="78"/>
        <v>46274.053888000002</v>
      </c>
      <c r="R300" s="114" t="b">
        <f t="shared" ca="1" si="65"/>
        <v>1</v>
      </c>
      <c r="S300" s="115">
        <f t="shared" ca="1" si="66"/>
        <v>15</v>
      </c>
      <c r="T300" s="126">
        <f t="shared" ca="1" si="67"/>
        <v>46289.053888000002</v>
      </c>
      <c r="U300" s="127" t="str">
        <f t="shared" si="64"/>
        <v>N</v>
      </c>
      <c r="V300" s="128">
        <f t="shared" si="79"/>
        <v>80.403333333333336</v>
      </c>
      <c r="W300" s="129">
        <f t="shared" si="68"/>
        <v>80.403333333333336</v>
      </c>
      <c r="X300" s="197"/>
      <c r="Y300" s="115">
        <f t="shared" ca="1" si="69"/>
        <v>255</v>
      </c>
      <c r="Z300" s="118">
        <f t="shared" ca="1" si="70"/>
        <v>0.30136986301369861</v>
      </c>
      <c r="AA300" s="116"/>
      <c r="AB300" s="117">
        <f t="shared" si="71"/>
        <v>6.326870206023183</v>
      </c>
      <c r="AC300" s="118">
        <f t="shared" si="72"/>
        <v>0.34695292525096599</v>
      </c>
      <c r="AE300" s="55"/>
      <c r="AF300" s="72"/>
      <c r="AG300" s="72"/>
      <c r="AH300" s="66"/>
      <c r="AJ300" t="s">
        <v>625</v>
      </c>
    </row>
    <row r="301" spans="1:36" ht="16" hidden="1" thickBot="1" x14ac:dyDescent="0.25">
      <c r="A301" s="119" t="s">
        <v>549</v>
      </c>
      <c r="B301" s="120" t="s">
        <v>1272</v>
      </c>
      <c r="C301" s="108" t="str">
        <f t="shared" si="73"/>
        <v>/Applications/Stellarium.app/Contents/Resources/nebulae/default/n7479-vasey.png</v>
      </c>
      <c r="D301" s="121" t="s">
        <v>1731</v>
      </c>
      <c r="E301" s="109"/>
      <c r="F301" s="122">
        <v>23</v>
      </c>
      <c r="G301" s="123">
        <v>5</v>
      </c>
      <c r="H301" s="122">
        <v>12</v>
      </c>
      <c r="I301" s="124">
        <v>15</v>
      </c>
      <c r="J301" s="112" t="s">
        <v>1076</v>
      </c>
      <c r="K301" s="125">
        <v>13.4</v>
      </c>
      <c r="L301" s="196"/>
      <c r="M301" s="110">
        <f t="shared" si="74"/>
        <v>12.25</v>
      </c>
      <c r="N301" s="111">
        <f t="shared" si="75"/>
        <v>50.03</v>
      </c>
      <c r="O301" s="112">
        <f t="shared" si="76"/>
        <v>23.083333333333332</v>
      </c>
      <c r="P301" s="113">
        <f t="shared" ca="1" si="77"/>
        <v>46260.575728000003</v>
      </c>
      <c r="Q301" s="114">
        <f t="shared" ca="1" si="78"/>
        <v>46275.575728000003</v>
      </c>
      <c r="R301" s="114" t="b">
        <f t="shared" ca="1" si="65"/>
        <v>1</v>
      </c>
      <c r="S301" s="115">
        <f t="shared" ca="1" si="66"/>
        <v>15</v>
      </c>
      <c r="T301" s="126">
        <f t="shared" ca="1" si="67"/>
        <v>46290.575728000003</v>
      </c>
      <c r="U301" s="127" t="str">
        <f t="shared" si="64"/>
        <v>S</v>
      </c>
      <c r="V301" s="128">
        <f t="shared" si="79"/>
        <v>50.03</v>
      </c>
      <c r="W301" s="129">
        <f t="shared" si="68"/>
        <v>50.03</v>
      </c>
      <c r="X301" s="197"/>
      <c r="Y301" s="115">
        <f t="shared" ca="1" si="69"/>
        <v>253</v>
      </c>
      <c r="Z301" s="118">
        <f t="shared" ca="1" si="70"/>
        <v>0.30684931506849311</v>
      </c>
      <c r="AA301" s="116"/>
      <c r="AB301" s="117">
        <f t="shared" si="71"/>
        <v>6.4265971626561678</v>
      </c>
      <c r="AC301" s="118">
        <f t="shared" si="72"/>
        <v>0.35110821511067369</v>
      </c>
      <c r="AE301" s="55"/>
      <c r="AF301" s="72"/>
      <c r="AG301" s="72"/>
      <c r="AH301" s="66"/>
      <c r="AJ301" t="s">
        <v>549</v>
      </c>
    </row>
    <row r="302" spans="1:36" ht="16" hidden="1" thickBot="1" x14ac:dyDescent="0.25">
      <c r="A302" s="119" t="s">
        <v>550</v>
      </c>
      <c r="B302" s="120" t="s">
        <v>1191</v>
      </c>
      <c r="C302" s="108" t="str">
        <f t="shared" si="73"/>
        <v>/Applications/Stellarium.app/Contents/Resources/nebulae/default/n7492.png</v>
      </c>
      <c r="D302" s="121" t="s">
        <v>1732</v>
      </c>
      <c r="E302" s="109"/>
      <c r="F302" s="122">
        <v>23</v>
      </c>
      <c r="G302" s="123">
        <v>8</v>
      </c>
      <c r="H302" s="122">
        <v>-16</v>
      </c>
      <c r="I302" s="124">
        <v>20</v>
      </c>
      <c r="J302" s="112" t="s">
        <v>1021</v>
      </c>
      <c r="K302" s="125">
        <v>13.8</v>
      </c>
      <c r="L302" s="196"/>
      <c r="M302" s="110">
        <f t="shared" si="74"/>
        <v>-15.666666666666666</v>
      </c>
      <c r="N302" s="111">
        <f t="shared" si="75"/>
        <v>22.113333333333337</v>
      </c>
      <c r="O302" s="112">
        <f t="shared" si="76"/>
        <v>23.133333333333333</v>
      </c>
      <c r="P302" s="113">
        <f t="shared" ca="1" si="77"/>
        <v>46261.336647999997</v>
      </c>
      <c r="Q302" s="114">
        <f t="shared" ca="1" si="78"/>
        <v>46276.336647999997</v>
      </c>
      <c r="R302" s="114" t="b">
        <f t="shared" ca="1" si="65"/>
        <v>1</v>
      </c>
      <c r="S302" s="115">
        <f t="shared" ca="1" si="66"/>
        <v>15</v>
      </c>
      <c r="T302" s="126">
        <f t="shared" ca="1" si="67"/>
        <v>46291.336647999997</v>
      </c>
      <c r="U302" s="127" t="str">
        <f t="shared" si="64"/>
        <v>S</v>
      </c>
      <c r="V302" s="128">
        <f t="shared" si="79"/>
        <v>22.113333333333337</v>
      </c>
      <c r="W302" s="129">
        <f t="shared" si="68"/>
        <v>22.113333333333337</v>
      </c>
      <c r="X302" s="197"/>
      <c r="Y302" s="115">
        <f t="shared" ca="1" si="69"/>
        <v>253</v>
      </c>
      <c r="Z302" s="118">
        <f t="shared" ca="1" si="70"/>
        <v>0.30684931506849311</v>
      </c>
      <c r="AA302" s="116"/>
      <c r="AB302" s="117">
        <f t="shared" si="71"/>
        <v>6.4764606409726628</v>
      </c>
      <c r="AC302" s="118">
        <f t="shared" si="72"/>
        <v>0.3531858600405276</v>
      </c>
      <c r="AE302" s="55"/>
      <c r="AF302" s="72"/>
      <c r="AG302" s="72"/>
      <c r="AH302" s="66"/>
      <c r="AJ302" t="s">
        <v>550</v>
      </c>
    </row>
    <row r="303" spans="1:36" ht="16" hidden="1" thickBot="1" x14ac:dyDescent="0.25">
      <c r="A303" s="119" t="s">
        <v>551</v>
      </c>
      <c r="B303" s="120" t="s">
        <v>1272</v>
      </c>
      <c r="C303" s="108" t="str">
        <f t="shared" si="73"/>
        <v>/Applications/Stellarium.app/Contents/Resources/nebulae/default/n7497.png</v>
      </c>
      <c r="D303" s="121" t="s">
        <v>1733</v>
      </c>
      <c r="E303" s="109"/>
      <c r="F303" s="122">
        <v>23</v>
      </c>
      <c r="G303" s="123">
        <v>9</v>
      </c>
      <c r="H303" s="122">
        <v>18</v>
      </c>
      <c r="I303" s="124">
        <v>10</v>
      </c>
      <c r="J303" s="112" t="s">
        <v>1076</v>
      </c>
      <c r="K303" s="125">
        <v>14.7</v>
      </c>
      <c r="L303" s="196"/>
      <c r="M303" s="110">
        <f t="shared" si="74"/>
        <v>18.166666666666668</v>
      </c>
      <c r="N303" s="111">
        <f t="shared" si="75"/>
        <v>55.946666666666673</v>
      </c>
      <c r="O303" s="112">
        <f t="shared" si="76"/>
        <v>23.15</v>
      </c>
      <c r="P303" s="113">
        <f t="shared" ca="1" si="77"/>
        <v>46261.590287999999</v>
      </c>
      <c r="Q303" s="114">
        <f t="shared" ca="1" si="78"/>
        <v>46276.590287999999</v>
      </c>
      <c r="R303" s="114" t="b">
        <f t="shared" ca="1" si="65"/>
        <v>1</v>
      </c>
      <c r="S303" s="115">
        <f t="shared" ca="1" si="66"/>
        <v>15</v>
      </c>
      <c r="T303" s="126">
        <f t="shared" ca="1" si="67"/>
        <v>46291.590287999999</v>
      </c>
      <c r="U303" s="127" t="str">
        <f t="shared" si="64"/>
        <v>S</v>
      </c>
      <c r="V303" s="128">
        <f t="shared" si="79"/>
        <v>55.946666666666673</v>
      </c>
      <c r="W303" s="129">
        <f t="shared" si="68"/>
        <v>55.946666666666673</v>
      </c>
      <c r="X303" s="197"/>
      <c r="Y303" s="115">
        <f t="shared" ca="1" si="69"/>
        <v>252</v>
      </c>
      <c r="Z303" s="118">
        <f t="shared" ca="1" si="70"/>
        <v>0.30958904109589036</v>
      </c>
      <c r="AA303" s="116"/>
      <c r="AB303" s="117">
        <f t="shared" si="71"/>
        <v>6.4930818004114927</v>
      </c>
      <c r="AC303" s="118">
        <f t="shared" si="72"/>
        <v>0.35387840835047885</v>
      </c>
      <c r="AE303" s="55"/>
      <c r="AF303" s="72"/>
      <c r="AG303" s="72"/>
      <c r="AH303" s="66"/>
      <c r="AJ303" t="s">
        <v>551</v>
      </c>
    </row>
    <row r="304" spans="1:36" ht="16" hidden="1" thickBot="1" x14ac:dyDescent="0.25">
      <c r="A304" s="119" t="s">
        <v>552</v>
      </c>
      <c r="B304" s="120" t="s">
        <v>1350</v>
      </c>
      <c r="C304" s="108" t="str">
        <f t="shared" si="73"/>
        <v>/Applications/Stellarium.app/Contents/Resources/nebulae/default/n7538.png</v>
      </c>
      <c r="D304" s="121" t="s">
        <v>1734</v>
      </c>
      <c r="E304" s="109"/>
      <c r="F304" s="122">
        <v>23</v>
      </c>
      <c r="G304" s="123">
        <v>15</v>
      </c>
      <c r="H304" s="122">
        <v>61</v>
      </c>
      <c r="I304" s="124">
        <v>22</v>
      </c>
      <c r="J304" s="112" t="s">
        <v>866</v>
      </c>
      <c r="K304" s="125">
        <v>13.8</v>
      </c>
      <c r="L304" s="196"/>
      <c r="M304" s="110">
        <f t="shared" si="74"/>
        <v>61.366666666666667</v>
      </c>
      <c r="N304" s="111">
        <f t="shared" si="75"/>
        <v>99.146666666666675</v>
      </c>
      <c r="O304" s="112">
        <f t="shared" si="76"/>
        <v>23.25</v>
      </c>
      <c r="P304" s="113">
        <f t="shared" ca="1" si="77"/>
        <v>46263.112128000001</v>
      </c>
      <c r="Q304" s="114">
        <f t="shared" ca="1" si="78"/>
        <v>46278.112128000001</v>
      </c>
      <c r="R304" s="114" t="b">
        <f t="shared" ca="1" si="65"/>
        <v>1</v>
      </c>
      <c r="S304" s="115">
        <f t="shared" ca="1" si="66"/>
        <v>15</v>
      </c>
      <c r="T304" s="126">
        <f t="shared" ca="1" si="67"/>
        <v>46293.112128000001</v>
      </c>
      <c r="U304" s="127" t="str">
        <f t="shared" si="64"/>
        <v>N</v>
      </c>
      <c r="V304" s="128">
        <f t="shared" si="79"/>
        <v>80.853333333333325</v>
      </c>
      <c r="W304" s="129">
        <f t="shared" si="68"/>
        <v>80.853333333333325</v>
      </c>
      <c r="X304" s="197"/>
      <c r="Y304" s="115">
        <f t="shared" ca="1" si="69"/>
        <v>251</v>
      </c>
      <c r="Z304" s="118">
        <f t="shared" ca="1" si="70"/>
        <v>0.31232876712328772</v>
      </c>
      <c r="AA304" s="116"/>
      <c r="AB304" s="117">
        <f t="shared" si="71"/>
        <v>6.592808757044482</v>
      </c>
      <c r="AC304" s="118">
        <f t="shared" si="72"/>
        <v>0.35803369821018677</v>
      </c>
      <c r="AE304" s="55"/>
      <c r="AF304" s="72"/>
      <c r="AG304" s="72"/>
      <c r="AH304" s="66"/>
      <c r="AJ304" t="s">
        <v>552</v>
      </c>
    </row>
    <row r="305" spans="1:36" ht="16" hidden="1" thickBot="1" x14ac:dyDescent="0.25">
      <c r="A305" s="119" t="s">
        <v>554</v>
      </c>
      <c r="B305" s="120" t="s">
        <v>1302</v>
      </c>
      <c r="C305" s="108" t="str">
        <f t="shared" si="73"/>
        <v>/Applications/Stellarium.app/Contents/Resources/nebulae/default/n7590-trev.png</v>
      </c>
      <c r="D305" s="121" t="s">
        <v>1735</v>
      </c>
      <c r="E305" s="109"/>
      <c r="F305" s="122">
        <v>23</v>
      </c>
      <c r="G305" s="123">
        <v>20</v>
      </c>
      <c r="H305" s="122">
        <v>-43</v>
      </c>
      <c r="I305" s="124">
        <v>17</v>
      </c>
      <c r="J305" s="112" t="s">
        <v>1078</v>
      </c>
      <c r="K305" s="125">
        <v>12.8</v>
      </c>
      <c r="L305" s="196"/>
      <c r="M305" s="110">
        <f t="shared" si="74"/>
        <v>-42.716666666666669</v>
      </c>
      <c r="N305" s="111">
        <f t="shared" si="75"/>
        <v>-4.9366666666666674</v>
      </c>
      <c r="O305" s="112">
        <f t="shared" si="76"/>
        <v>23.333333333333332</v>
      </c>
      <c r="P305" s="113">
        <f t="shared" ca="1" si="77"/>
        <v>46264.380327999999</v>
      </c>
      <c r="Q305" s="114">
        <f t="shared" ca="1" si="78"/>
        <v>46279.380327999999</v>
      </c>
      <c r="R305" s="114" t="b">
        <f t="shared" ca="1" si="65"/>
        <v>1</v>
      </c>
      <c r="S305" s="115">
        <f t="shared" ca="1" si="66"/>
        <v>15</v>
      </c>
      <c r="T305" s="126">
        <f t="shared" ca="1" si="67"/>
        <v>46294.380327999999</v>
      </c>
      <c r="U305" s="127" t="str">
        <f t="shared" si="64"/>
        <v>S</v>
      </c>
      <c r="V305" s="128">
        <f t="shared" si="79"/>
        <v>-4.9366666666666674</v>
      </c>
      <c r="W305" s="129">
        <f t="shared" si="68"/>
        <v>-4.9366666666666674</v>
      </c>
      <c r="X305" s="197"/>
      <c r="Y305" s="115">
        <f t="shared" ca="1" si="69"/>
        <v>250</v>
      </c>
      <c r="Z305" s="118">
        <f t="shared" ca="1" si="70"/>
        <v>0.31506849315068497</v>
      </c>
      <c r="AA305" s="116"/>
      <c r="AB305" s="117">
        <f t="shared" si="71"/>
        <v>6.6759145542386369</v>
      </c>
      <c r="AC305" s="118">
        <f t="shared" si="72"/>
        <v>0.36149643975994322</v>
      </c>
      <c r="AE305" s="55"/>
      <c r="AF305" s="72"/>
      <c r="AG305" s="72"/>
      <c r="AH305" s="66"/>
      <c r="AJ305" t="s">
        <v>554</v>
      </c>
    </row>
    <row r="306" spans="1:36" ht="16" hidden="1" thickBot="1" x14ac:dyDescent="0.25">
      <c r="A306" s="119" t="s">
        <v>553</v>
      </c>
      <c r="B306" s="120" t="s">
        <v>1302</v>
      </c>
      <c r="C306" s="108" t="str">
        <f t="shared" si="73"/>
        <v>/Applications/Stellarium.app/Contents/Resources/nebulae/default/n7619.png</v>
      </c>
      <c r="D306" s="121" t="s">
        <v>1736</v>
      </c>
      <c r="E306" s="109"/>
      <c r="F306" s="122">
        <v>23</v>
      </c>
      <c r="G306" s="123">
        <v>22</v>
      </c>
      <c r="H306" s="122">
        <v>8</v>
      </c>
      <c r="I306" s="124">
        <v>17</v>
      </c>
      <c r="J306" s="112" t="s">
        <v>1077</v>
      </c>
      <c r="K306" s="125">
        <v>13.9</v>
      </c>
      <c r="L306" s="196"/>
      <c r="M306" s="110">
        <f t="shared" si="74"/>
        <v>8.2833333333333332</v>
      </c>
      <c r="N306" s="111">
        <f t="shared" si="75"/>
        <v>46.063333333333333</v>
      </c>
      <c r="O306" s="112">
        <f t="shared" si="76"/>
        <v>23.366666666666667</v>
      </c>
      <c r="P306" s="113">
        <f t="shared" ca="1" si="77"/>
        <v>46264.887607999997</v>
      </c>
      <c r="Q306" s="114">
        <f t="shared" ca="1" si="78"/>
        <v>46279.887607999997</v>
      </c>
      <c r="R306" s="114" t="b">
        <f t="shared" ca="1" si="65"/>
        <v>1</v>
      </c>
      <c r="S306" s="115">
        <f t="shared" ca="1" si="66"/>
        <v>15</v>
      </c>
      <c r="T306" s="126">
        <f t="shared" ca="1" si="67"/>
        <v>46294.887607999997</v>
      </c>
      <c r="U306" s="127" t="str">
        <f t="shared" si="64"/>
        <v>S</v>
      </c>
      <c r="V306" s="128">
        <f t="shared" si="79"/>
        <v>46.063333333333333</v>
      </c>
      <c r="W306" s="129">
        <f t="shared" si="68"/>
        <v>46.063333333333333</v>
      </c>
      <c r="X306" s="197"/>
      <c r="Y306" s="115">
        <f t="shared" ca="1" si="69"/>
        <v>249</v>
      </c>
      <c r="Z306" s="118">
        <f t="shared" ca="1" si="70"/>
        <v>0.31780821917808222</v>
      </c>
      <c r="AA306" s="116"/>
      <c r="AB306" s="117">
        <f t="shared" si="71"/>
        <v>6.7091568731163012</v>
      </c>
      <c r="AC306" s="118">
        <f t="shared" si="72"/>
        <v>0.36288153637984588</v>
      </c>
      <c r="AE306" s="55"/>
      <c r="AF306" s="72"/>
      <c r="AG306" s="72"/>
      <c r="AH306" s="66"/>
      <c r="AJ306" t="s">
        <v>553</v>
      </c>
    </row>
    <row r="307" spans="1:36" ht="16" hidden="1" thickBot="1" x14ac:dyDescent="0.25">
      <c r="A307" s="119" t="s">
        <v>555</v>
      </c>
      <c r="B307" s="120" t="s">
        <v>1351</v>
      </c>
      <c r="C307" s="108" t="str">
        <f t="shared" si="73"/>
        <v>/Applications/Stellarium.app/Contents/Resources/nebulae/default/n7635.png</v>
      </c>
      <c r="D307" s="121" t="s">
        <v>1737</v>
      </c>
      <c r="E307" s="109"/>
      <c r="F307" s="122">
        <v>23</v>
      </c>
      <c r="G307" s="123">
        <v>23</v>
      </c>
      <c r="H307" s="122">
        <v>60</v>
      </c>
      <c r="I307" s="124">
        <v>56</v>
      </c>
      <c r="J307" s="112" t="s">
        <v>1079</v>
      </c>
      <c r="K307" s="125">
        <v>13.4</v>
      </c>
      <c r="L307" s="196"/>
      <c r="M307" s="110">
        <f t="shared" si="74"/>
        <v>60.93333333333333</v>
      </c>
      <c r="N307" s="111">
        <f t="shared" si="75"/>
        <v>98.713333333333338</v>
      </c>
      <c r="O307" s="112">
        <f t="shared" si="76"/>
        <v>23.383333333333333</v>
      </c>
      <c r="P307" s="113">
        <f t="shared" ca="1" si="77"/>
        <v>46265.141248</v>
      </c>
      <c r="Q307" s="114">
        <f t="shared" ca="1" si="78"/>
        <v>46280.141248</v>
      </c>
      <c r="R307" s="114" t="b">
        <f t="shared" ca="1" si="65"/>
        <v>1</v>
      </c>
      <c r="S307" s="115">
        <f t="shared" ca="1" si="66"/>
        <v>15</v>
      </c>
      <c r="T307" s="126">
        <f t="shared" ca="1" si="67"/>
        <v>46295.141248</v>
      </c>
      <c r="U307" s="127" t="str">
        <f t="shared" si="64"/>
        <v>N</v>
      </c>
      <c r="V307" s="128">
        <f t="shared" si="79"/>
        <v>81.286666666666662</v>
      </c>
      <c r="W307" s="129">
        <f t="shared" si="68"/>
        <v>81.286666666666662</v>
      </c>
      <c r="X307" s="197"/>
      <c r="Y307" s="115">
        <f t="shared" ca="1" si="69"/>
        <v>249</v>
      </c>
      <c r="Z307" s="118">
        <f t="shared" ca="1" si="70"/>
        <v>0.31780821917808222</v>
      </c>
      <c r="AA307" s="116"/>
      <c r="AB307" s="117">
        <f t="shared" si="71"/>
        <v>6.7257780325551311</v>
      </c>
      <c r="AC307" s="118">
        <f t="shared" si="72"/>
        <v>0.36357408468979707</v>
      </c>
      <c r="AE307" s="55"/>
      <c r="AF307" s="72"/>
      <c r="AG307" s="72"/>
      <c r="AH307" s="66"/>
      <c r="AJ307" t="s">
        <v>555</v>
      </c>
    </row>
    <row r="308" spans="1:36" ht="16" hidden="1" thickBot="1" x14ac:dyDescent="0.25">
      <c r="A308" s="119" t="s">
        <v>556</v>
      </c>
      <c r="B308" s="120" t="s">
        <v>1272</v>
      </c>
      <c r="C308" s="108" t="str">
        <f t="shared" si="73"/>
        <v>/Applications/Stellarium.app/Contents/Resources/nebulae/default/n7640-vasey.png</v>
      </c>
      <c r="D308" s="121" t="s">
        <v>1738</v>
      </c>
      <c r="E308" s="109"/>
      <c r="F308" s="122">
        <v>23</v>
      </c>
      <c r="G308" s="123">
        <v>23</v>
      </c>
      <c r="H308" s="122">
        <v>40</v>
      </c>
      <c r="I308" s="124">
        <v>41</v>
      </c>
      <c r="J308" s="112" t="s">
        <v>1080</v>
      </c>
      <c r="K308" s="125">
        <v>13.4</v>
      </c>
      <c r="L308" s="196"/>
      <c r="M308" s="110">
        <f t="shared" si="74"/>
        <v>40.68333333333333</v>
      </c>
      <c r="N308" s="111">
        <f t="shared" si="75"/>
        <v>78.463333333333338</v>
      </c>
      <c r="O308" s="112">
        <f t="shared" si="76"/>
        <v>23.383333333333333</v>
      </c>
      <c r="P308" s="113">
        <f t="shared" ca="1" si="77"/>
        <v>46265.141248</v>
      </c>
      <c r="Q308" s="114">
        <f t="shared" ca="1" si="78"/>
        <v>46280.141248</v>
      </c>
      <c r="R308" s="114" t="b">
        <f t="shared" ca="1" si="65"/>
        <v>1</v>
      </c>
      <c r="S308" s="115">
        <f t="shared" ca="1" si="66"/>
        <v>15</v>
      </c>
      <c r="T308" s="126">
        <f t="shared" ca="1" si="67"/>
        <v>46295.141248</v>
      </c>
      <c r="U308" s="127" t="str">
        <f t="shared" ref="U308:U371" si="80">IF(N308&lt;90,"S","N")</f>
        <v>S</v>
      </c>
      <c r="V308" s="128">
        <f t="shared" si="79"/>
        <v>78.463333333333338</v>
      </c>
      <c r="W308" s="129">
        <f t="shared" si="68"/>
        <v>78.463333333333338</v>
      </c>
      <c r="X308" s="197"/>
      <c r="Y308" s="115">
        <f t="shared" ca="1" si="69"/>
        <v>249</v>
      </c>
      <c r="Z308" s="118">
        <f t="shared" ca="1" si="70"/>
        <v>0.31780821917808222</v>
      </c>
      <c r="AA308" s="116"/>
      <c r="AB308" s="117">
        <f t="shared" si="71"/>
        <v>6.7257780325551311</v>
      </c>
      <c r="AC308" s="118">
        <f t="shared" si="72"/>
        <v>0.36357408468979707</v>
      </c>
      <c r="AE308" s="55"/>
      <c r="AF308" s="72"/>
      <c r="AG308" s="72"/>
      <c r="AH308" s="66"/>
      <c r="AJ308" t="s">
        <v>556</v>
      </c>
    </row>
    <row r="309" spans="1:36" ht="16" hidden="1" thickBot="1" x14ac:dyDescent="0.25">
      <c r="A309" s="119" t="s">
        <v>626</v>
      </c>
      <c r="B309" s="120" t="s">
        <v>1400</v>
      </c>
      <c r="C309" s="108" t="str">
        <f t="shared" si="73"/>
        <v>/Applications/Stellarium.app/Contents/Resources/nebulae/default/sh2-157.png</v>
      </c>
      <c r="D309" s="121" t="s">
        <v>1739</v>
      </c>
      <c r="E309" s="109"/>
      <c r="F309" s="122">
        <v>23</v>
      </c>
      <c r="G309" s="123">
        <v>23</v>
      </c>
      <c r="H309" s="122">
        <v>59</v>
      </c>
      <c r="I309" s="124">
        <v>27</v>
      </c>
      <c r="J309" s="112" t="s">
        <v>1132</v>
      </c>
      <c r="K309" s="125">
        <v>14.8</v>
      </c>
      <c r="L309" s="196"/>
      <c r="M309" s="110">
        <f t="shared" si="74"/>
        <v>59.45</v>
      </c>
      <c r="N309" s="111">
        <f t="shared" si="75"/>
        <v>97.23</v>
      </c>
      <c r="O309" s="112">
        <f t="shared" si="76"/>
        <v>23.383333333333333</v>
      </c>
      <c r="P309" s="113">
        <f t="shared" ca="1" si="77"/>
        <v>46265.141248</v>
      </c>
      <c r="Q309" s="114">
        <f t="shared" ca="1" si="78"/>
        <v>46280.141248</v>
      </c>
      <c r="R309" s="114" t="b">
        <f t="shared" ca="1" si="65"/>
        <v>1</v>
      </c>
      <c r="S309" s="115">
        <f t="shared" ca="1" si="66"/>
        <v>15</v>
      </c>
      <c r="T309" s="126">
        <f t="shared" ca="1" si="67"/>
        <v>46295.141248</v>
      </c>
      <c r="U309" s="127" t="str">
        <f t="shared" si="80"/>
        <v>N</v>
      </c>
      <c r="V309" s="128">
        <f t="shared" si="79"/>
        <v>82.77</v>
      </c>
      <c r="W309" s="129">
        <f t="shared" si="68"/>
        <v>82.77</v>
      </c>
      <c r="X309" s="197"/>
      <c r="Y309" s="115">
        <f t="shared" ca="1" si="69"/>
        <v>249</v>
      </c>
      <c r="Z309" s="118">
        <f t="shared" ca="1" si="70"/>
        <v>0.31780821917808222</v>
      </c>
      <c r="AA309" s="116"/>
      <c r="AB309" s="117">
        <f t="shared" si="71"/>
        <v>6.7257780325551311</v>
      </c>
      <c r="AC309" s="118">
        <f t="shared" si="72"/>
        <v>0.36357408468979707</v>
      </c>
      <c r="AE309" s="55"/>
      <c r="AF309" s="72"/>
      <c r="AG309" s="72"/>
      <c r="AH309" s="66"/>
      <c r="AJ309" t="s">
        <v>626</v>
      </c>
    </row>
    <row r="310" spans="1:36" ht="16" hidden="1" thickBot="1" x14ac:dyDescent="0.25">
      <c r="A310" s="119" t="s">
        <v>703</v>
      </c>
      <c r="B310" s="120" t="s">
        <v>1433</v>
      </c>
      <c r="C310" s="108" t="str">
        <f t="shared" si="73"/>
        <v>/Applications/Stellarium.app/Contents/Resources/nebulae/default/cassiopeia_a.png</v>
      </c>
      <c r="D310" s="121" t="s">
        <v>1740</v>
      </c>
      <c r="E310" s="109"/>
      <c r="F310" s="122">
        <v>23</v>
      </c>
      <c r="G310" s="123">
        <v>23</v>
      </c>
      <c r="H310" s="122">
        <v>58</v>
      </c>
      <c r="I310" s="124">
        <v>45</v>
      </c>
      <c r="J310" s="112" t="s">
        <v>809</v>
      </c>
      <c r="K310" s="125">
        <v>14.5</v>
      </c>
      <c r="L310" s="196"/>
      <c r="M310" s="110">
        <f t="shared" si="74"/>
        <v>58.75</v>
      </c>
      <c r="N310" s="111">
        <f t="shared" si="75"/>
        <v>96.53</v>
      </c>
      <c r="O310" s="112">
        <f t="shared" si="76"/>
        <v>23.383333333333333</v>
      </c>
      <c r="P310" s="113">
        <f t="shared" ca="1" si="77"/>
        <v>46265.141248</v>
      </c>
      <c r="Q310" s="114">
        <f t="shared" ca="1" si="78"/>
        <v>46280.141248</v>
      </c>
      <c r="R310" s="114" t="b">
        <f t="shared" ca="1" si="65"/>
        <v>1</v>
      </c>
      <c r="S310" s="115">
        <f t="shared" ca="1" si="66"/>
        <v>15</v>
      </c>
      <c r="T310" s="126">
        <f t="shared" ca="1" si="67"/>
        <v>46295.141248</v>
      </c>
      <c r="U310" s="127" t="str">
        <f t="shared" si="80"/>
        <v>N</v>
      </c>
      <c r="V310" s="128">
        <f t="shared" si="79"/>
        <v>83.47</v>
      </c>
      <c r="W310" s="129">
        <f t="shared" si="68"/>
        <v>83.47</v>
      </c>
      <c r="X310" s="197"/>
      <c r="Y310" s="115">
        <f t="shared" ca="1" si="69"/>
        <v>249</v>
      </c>
      <c r="Z310" s="118">
        <f t="shared" ca="1" si="70"/>
        <v>0.31780821917808222</v>
      </c>
      <c r="AA310" s="116"/>
      <c r="AB310" s="117">
        <f t="shared" si="71"/>
        <v>6.7257780325551311</v>
      </c>
      <c r="AC310" s="118">
        <f t="shared" si="72"/>
        <v>0.36357408468979707</v>
      </c>
      <c r="AE310" s="55"/>
      <c r="AF310" s="72"/>
      <c r="AG310" s="72"/>
      <c r="AH310" s="66"/>
      <c r="AJ310" t="s">
        <v>703</v>
      </c>
    </row>
    <row r="311" spans="1:36" ht="16" hidden="1" thickBot="1" x14ac:dyDescent="0.25">
      <c r="A311" s="119" t="s">
        <v>141</v>
      </c>
      <c r="B311" s="120" t="s">
        <v>1227</v>
      </c>
      <c r="C311" s="108" t="str">
        <f t="shared" si="73"/>
        <v>/Applications/Stellarium.app/Contents/Resources/nebulae/default/m52.png</v>
      </c>
      <c r="D311" s="121" t="s">
        <v>1741</v>
      </c>
      <c r="E311" s="109"/>
      <c r="F311" s="122">
        <v>-1</v>
      </c>
      <c r="G311" s="123">
        <v>25</v>
      </c>
      <c r="H311" s="122">
        <v>61</v>
      </c>
      <c r="I311" s="124">
        <v>29</v>
      </c>
      <c r="J311" s="112" t="s">
        <v>720</v>
      </c>
      <c r="K311" s="125">
        <v>14.2</v>
      </c>
      <c r="L311" s="196"/>
      <c r="M311" s="110">
        <f t="shared" si="74"/>
        <v>61.483333333333334</v>
      </c>
      <c r="N311" s="111">
        <f t="shared" si="75"/>
        <v>99.263333333333335</v>
      </c>
      <c r="O311" s="112">
        <f t="shared" si="76"/>
        <v>-0.58333333333333326</v>
      </c>
      <c r="P311" s="113">
        <f t="shared" ca="1" si="77"/>
        <v>46265.648527999998</v>
      </c>
      <c r="Q311" s="114">
        <f t="shared" ca="1" si="78"/>
        <v>46280.648527999998</v>
      </c>
      <c r="R311" s="114" t="b">
        <f t="shared" ca="1" si="65"/>
        <v>1</v>
      </c>
      <c r="S311" s="115">
        <f t="shared" ca="1" si="66"/>
        <v>15</v>
      </c>
      <c r="T311" s="126">
        <f t="shared" ca="1" si="67"/>
        <v>46295.648527999998</v>
      </c>
      <c r="U311" s="127" t="str">
        <f t="shared" si="80"/>
        <v>N</v>
      </c>
      <c r="V311" s="128">
        <f t="shared" si="79"/>
        <v>80.736666666666665</v>
      </c>
      <c r="W311" s="129">
        <f t="shared" si="68"/>
        <v>80.736666666666665</v>
      </c>
      <c r="X311" s="197"/>
      <c r="Y311" s="115">
        <f t="shared" ca="1" si="69"/>
        <v>248</v>
      </c>
      <c r="Z311" s="118">
        <f t="shared" ca="1" si="70"/>
        <v>0.32054794520547947</v>
      </c>
      <c r="AA311" s="116"/>
      <c r="AB311" s="117">
        <f t="shared" si="71"/>
        <v>6.7590203514327953</v>
      </c>
      <c r="AC311" s="118">
        <f t="shared" si="72"/>
        <v>0.36495918130969979</v>
      </c>
      <c r="AE311" s="55"/>
      <c r="AF311" s="72"/>
      <c r="AG311" s="72"/>
      <c r="AH311" s="66"/>
      <c r="AJ311" t="s">
        <v>141</v>
      </c>
    </row>
    <row r="312" spans="1:36" ht="16" hidden="1" thickBot="1" x14ac:dyDescent="0.25">
      <c r="A312" s="119" t="s">
        <v>557</v>
      </c>
      <c r="B312" s="120" t="s">
        <v>1352</v>
      </c>
      <c r="C312" s="108" t="str">
        <f t="shared" si="73"/>
        <v>/Applications/Stellarium.app/Contents/Resources/nebulae/default/n7662.png</v>
      </c>
      <c r="D312" s="121" t="s">
        <v>1742</v>
      </c>
      <c r="E312" s="109"/>
      <c r="F312" s="122">
        <v>23</v>
      </c>
      <c r="G312" s="123">
        <v>25</v>
      </c>
      <c r="H312" s="122">
        <v>42</v>
      </c>
      <c r="I312" s="124">
        <v>30</v>
      </c>
      <c r="J312" s="112" t="s">
        <v>1081</v>
      </c>
      <c r="K312" s="125">
        <v>8.5</v>
      </c>
      <c r="L312" s="196"/>
      <c r="M312" s="110">
        <f t="shared" si="74"/>
        <v>42.5</v>
      </c>
      <c r="N312" s="111">
        <f t="shared" si="75"/>
        <v>80.28</v>
      </c>
      <c r="O312" s="112">
        <f t="shared" si="76"/>
        <v>23.416666666666668</v>
      </c>
      <c r="P312" s="113">
        <f t="shared" ca="1" si="77"/>
        <v>46265.648527999998</v>
      </c>
      <c r="Q312" s="114">
        <f t="shared" ca="1" si="78"/>
        <v>46280.648527999998</v>
      </c>
      <c r="R312" s="114" t="b">
        <f t="shared" ca="1" si="65"/>
        <v>1</v>
      </c>
      <c r="S312" s="115">
        <f t="shared" ca="1" si="66"/>
        <v>15</v>
      </c>
      <c r="T312" s="126">
        <f t="shared" ca="1" si="67"/>
        <v>46295.648527999998</v>
      </c>
      <c r="U312" s="127" t="str">
        <f t="shared" si="80"/>
        <v>S</v>
      </c>
      <c r="V312" s="128">
        <f t="shared" si="79"/>
        <v>80.28</v>
      </c>
      <c r="W312" s="129">
        <f t="shared" si="68"/>
        <v>80.28</v>
      </c>
      <c r="X312" s="197"/>
      <c r="Y312" s="115">
        <f t="shared" ca="1" si="69"/>
        <v>248</v>
      </c>
      <c r="Z312" s="118">
        <f t="shared" ca="1" si="70"/>
        <v>0.32054794520547947</v>
      </c>
      <c r="AA312" s="116"/>
      <c r="AB312" s="117">
        <f t="shared" si="71"/>
        <v>6.7590203514327953</v>
      </c>
      <c r="AC312" s="118">
        <f t="shared" si="72"/>
        <v>0.36495918130969979</v>
      </c>
      <c r="AE312" s="55"/>
      <c r="AF312" s="72"/>
      <c r="AG312" s="72"/>
      <c r="AH312" s="66"/>
      <c r="AJ312" t="s">
        <v>557</v>
      </c>
    </row>
    <row r="313" spans="1:36" ht="16" hidden="1" thickBot="1" x14ac:dyDescent="0.25">
      <c r="A313" s="119" t="s">
        <v>675</v>
      </c>
      <c r="B313" s="120" t="s">
        <v>1415</v>
      </c>
      <c r="C313" s="108" t="str">
        <f t="shared" si="73"/>
        <v>/Applications/Stellarium.app/Contents/Resources/nebulae/default/u12613.png</v>
      </c>
      <c r="D313" s="121" t="s">
        <v>1743</v>
      </c>
      <c r="E313" s="109"/>
      <c r="F313" s="122">
        <v>23</v>
      </c>
      <c r="G313" s="123">
        <v>29</v>
      </c>
      <c r="H313" s="122">
        <v>14</v>
      </c>
      <c r="I313" s="124">
        <v>37</v>
      </c>
      <c r="J313" s="112" t="s">
        <v>1156</v>
      </c>
      <c r="K313" s="125">
        <v>14.8</v>
      </c>
      <c r="L313" s="196"/>
      <c r="M313" s="110">
        <f t="shared" si="74"/>
        <v>14.616666666666667</v>
      </c>
      <c r="N313" s="111">
        <f t="shared" si="75"/>
        <v>52.396666666666668</v>
      </c>
      <c r="O313" s="112">
        <f t="shared" si="76"/>
        <v>23.483333333333334</v>
      </c>
      <c r="P313" s="113">
        <f t="shared" ca="1" si="77"/>
        <v>46266.663088000001</v>
      </c>
      <c r="Q313" s="114">
        <f t="shared" ca="1" si="78"/>
        <v>46281.663088000001</v>
      </c>
      <c r="R313" s="114" t="b">
        <f t="shared" ca="1" si="65"/>
        <v>1</v>
      </c>
      <c r="S313" s="115">
        <f t="shared" ca="1" si="66"/>
        <v>15</v>
      </c>
      <c r="T313" s="126">
        <f t="shared" ca="1" si="67"/>
        <v>46296.663088000001</v>
      </c>
      <c r="U313" s="127" t="str">
        <f t="shared" si="80"/>
        <v>S</v>
      </c>
      <c r="V313" s="128">
        <f t="shared" si="79"/>
        <v>52.396666666666668</v>
      </c>
      <c r="W313" s="129">
        <f t="shared" si="68"/>
        <v>52.396666666666668</v>
      </c>
      <c r="X313" s="197"/>
      <c r="Y313" s="115">
        <f t="shared" ca="1" si="69"/>
        <v>247</v>
      </c>
      <c r="Z313" s="118">
        <f t="shared" ca="1" si="70"/>
        <v>0.32328767123287672</v>
      </c>
      <c r="AA313" s="116"/>
      <c r="AB313" s="117">
        <f t="shared" si="71"/>
        <v>6.8255049891881203</v>
      </c>
      <c r="AC313" s="118">
        <f t="shared" si="72"/>
        <v>0.36772937454950499</v>
      </c>
      <c r="AE313" s="55"/>
      <c r="AF313" s="72"/>
      <c r="AG313" s="72"/>
      <c r="AH313" s="66"/>
      <c r="AJ313" t="s">
        <v>675</v>
      </c>
    </row>
    <row r="314" spans="1:36" ht="16" hidden="1" thickBot="1" x14ac:dyDescent="0.25">
      <c r="A314" s="119" t="s">
        <v>558</v>
      </c>
      <c r="B314" s="120" t="s">
        <v>1303</v>
      </c>
      <c r="C314" s="108" t="str">
        <f t="shared" si="73"/>
        <v>/Applications/Stellarium.app/Contents/Resources/nebulae/default/n7714.png</v>
      </c>
      <c r="D314" s="121" t="s">
        <v>1744</v>
      </c>
      <c r="E314" s="109"/>
      <c r="F314" s="122">
        <v>23</v>
      </c>
      <c r="G314" s="123">
        <v>36</v>
      </c>
      <c r="H314" s="122">
        <v>2</v>
      </c>
      <c r="I314" s="124">
        <v>2</v>
      </c>
      <c r="J314" s="112" t="s">
        <v>1082</v>
      </c>
      <c r="K314" s="125">
        <v>14.5</v>
      </c>
      <c r="L314" s="196"/>
      <c r="M314" s="110">
        <f t="shared" si="74"/>
        <v>2.0333333333333332</v>
      </c>
      <c r="N314" s="111">
        <f t="shared" si="75"/>
        <v>39.813333333333333</v>
      </c>
      <c r="O314" s="112">
        <f t="shared" si="76"/>
        <v>23.6</v>
      </c>
      <c r="P314" s="113">
        <f t="shared" ca="1" si="77"/>
        <v>46268.438567999998</v>
      </c>
      <c r="Q314" s="114">
        <f t="shared" ca="1" si="78"/>
        <v>46283.438567999998</v>
      </c>
      <c r="R314" s="114" t="b">
        <f t="shared" ca="1" si="65"/>
        <v>1</v>
      </c>
      <c r="S314" s="115">
        <f t="shared" ca="1" si="66"/>
        <v>15</v>
      </c>
      <c r="T314" s="126">
        <f t="shared" ca="1" si="67"/>
        <v>46298.438567999998</v>
      </c>
      <c r="U314" s="127" t="str">
        <f t="shared" si="80"/>
        <v>S</v>
      </c>
      <c r="V314" s="128">
        <f t="shared" si="79"/>
        <v>39.813333333333333</v>
      </c>
      <c r="W314" s="129">
        <f t="shared" si="68"/>
        <v>39.813333333333333</v>
      </c>
      <c r="X314" s="197"/>
      <c r="Y314" s="115">
        <f t="shared" ca="1" si="69"/>
        <v>246</v>
      </c>
      <c r="Z314" s="118">
        <f t="shared" ca="1" si="70"/>
        <v>0.32602739726027397</v>
      </c>
      <c r="AA314" s="116"/>
      <c r="AB314" s="117">
        <f t="shared" si="71"/>
        <v>6.9418531052599395</v>
      </c>
      <c r="AC314" s="118">
        <f t="shared" si="72"/>
        <v>0.37257721271916416</v>
      </c>
      <c r="AE314" s="55"/>
      <c r="AF314" s="72"/>
      <c r="AG314" s="72"/>
      <c r="AH314" s="66"/>
      <c r="AJ314" t="s">
        <v>558</v>
      </c>
    </row>
    <row r="315" spans="1:36" ht="16" hidden="1" thickBot="1" x14ac:dyDescent="0.25">
      <c r="A315" s="119" t="s">
        <v>711</v>
      </c>
      <c r="B315" s="120" t="s">
        <v>1277</v>
      </c>
      <c r="C315" s="108" t="str">
        <f t="shared" si="73"/>
        <v>/Applications/Stellarium.app/Contents/Resources/nebulae/default/jones1.png</v>
      </c>
      <c r="D315" s="121" t="s">
        <v>1745</v>
      </c>
      <c r="E315" s="109"/>
      <c r="F315" s="122">
        <v>23</v>
      </c>
      <c r="G315" s="123">
        <v>36</v>
      </c>
      <c r="H315" s="122">
        <v>30</v>
      </c>
      <c r="I315" s="124">
        <v>22</v>
      </c>
      <c r="J315" s="112" t="s">
        <v>1185</v>
      </c>
      <c r="K315" s="125">
        <v>14</v>
      </c>
      <c r="L315" s="196"/>
      <c r="M315" s="110">
        <f t="shared" si="74"/>
        <v>30.366666666666667</v>
      </c>
      <c r="N315" s="111">
        <f t="shared" si="75"/>
        <v>68.146666666666675</v>
      </c>
      <c r="O315" s="112">
        <f t="shared" si="76"/>
        <v>23.6</v>
      </c>
      <c r="P315" s="113">
        <f t="shared" ca="1" si="77"/>
        <v>46268.438567999998</v>
      </c>
      <c r="Q315" s="114">
        <f t="shared" ca="1" si="78"/>
        <v>46283.438567999998</v>
      </c>
      <c r="R315" s="114" t="b">
        <f t="shared" ca="1" si="65"/>
        <v>1</v>
      </c>
      <c r="S315" s="115">
        <f t="shared" ca="1" si="66"/>
        <v>15</v>
      </c>
      <c r="T315" s="126">
        <f t="shared" ca="1" si="67"/>
        <v>46298.438567999998</v>
      </c>
      <c r="U315" s="127" t="str">
        <f t="shared" si="80"/>
        <v>S</v>
      </c>
      <c r="V315" s="128">
        <f t="shared" si="79"/>
        <v>68.146666666666675</v>
      </c>
      <c r="W315" s="129">
        <f t="shared" si="68"/>
        <v>68.146666666666675</v>
      </c>
      <c r="X315" s="197"/>
      <c r="Y315" s="115">
        <f t="shared" ca="1" si="69"/>
        <v>246</v>
      </c>
      <c r="Z315" s="118">
        <f t="shared" ca="1" si="70"/>
        <v>0.32602739726027397</v>
      </c>
      <c r="AA315" s="116"/>
      <c r="AB315" s="117">
        <f t="shared" si="71"/>
        <v>6.9418531052599395</v>
      </c>
      <c r="AC315" s="118">
        <f t="shared" si="72"/>
        <v>0.37257721271916416</v>
      </c>
      <c r="AE315" s="55"/>
      <c r="AF315" s="72"/>
      <c r="AG315" s="72"/>
      <c r="AH315" s="66"/>
      <c r="AJ315" t="s">
        <v>711</v>
      </c>
    </row>
    <row r="316" spans="1:36" ht="16" hidden="1" thickBot="1" x14ac:dyDescent="0.25">
      <c r="A316" s="119" t="s">
        <v>580</v>
      </c>
      <c r="B316" s="120" t="s">
        <v>1302</v>
      </c>
      <c r="C316" s="108" t="str">
        <f t="shared" si="73"/>
        <v>/Applications/Stellarium.app/Contents/Resources/nebulae/default/ic1505.png</v>
      </c>
      <c r="D316" s="121" t="s">
        <v>1746</v>
      </c>
      <c r="E316" s="109"/>
      <c r="F316" s="122">
        <v>23</v>
      </c>
      <c r="G316" s="123">
        <v>42</v>
      </c>
      <c r="H316" s="122">
        <v>-4</v>
      </c>
      <c r="I316" s="124">
        <v>17</v>
      </c>
      <c r="J316" s="112" t="s">
        <v>1098</v>
      </c>
      <c r="K316" s="125">
        <v>14.6</v>
      </c>
      <c r="L316" s="196"/>
      <c r="M316" s="110">
        <f t="shared" si="74"/>
        <v>-3.7166666666666668</v>
      </c>
      <c r="N316" s="111">
        <f t="shared" si="75"/>
        <v>34.063333333333333</v>
      </c>
      <c r="O316" s="112">
        <f t="shared" si="76"/>
        <v>23.7</v>
      </c>
      <c r="P316" s="113">
        <f t="shared" ca="1" si="77"/>
        <v>46269.960407999999</v>
      </c>
      <c r="Q316" s="114">
        <f t="shared" ca="1" si="78"/>
        <v>46284.960407999999</v>
      </c>
      <c r="R316" s="114" t="b">
        <f t="shared" ca="1" si="65"/>
        <v>1</v>
      </c>
      <c r="S316" s="115">
        <f t="shared" ca="1" si="66"/>
        <v>15</v>
      </c>
      <c r="T316" s="126">
        <f t="shared" ca="1" si="67"/>
        <v>46299.960407999999</v>
      </c>
      <c r="U316" s="127" t="str">
        <f t="shared" si="80"/>
        <v>S</v>
      </c>
      <c r="V316" s="128">
        <f t="shared" si="79"/>
        <v>34.063333333333333</v>
      </c>
      <c r="W316" s="129">
        <f t="shared" si="68"/>
        <v>34.063333333333333</v>
      </c>
      <c r="X316" s="197"/>
      <c r="Y316" s="115">
        <f t="shared" ca="1" si="69"/>
        <v>244</v>
      </c>
      <c r="Z316" s="118">
        <f t="shared" ca="1" si="70"/>
        <v>0.33150684931506846</v>
      </c>
      <c r="AA316" s="116"/>
      <c r="AB316" s="117">
        <f t="shared" si="71"/>
        <v>7.0415800618929252</v>
      </c>
      <c r="AC316" s="118">
        <f t="shared" si="72"/>
        <v>0.37673250257887192</v>
      </c>
      <c r="AE316" s="55"/>
      <c r="AF316" s="72"/>
      <c r="AG316" s="72"/>
      <c r="AH316" s="66"/>
      <c r="AJ316" t="s">
        <v>580</v>
      </c>
    </row>
    <row r="317" spans="1:36" ht="16" hidden="1" thickBot="1" x14ac:dyDescent="0.25">
      <c r="A317" s="119" t="s">
        <v>699</v>
      </c>
      <c r="B317" s="120" t="s">
        <v>1429</v>
      </c>
      <c r="C317" s="108" t="str">
        <f t="shared" si="73"/>
        <v>/Applications/Stellarium.app/Contents/Resources/nebulae/default/ced211.png</v>
      </c>
      <c r="D317" s="121" t="s">
        <v>1747</v>
      </c>
      <c r="E317" s="109"/>
      <c r="F317" s="122">
        <v>23</v>
      </c>
      <c r="G317" s="123">
        <v>43</v>
      </c>
      <c r="H317" s="122">
        <v>-16</v>
      </c>
      <c r="I317" s="124">
        <v>40</v>
      </c>
      <c r="J317" s="112" t="s">
        <v>1175</v>
      </c>
      <c r="K317" s="125">
        <v>12.5</v>
      </c>
      <c r="L317" s="196"/>
      <c r="M317" s="110">
        <f t="shared" si="74"/>
        <v>-15.333333333333334</v>
      </c>
      <c r="N317" s="111">
        <f t="shared" si="75"/>
        <v>22.446666666666665</v>
      </c>
      <c r="O317" s="112">
        <f t="shared" si="76"/>
        <v>23.716666666666665</v>
      </c>
      <c r="P317" s="113">
        <f t="shared" ca="1" si="77"/>
        <v>46270.214048000002</v>
      </c>
      <c r="Q317" s="114">
        <f t="shared" ca="1" si="78"/>
        <v>46285.214048000002</v>
      </c>
      <c r="R317" s="114" t="b">
        <f t="shared" ca="1" si="65"/>
        <v>1</v>
      </c>
      <c r="S317" s="115">
        <f t="shared" ca="1" si="66"/>
        <v>15</v>
      </c>
      <c r="T317" s="126">
        <f t="shared" ca="1" si="67"/>
        <v>46300.214048000002</v>
      </c>
      <c r="U317" s="127" t="str">
        <f t="shared" si="80"/>
        <v>S</v>
      </c>
      <c r="V317" s="128">
        <f t="shared" si="79"/>
        <v>22.446666666666665</v>
      </c>
      <c r="W317" s="129">
        <f t="shared" si="68"/>
        <v>22.446666666666665</v>
      </c>
      <c r="X317" s="197"/>
      <c r="Y317" s="115">
        <f t="shared" ca="1" si="69"/>
        <v>244</v>
      </c>
      <c r="Z317" s="118">
        <f t="shared" ca="1" si="70"/>
        <v>0.33150684931506846</v>
      </c>
      <c r="AA317" s="116"/>
      <c r="AB317" s="117">
        <f t="shared" si="71"/>
        <v>7.0582012213317551</v>
      </c>
      <c r="AC317" s="118">
        <f t="shared" si="72"/>
        <v>0.37742505088882311</v>
      </c>
      <c r="AE317" s="55"/>
      <c r="AF317" s="72"/>
      <c r="AG317" s="72"/>
      <c r="AH317" s="66"/>
      <c r="AJ317" t="s">
        <v>699</v>
      </c>
    </row>
    <row r="318" spans="1:36" ht="16" hidden="1" thickBot="1" x14ac:dyDescent="0.25">
      <c r="A318" s="119" t="s">
        <v>559</v>
      </c>
      <c r="B318" s="120" t="s">
        <v>1299</v>
      </c>
      <c r="C318" s="108" t="str">
        <f t="shared" si="73"/>
        <v>/Applications/Stellarium.app/Contents/Resources/nebulae/default/n7741.png</v>
      </c>
      <c r="D318" s="121" t="s">
        <v>1748</v>
      </c>
      <c r="E318" s="109"/>
      <c r="F318" s="122">
        <v>23</v>
      </c>
      <c r="G318" s="123">
        <v>44</v>
      </c>
      <c r="H318" s="122">
        <v>26</v>
      </c>
      <c r="I318" s="124">
        <v>1</v>
      </c>
      <c r="J318" s="112" t="s">
        <v>1083</v>
      </c>
      <c r="K318" s="125">
        <v>14.5</v>
      </c>
      <c r="L318" s="196"/>
      <c r="M318" s="110">
        <f t="shared" si="74"/>
        <v>26.016666666666666</v>
      </c>
      <c r="N318" s="111">
        <f t="shared" si="75"/>
        <v>63.796666666666667</v>
      </c>
      <c r="O318" s="112">
        <f t="shared" si="76"/>
        <v>23.733333333333334</v>
      </c>
      <c r="P318" s="113">
        <f t="shared" ca="1" si="77"/>
        <v>46270.467687999997</v>
      </c>
      <c r="Q318" s="114">
        <f t="shared" ca="1" si="78"/>
        <v>46285.467687999997</v>
      </c>
      <c r="R318" s="114" t="b">
        <f t="shared" ca="1" si="65"/>
        <v>1</v>
      </c>
      <c r="S318" s="115">
        <f t="shared" ca="1" si="66"/>
        <v>15</v>
      </c>
      <c r="T318" s="126">
        <f t="shared" ca="1" si="67"/>
        <v>46300.467687999997</v>
      </c>
      <c r="U318" s="127" t="str">
        <f t="shared" si="80"/>
        <v>S</v>
      </c>
      <c r="V318" s="128">
        <f t="shared" si="79"/>
        <v>63.796666666666667</v>
      </c>
      <c r="W318" s="129">
        <f t="shared" si="68"/>
        <v>63.796666666666667</v>
      </c>
      <c r="X318" s="197"/>
      <c r="Y318" s="115">
        <f t="shared" ca="1" si="69"/>
        <v>244</v>
      </c>
      <c r="Z318" s="118">
        <f t="shared" ca="1" si="70"/>
        <v>0.33150684931506846</v>
      </c>
      <c r="AA318" s="116"/>
      <c r="AB318" s="117">
        <f t="shared" si="71"/>
        <v>7.0748223807705886</v>
      </c>
      <c r="AC318" s="118">
        <f t="shared" si="72"/>
        <v>0.37811759919877447</v>
      </c>
      <c r="AE318" s="55"/>
      <c r="AF318" s="72"/>
      <c r="AG318" s="72"/>
      <c r="AH318" s="66"/>
      <c r="AJ318" t="s">
        <v>559</v>
      </c>
    </row>
    <row r="319" spans="1:36" ht="16" hidden="1" thickBot="1" x14ac:dyDescent="0.25">
      <c r="A319" s="119" t="s">
        <v>560</v>
      </c>
      <c r="B319" s="120" t="s">
        <v>1353</v>
      </c>
      <c r="C319" s="108" t="str">
        <f t="shared" si="73"/>
        <v>/Applications/Stellarium.app/Contents/Resources/nebulae/default/n7742.png</v>
      </c>
      <c r="D319" s="121" t="s">
        <v>1749</v>
      </c>
      <c r="E319" s="109"/>
      <c r="F319" s="122">
        <v>23</v>
      </c>
      <c r="G319" s="123">
        <v>44</v>
      </c>
      <c r="H319" s="122">
        <v>10</v>
      </c>
      <c r="I319" s="124">
        <v>45</v>
      </c>
      <c r="J319" s="112" t="s">
        <v>1084</v>
      </c>
      <c r="K319" s="125">
        <v>14.5</v>
      </c>
      <c r="L319" s="196"/>
      <c r="M319" s="110">
        <f t="shared" si="74"/>
        <v>10.75</v>
      </c>
      <c r="N319" s="111">
        <f t="shared" si="75"/>
        <v>48.53</v>
      </c>
      <c r="O319" s="112">
        <f t="shared" si="76"/>
        <v>23.733333333333334</v>
      </c>
      <c r="P319" s="113">
        <f t="shared" ca="1" si="77"/>
        <v>46270.467687999997</v>
      </c>
      <c r="Q319" s="114">
        <f t="shared" ca="1" si="78"/>
        <v>46285.467687999997</v>
      </c>
      <c r="R319" s="114" t="b">
        <f t="shared" ca="1" si="65"/>
        <v>1</v>
      </c>
      <c r="S319" s="115">
        <f t="shared" ca="1" si="66"/>
        <v>15</v>
      </c>
      <c r="T319" s="126">
        <f t="shared" ca="1" si="67"/>
        <v>46300.467687999997</v>
      </c>
      <c r="U319" s="127" t="str">
        <f t="shared" si="80"/>
        <v>S</v>
      </c>
      <c r="V319" s="128">
        <f t="shared" si="79"/>
        <v>48.53</v>
      </c>
      <c r="W319" s="129">
        <f t="shared" si="68"/>
        <v>48.53</v>
      </c>
      <c r="X319" s="197"/>
      <c r="Y319" s="115">
        <f t="shared" ca="1" si="69"/>
        <v>244</v>
      </c>
      <c r="Z319" s="118">
        <f t="shared" ca="1" si="70"/>
        <v>0.33150684931506846</v>
      </c>
      <c r="AA319" s="116"/>
      <c r="AB319" s="117">
        <f t="shared" si="71"/>
        <v>7.0748223807705886</v>
      </c>
      <c r="AC319" s="118">
        <f t="shared" si="72"/>
        <v>0.37811759919877447</v>
      </c>
      <c r="AE319" s="55"/>
      <c r="AF319" s="72"/>
      <c r="AG319" s="72"/>
      <c r="AH319" s="66"/>
      <c r="AJ319" t="s">
        <v>560</v>
      </c>
    </row>
    <row r="320" spans="1:36" ht="16" hidden="1" thickBot="1" x14ac:dyDescent="0.25">
      <c r="A320" s="119" t="s">
        <v>694</v>
      </c>
      <c r="B320" s="120" t="s">
        <v>1276</v>
      </c>
      <c r="C320" s="108" t="str">
        <f t="shared" si="73"/>
        <v>/Applications/Stellarium.app/Contents/Resources/nebulae/default/vdb158.png</v>
      </c>
      <c r="D320" s="121" t="s">
        <v>1750</v>
      </c>
      <c r="E320" s="109"/>
      <c r="F320" s="122">
        <v>23</v>
      </c>
      <c r="G320" s="123">
        <v>46</v>
      </c>
      <c r="H320" s="122">
        <v>47</v>
      </c>
      <c r="I320" s="124">
        <v>49</v>
      </c>
      <c r="J320" s="112" t="s">
        <v>1168</v>
      </c>
      <c r="K320" s="125">
        <v>13.8</v>
      </c>
      <c r="L320" s="196"/>
      <c r="M320" s="110">
        <f t="shared" si="74"/>
        <v>47.81666666666667</v>
      </c>
      <c r="N320" s="111">
        <f t="shared" si="75"/>
        <v>85.596666666666664</v>
      </c>
      <c r="O320" s="112">
        <f t="shared" si="76"/>
        <v>23.766666666666666</v>
      </c>
      <c r="P320" s="113">
        <f t="shared" ca="1" si="77"/>
        <v>46270.974968000002</v>
      </c>
      <c r="Q320" s="114">
        <f t="shared" ca="1" si="78"/>
        <v>46285.974968000002</v>
      </c>
      <c r="R320" s="114" t="b">
        <f t="shared" ca="1" si="65"/>
        <v>1</v>
      </c>
      <c r="S320" s="115">
        <f t="shared" ca="1" si="66"/>
        <v>15</v>
      </c>
      <c r="T320" s="126">
        <f t="shared" ca="1" si="67"/>
        <v>46300.974968000002</v>
      </c>
      <c r="U320" s="127" t="str">
        <f t="shared" si="80"/>
        <v>S</v>
      </c>
      <c r="V320" s="128">
        <f t="shared" si="79"/>
        <v>85.596666666666664</v>
      </c>
      <c r="W320" s="129">
        <f t="shared" si="68"/>
        <v>85.596666666666664</v>
      </c>
      <c r="X320" s="197"/>
      <c r="Y320" s="115">
        <f t="shared" ca="1" si="69"/>
        <v>243</v>
      </c>
      <c r="Z320" s="118">
        <f t="shared" ca="1" si="70"/>
        <v>0.33424657534246571</v>
      </c>
      <c r="AA320" s="116"/>
      <c r="AB320" s="117">
        <f t="shared" si="71"/>
        <v>7.1080646996482493</v>
      </c>
      <c r="AC320" s="118">
        <f t="shared" si="72"/>
        <v>0.37950269581867707</v>
      </c>
      <c r="AE320" s="55"/>
      <c r="AF320" s="72"/>
      <c r="AG320" s="72"/>
      <c r="AH320" s="66"/>
      <c r="AJ320" t="s">
        <v>694</v>
      </c>
    </row>
    <row r="321" spans="1:36" ht="16" hidden="1" thickBot="1" x14ac:dyDescent="0.25">
      <c r="A321" s="119" t="s">
        <v>629</v>
      </c>
      <c r="B321" s="120" t="s">
        <v>1403</v>
      </c>
      <c r="C321" s="108" t="str">
        <f t="shared" si="73"/>
        <v>/Applications/Stellarium.app/Contents/Resources/nebulae/default/sh2-174.png</v>
      </c>
      <c r="D321" s="121" t="s">
        <v>1751</v>
      </c>
      <c r="E321" s="109"/>
      <c r="F321" s="122">
        <v>23</v>
      </c>
      <c r="G321" s="123">
        <v>53</v>
      </c>
      <c r="H321" s="122">
        <v>80</v>
      </c>
      <c r="I321" s="124">
        <v>40</v>
      </c>
      <c r="J321" s="112" t="s">
        <v>1133</v>
      </c>
      <c r="K321" s="125">
        <v>15</v>
      </c>
      <c r="L321" s="196"/>
      <c r="M321" s="110">
        <f t="shared" si="74"/>
        <v>80.666666666666671</v>
      </c>
      <c r="N321" s="111">
        <f t="shared" si="75"/>
        <v>118.44666666666667</v>
      </c>
      <c r="O321" s="112">
        <f t="shared" si="76"/>
        <v>23.883333333333333</v>
      </c>
      <c r="P321" s="113">
        <f t="shared" ca="1" si="77"/>
        <v>46272.750447999999</v>
      </c>
      <c r="Q321" s="114">
        <f t="shared" ca="1" si="78"/>
        <v>46287.750447999999</v>
      </c>
      <c r="R321" s="114" t="b">
        <f t="shared" ca="1" si="65"/>
        <v>1</v>
      </c>
      <c r="S321" s="115">
        <f t="shared" ca="1" si="66"/>
        <v>15</v>
      </c>
      <c r="T321" s="126">
        <f t="shared" ca="1" si="67"/>
        <v>46302.750447999999</v>
      </c>
      <c r="U321" s="127" t="str">
        <f t="shared" si="80"/>
        <v>N</v>
      </c>
      <c r="V321" s="128">
        <f t="shared" si="79"/>
        <v>61.553333333333327</v>
      </c>
      <c r="W321" s="129">
        <f t="shared" si="68"/>
        <v>61.553333333333327</v>
      </c>
      <c r="X321" s="197"/>
      <c r="Y321" s="115">
        <f t="shared" ca="1" si="69"/>
        <v>241</v>
      </c>
      <c r="Z321" s="118">
        <f t="shared" ca="1" si="70"/>
        <v>0.33972602739726032</v>
      </c>
      <c r="AA321" s="116"/>
      <c r="AB321" s="117">
        <f t="shared" si="71"/>
        <v>7.2244128157200684</v>
      </c>
      <c r="AC321" s="118">
        <f t="shared" si="72"/>
        <v>0.38435053398833618</v>
      </c>
      <c r="AE321" s="55"/>
      <c r="AF321" s="72"/>
      <c r="AG321" s="72"/>
      <c r="AH321" s="66"/>
      <c r="AJ321" t="s">
        <v>629</v>
      </c>
    </row>
    <row r="322" spans="1:36" ht="16" hidden="1" thickBot="1" x14ac:dyDescent="0.25">
      <c r="A322" s="119" t="s">
        <v>562</v>
      </c>
      <c r="B322" s="120" t="s">
        <v>1269</v>
      </c>
      <c r="C322" s="108" t="str">
        <f t="shared" si="73"/>
        <v>/Applications/Stellarium.app/Contents/Resources/nebulae/default/n7793.png</v>
      </c>
      <c r="D322" s="121" t="s">
        <v>1752</v>
      </c>
      <c r="E322" s="109"/>
      <c r="F322" s="122">
        <v>23</v>
      </c>
      <c r="G322" s="123">
        <v>58</v>
      </c>
      <c r="H322" s="122">
        <v>-33</v>
      </c>
      <c r="I322" s="124">
        <v>18</v>
      </c>
      <c r="J322" s="112" t="s">
        <v>1085</v>
      </c>
      <c r="K322" s="125">
        <v>14</v>
      </c>
      <c r="L322" s="196"/>
      <c r="M322" s="110">
        <f t="shared" si="74"/>
        <v>-32.700000000000003</v>
      </c>
      <c r="N322" s="111">
        <f t="shared" si="75"/>
        <v>5.0799999999999983</v>
      </c>
      <c r="O322" s="112">
        <f t="shared" si="76"/>
        <v>23.966666666666665</v>
      </c>
      <c r="P322" s="113">
        <f t="shared" ca="1" si="77"/>
        <v>46274.018647999997</v>
      </c>
      <c r="Q322" s="114">
        <f t="shared" ca="1" si="78"/>
        <v>46289.018647999997</v>
      </c>
      <c r="R322" s="114" t="b">
        <f t="shared" ca="1" si="65"/>
        <v>1</v>
      </c>
      <c r="S322" s="115">
        <f t="shared" ca="1" si="66"/>
        <v>15</v>
      </c>
      <c r="T322" s="126">
        <f t="shared" ca="1" si="67"/>
        <v>46304.018647999997</v>
      </c>
      <c r="U322" s="127" t="str">
        <f t="shared" si="80"/>
        <v>S</v>
      </c>
      <c r="V322" s="128">
        <f t="shared" si="79"/>
        <v>5.0799999999999983</v>
      </c>
      <c r="W322" s="129">
        <f t="shared" si="68"/>
        <v>5.0799999999999983</v>
      </c>
      <c r="X322" s="197"/>
      <c r="Y322" s="115">
        <f t="shared" ca="1" si="69"/>
        <v>240</v>
      </c>
      <c r="Z322" s="118">
        <f t="shared" ca="1" si="70"/>
        <v>0.34246575342465757</v>
      </c>
      <c r="AA322" s="116"/>
      <c r="AB322" s="117">
        <f t="shared" si="71"/>
        <v>7.3075186129142242</v>
      </c>
      <c r="AC322" s="118">
        <f t="shared" si="72"/>
        <v>0.38781327553809269</v>
      </c>
      <c r="AE322" s="55"/>
      <c r="AF322" s="72"/>
      <c r="AG322" s="72"/>
      <c r="AH322" s="66"/>
      <c r="AJ322" t="s">
        <v>562</v>
      </c>
    </row>
    <row r="323" spans="1:36" ht="16" hidden="1" thickBot="1" x14ac:dyDescent="0.25">
      <c r="A323" s="119" t="s">
        <v>561</v>
      </c>
      <c r="B323" s="120" t="s">
        <v>1207</v>
      </c>
      <c r="C323" s="108" t="str">
        <f t="shared" si="73"/>
        <v>/Applications/Stellarium.app/Contents/Resources/nebulae/default/n7789-vasey.png</v>
      </c>
      <c r="D323" s="121" t="s">
        <v>1753</v>
      </c>
      <c r="E323" s="109"/>
      <c r="F323" s="122">
        <v>23</v>
      </c>
      <c r="G323" s="123">
        <v>59</v>
      </c>
      <c r="H323" s="122">
        <v>56</v>
      </c>
      <c r="I323" s="124">
        <v>16</v>
      </c>
      <c r="J323" s="112" t="s">
        <v>723</v>
      </c>
      <c r="K323" s="125">
        <v>13.4</v>
      </c>
      <c r="L323" s="196"/>
      <c r="M323" s="110">
        <f t="shared" si="74"/>
        <v>56.266666666666666</v>
      </c>
      <c r="N323" s="111">
        <f t="shared" si="75"/>
        <v>94.046666666666667</v>
      </c>
      <c r="O323" s="112">
        <f t="shared" si="76"/>
        <v>23.983333333333334</v>
      </c>
      <c r="P323" s="113">
        <f t="shared" ca="1" si="77"/>
        <v>46274.272288</v>
      </c>
      <c r="Q323" s="114">
        <f t="shared" ca="1" si="78"/>
        <v>46289.272288</v>
      </c>
      <c r="R323" s="114" t="b">
        <f t="shared" ca="1" si="65"/>
        <v>1</v>
      </c>
      <c r="S323" s="115">
        <f t="shared" ca="1" si="66"/>
        <v>15</v>
      </c>
      <c r="T323" s="126">
        <f t="shared" ca="1" si="67"/>
        <v>46304.272288</v>
      </c>
      <c r="U323" s="127" t="str">
        <f t="shared" si="80"/>
        <v>N</v>
      </c>
      <c r="V323" s="128">
        <f t="shared" si="79"/>
        <v>85.953333333333333</v>
      </c>
      <c r="W323" s="129">
        <f t="shared" si="68"/>
        <v>85.953333333333333</v>
      </c>
      <c r="X323" s="197"/>
      <c r="Y323" s="115">
        <f t="shared" ca="1" si="69"/>
        <v>240</v>
      </c>
      <c r="Z323" s="118">
        <f t="shared" ca="1" si="70"/>
        <v>0.34246575342465757</v>
      </c>
      <c r="AA323" s="116"/>
      <c r="AB323" s="117">
        <f t="shared" si="71"/>
        <v>7.3241397723530577</v>
      </c>
      <c r="AC323" s="118">
        <f t="shared" si="72"/>
        <v>0.38850582384804405</v>
      </c>
      <c r="AE323" s="55"/>
      <c r="AF323" s="72"/>
      <c r="AG323" s="72"/>
      <c r="AH323" s="66"/>
      <c r="AJ323" t="s">
        <v>561</v>
      </c>
    </row>
    <row r="324" spans="1:36" ht="16" hidden="1" thickBot="1" x14ac:dyDescent="0.25">
      <c r="A324" s="119" t="s">
        <v>676</v>
      </c>
      <c r="B324" s="120" t="s">
        <v>1416</v>
      </c>
      <c r="C324" s="108" t="str">
        <f t="shared" si="73"/>
        <v>/Applications/Stellarium.app/Contents/Resources/nebulae/default/p143.png</v>
      </c>
      <c r="D324" s="121" t="s">
        <v>1754</v>
      </c>
      <c r="E324" s="109"/>
      <c r="F324" s="122">
        <v>0</v>
      </c>
      <c r="G324" s="123">
        <v>2</v>
      </c>
      <c r="H324" s="122">
        <v>-16</v>
      </c>
      <c r="I324" s="124">
        <v>24</v>
      </c>
      <c r="J324" s="112" t="s">
        <v>1157</v>
      </c>
      <c r="K324" s="125">
        <v>14.8</v>
      </c>
      <c r="L324" s="196"/>
      <c r="M324" s="110">
        <f t="shared" si="74"/>
        <v>-15.6</v>
      </c>
      <c r="N324" s="111">
        <f t="shared" si="75"/>
        <v>22.18</v>
      </c>
      <c r="O324" s="112">
        <f t="shared" si="76"/>
        <v>3.3333333333333333E-2</v>
      </c>
      <c r="P324" s="113">
        <f t="shared" ca="1" si="77"/>
        <v>46275.033208000001</v>
      </c>
      <c r="Q324" s="114">
        <f t="shared" ca="1" si="78"/>
        <v>46290.033208000001</v>
      </c>
      <c r="R324" s="114" t="b">
        <f t="shared" ca="1" si="65"/>
        <v>1</v>
      </c>
      <c r="S324" s="115">
        <f t="shared" ca="1" si="66"/>
        <v>15</v>
      </c>
      <c r="T324" s="126">
        <f t="shared" ca="1" si="67"/>
        <v>46305.033208000001</v>
      </c>
      <c r="U324" s="127" t="str">
        <f t="shared" si="80"/>
        <v>S</v>
      </c>
      <c r="V324" s="128">
        <f t="shared" si="79"/>
        <v>22.18</v>
      </c>
      <c r="W324" s="129">
        <f t="shared" si="68"/>
        <v>22.18</v>
      </c>
      <c r="X324" s="197"/>
      <c r="Y324" s="115">
        <f t="shared" ca="1" si="69"/>
        <v>239</v>
      </c>
      <c r="Z324" s="118">
        <f t="shared" ca="1" si="70"/>
        <v>0.34520547945205482</v>
      </c>
      <c r="AA324" s="116"/>
      <c r="AB324" s="117">
        <f t="shared" si="71"/>
        <v>7.3740032506695519</v>
      </c>
      <c r="AC324" s="118">
        <f t="shared" si="72"/>
        <v>0.39058346877789801</v>
      </c>
      <c r="AE324" s="55"/>
      <c r="AF324" s="72"/>
      <c r="AG324" s="72"/>
      <c r="AH324" s="66"/>
      <c r="AJ324" t="s">
        <v>676</v>
      </c>
    </row>
    <row r="325" spans="1:36" ht="16" hidden="1" thickBot="1" x14ac:dyDescent="0.25">
      <c r="A325" s="119" t="s">
        <v>563</v>
      </c>
      <c r="B325" s="120" t="s">
        <v>1269</v>
      </c>
      <c r="C325" s="108" t="str">
        <f t="shared" si="73"/>
        <v>/Applications/Stellarium.app/Contents/Resources/nebulae/default/n7814.png</v>
      </c>
      <c r="D325" s="121" t="s">
        <v>1755</v>
      </c>
      <c r="E325" s="109"/>
      <c r="F325" s="122">
        <v>0</v>
      </c>
      <c r="G325" s="123">
        <v>3</v>
      </c>
      <c r="H325" s="122">
        <v>16</v>
      </c>
      <c r="I325" s="124">
        <v>5</v>
      </c>
      <c r="J325" s="112" t="s">
        <v>1086</v>
      </c>
      <c r="K325" s="125">
        <v>13.4</v>
      </c>
      <c r="L325" s="196"/>
      <c r="M325" s="110">
        <f t="shared" si="74"/>
        <v>16.083333333333332</v>
      </c>
      <c r="N325" s="111">
        <f t="shared" si="75"/>
        <v>53.86333333333333</v>
      </c>
      <c r="O325" s="112">
        <f t="shared" si="76"/>
        <v>0.05</v>
      </c>
      <c r="P325" s="113">
        <f t="shared" ca="1" si="77"/>
        <v>46275.286848000003</v>
      </c>
      <c r="Q325" s="114">
        <f t="shared" ca="1" si="78"/>
        <v>46290.286848000003</v>
      </c>
      <c r="R325" s="114" t="b">
        <f t="shared" ca="1" si="65"/>
        <v>1</v>
      </c>
      <c r="S325" s="115">
        <f t="shared" ca="1" si="66"/>
        <v>15</v>
      </c>
      <c r="T325" s="126">
        <f t="shared" ca="1" si="67"/>
        <v>46305.286848000003</v>
      </c>
      <c r="U325" s="127" t="str">
        <f t="shared" si="80"/>
        <v>S</v>
      </c>
      <c r="V325" s="128">
        <f t="shared" si="79"/>
        <v>53.86333333333333</v>
      </c>
      <c r="W325" s="129">
        <f t="shared" si="68"/>
        <v>53.86333333333333</v>
      </c>
      <c r="X325" s="197"/>
      <c r="Y325" s="115">
        <f t="shared" ca="1" si="69"/>
        <v>239</v>
      </c>
      <c r="Z325" s="118">
        <f t="shared" ca="1" si="70"/>
        <v>0.34520547945205482</v>
      </c>
      <c r="AA325" s="116"/>
      <c r="AB325" s="117">
        <f t="shared" si="71"/>
        <v>7.3906244101083827</v>
      </c>
      <c r="AC325" s="118">
        <f t="shared" si="72"/>
        <v>0.39127601708784931</v>
      </c>
      <c r="AE325" s="55"/>
      <c r="AF325" s="72"/>
      <c r="AG325" s="72"/>
      <c r="AH325" s="66"/>
      <c r="AJ325" t="s">
        <v>563</v>
      </c>
    </row>
    <row r="326" spans="1:36" ht="16" hidden="1" thickBot="1" x14ac:dyDescent="0.25">
      <c r="A326" s="119" t="s">
        <v>627</v>
      </c>
      <c r="B326" s="120" t="s">
        <v>1401</v>
      </c>
      <c r="C326" s="108" t="str">
        <f t="shared" si="73"/>
        <v>/Applications/Stellarium.app/Contents/Resources/nebulae/default/sh2-170.png</v>
      </c>
      <c r="D326" s="121" t="s">
        <v>1756</v>
      </c>
      <c r="E326" s="109"/>
      <c r="F326" s="122">
        <v>0</v>
      </c>
      <c r="G326" s="123">
        <v>3</v>
      </c>
      <c r="H326" s="122">
        <v>64</v>
      </c>
      <c r="I326" s="124">
        <v>24</v>
      </c>
      <c r="J326" s="112" t="s">
        <v>1102</v>
      </c>
      <c r="K326" s="125">
        <v>14.5</v>
      </c>
      <c r="L326" s="196"/>
      <c r="M326" s="110">
        <f t="shared" si="74"/>
        <v>64.400000000000006</v>
      </c>
      <c r="N326" s="111">
        <f t="shared" si="75"/>
        <v>102.18</v>
      </c>
      <c r="O326" s="112">
        <f t="shared" si="76"/>
        <v>0.05</v>
      </c>
      <c r="P326" s="113">
        <f t="shared" ca="1" si="77"/>
        <v>46275.286848000003</v>
      </c>
      <c r="Q326" s="114">
        <f t="shared" ca="1" si="78"/>
        <v>46290.286848000003</v>
      </c>
      <c r="R326" s="114" t="b">
        <f t="shared" ca="1" si="65"/>
        <v>1</v>
      </c>
      <c r="S326" s="115">
        <f t="shared" ca="1" si="66"/>
        <v>15</v>
      </c>
      <c r="T326" s="126">
        <f t="shared" ca="1" si="67"/>
        <v>46305.286848000003</v>
      </c>
      <c r="U326" s="127" t="str">
        <f t="shared" si="80"/>
        <v>N</v>
      </c>
      <c r="V326" s="128">
        <f t="shared" si="79"/>
        <v>77.819999999999993</v>
      </c>
      <c r="W326" s="129">
        <f t="shared" si="68"/>
        <v>77.819999999999993</v>
      </c>
      <c r="X326" s="197"/>
      <c r="Y326" s="115">
        <f t="shared" ca="1" si="69"/>
        <v>239</v>
      </c>
      <c r="Z326" s="118">
        <f t="shared" ca="1" si="70"/>
        <v>0.34520547945205482</v>
      </c>
      <c r="AA326" s="116"/>
      <c r="AB326" s="117">
        <f t="shared" si="71"/>
        <v>7.3906244101083827</v>
      </c>
      <c r="AC326" s="118">
        <f t="shared" si="72"/>
        <v>0.39127601708784931</v>
      </c>
      <c r="AE326" s="55"/>
      <c r="AF326" s="72"/>
      <c r="AG326" s="72"/>
      <c r="AH326" s="66"/>
      <c r="AJ326" t="s">
        <v>627</v>
      </c>
    </row>
    <row r="327" spans="1:36" ht="16" hidden="1" thickBot="1" x14ac:dyDescent="0.25">
      <c r="A327" s="119" t="s">
        <v>698</v>
      </c>
      <c r="B327" s="120" t="s">
        <v>1428</v>
      </c>
      <c r="C327" s="108" t="str">
        <f t="shared" si="73"/>
        <v>/Applications/Stellarium.app/Contents/Resources/nebulae/default/abell85.png</v>
      </c>
      <c r="D327" s="121" t="s">
        <v>1757</v>
      </c>
      <c r="E327" s="109"/>
      <c r="F327" s="122">
        <v>24</v>
      </c>
      <c r="G327" s="123">
        <v>3</v>
      </c>
      <c r="H327" s="122">
        <v>62</v>
      </c>
      <c r="I327" s="124">
        <v>0</v>
      </c>
      <c r="J327" s="112" t="s">
        <v>1174</v>
      </c>
      <c r="K327" s="125">
        <v>14.9</v>
      </c>
      <c r="L327" s="196"/>
      <c r="M327" s="110">
        <f t="shared" si="74"/>
        <v>62</v>
      </c>
      <c r="N327" s="111">
        <f t="shared" si="75"/>
        <v>99.78</v>
      </c>
      <c r="O327" s="112">
        <f t="shared" si="76"/>
        <v>24.05</v>
      </c>
      <c r="P327" s="113">
        <f t="shared" ca="1" si="77"/>
        <v>46275.286848000003</v>
      </c>
      <c r="Q327" s="114">
        <f t="shared" ca="1" si="78"/>
        <v>46290.286848000003</v>
      </c>
      <c r="R327" s="114" t="b">
        <f t="shared" ca="1" si="65"/>
        <v>1</v>
      </c>
      <c r="S327" s="115">
        <f t="shared" ca="1" si="66"/>
        <v>15</v>
      </c>
      <c r="T327" s="126">
        <f t="shared" ca="1" si="67"/>
        <v>46305.286848000003</v>
      </c>
      <c r="U327" s="127" t="str">
        <f t="shared" si="80"/>
        <v>N</v>
      </c>
      <c r="V327" s="128">
        <f t="shared" si="79"/>
        <v>80.22</v>
      </c>
      <c r="W327" s="129">
        <f t="shared" si="68"/>
        <v>80.22</v>
      </c>
      <c r="X327" s="197"/>
      <c r="Y327" s="115">
        <f t="shared" ca="1" si="69"/>
        <v>239</v>
      </c>
      <c r="Z327" s="118">
        <f t="shared" ca="1" si="70"/>
        <v>0.34520547945205482</v>
      </c>
      <c r="AA327" s="116"/>
      <c r="AB327" s="117">
        <f t="shared" si="71"/>
        <v>7.3906244101083827</v>
      </c>
      <c r="AC327" s="118">
        <f t="shared" si="72"/>
        <v>0.39127601708784931</v>
      </c>
      <c r="AE327" s="55"/>
      <c r="AF327" s="72"/>
      <c r="AG327" s="72"/>
      <c r="AH327" s="66"/>
      <c r="AJ327" t="s">
        <v>698</v>
      </c>
    </row>
    <row r="328" spans="1:36" ht="16" hidden="1" thickBot="1" x14ac:dyDescent="0.25">
      <c r="A328" s="119" t="s">
        <v>197</v>
      </c>
      <c r="B328" s="120" t="s">
        <v>1265</v>
      </c>
      <c r="C328" s="108" t="str">
        <f t="shared" si="73"/>
        <v>/Applications/Stellarium.app/Contents/Resources/nebulae/default/n40.png</v>
      </c>
      <c r="D328" s="121" t="s">
        <v>1758</v>
      </c>
      <c r="E328" s="109"/>
      <c r="F328" s="122">
        <v>0</v>
      </c>
      <c r="G328" s="123">
        <v>13</v>
      </c>
      <c r="H328" s="122">
        <v>72</v>
      </c>
      <c r="I328" s="124">
        <v>26</v>
      </c>
      <c r="J328" s="112" t="s">
        <v>787</v>
      </c>
      <c r="K328" s="125">
        <v>13.5</v>
      </c>
      <c r="L328" s="196"/>
      <c r="M328" s="110">
        <f t="shared" si="74"/>
        <v>72.433333333333337</v>
      </c>
      <c r="N328" s="111">
        <f t="shared" si="75"/>
        <v>110.21333333333334</v>
      </c>
      <c r="O328" s="112">
        <f t="shared" si="76"/>
        <v>0.21666666666666667</v>
      </c>
      <c r="P328" s="113">
        <f t="shared" ca="1" si="77"/>
        <v>46277.823248000001</v>
      </c>
      <c r="Q328" s="114">
        <f t="shared" ca="1" si="78"/>
        <v>46292.823248000001</v>
      </c>
      <c r="R328" s="114" t="b">
        <f t="shared" ca="1" si="65"/>
        <v>1</v>
      </c>
      <c r="S328" s="115">
        <f t="shared" ca="1" si="66"/>
        <v>15</v>
      </c>
      <c r="T328" s="126">
        <f t="shared" ca="1" si="67"/>
        <v>46307.823248000001</v>
      </c>
      <c r="U328" s="127" t="str">
        <f t="shared" si="80"/>
        <v>N</v>
      </c>
      <c r="V328" s="128">
        <f t="shared" si="79"/>
        <v>69.786666666666662</v>
      </c>
      <c r="W328" s="129">
        <f t="shared" si="68"/>
        <v>69.786666666666662</v>
      </c>
      <c r="X328" s="197"/>
      <c r="Y328" s="115">
        <f t="shared" ca="1" si="69"/>
        <v>236</v>
      </c>
      <c r="Z328" s="118">
        <f t="shared" ca="1" si="70"/>
        <v>0.35342465753424657</v>
      </c>
      <c r="AA328" s="116"/>
      <c r="AB328" s="117">
        <f t="shared" si="71"/>
        <v>7.5568360044966925</v>
      </c>
      <c r="AC328" s="118">
        <f t="shared" si="72"/>
        <v>0.39820150018736217</v>
      </c>
      <c r="AE328" s="55"/>
      <c r="AF328" s="72"/>
      <c r="AG328" s="72"/>
      <c r="AH328" s="66"/>
      <c r="AJ328" t="s">
        <v>197</v>
      </c>
    </row>
    <row r="329" spans="1:36" ht="16" hidden="1" thickBot="1" x14ac:dyDescent="0.25">
      <c r="A329" s="119" t="s">
        <v>198</v>
      </c>
      <c r="B329" s="120" t="s">
        <v>1230</v>
      </c>
      <c r="C329" s="108" t="str">
        <f t="shared" si="73"/>
        <v>/Applications/Stellarium.app/Contents/Resources/nebulae/default/n45.png</v>
      </c>
      <c r="D329" s="121" t="s">
        <v>1759</v>
      </c>
      <c r="E329" s="109"/>
      <c r="F329" s="122">
        <v>0</v>
      </c>
      <c r="G329" s="123">
        <v>14</v>
      </c>
      <c r="H329" s="122">
        <v>-24</v>
      </c>
      <c r="I329" s="124">
        <v>45</v>
      </c>
      <c r="J329" s="112" t="s">
        <v>788</v>
      </c>
      <c r="K329" s="125">
        <v>14</v>
      </c>
      <c r="L329" s="196"/>
      <c r="M329" s="110">
        <f t="shared" si="74"/>
        <v>-23.25</v>
      </c>
      <c r="N329" s="111">
        <f t="shared" si="75"/>
        <v>14.530000000000001</v>
      </c>
      <c r="O329" s="112">
        <f t="shared" si="76"/>
        <v>0.23333333333333334</v>
      </c>
      <c r="P329" s="113">
        <f t="shared" ca="1" si="77"/>
        <v>46278.076888000003</v>
      </c>
      <c r="Q329" s="114">
        <f t="shared" ca="1" si="78"/>
        <v>46293.076888000003</v>
      </c>
      <c r="R329" s="114" t="b">
        <f t="shared" ca="1" si="65"/>
        <v>1</v>
      </c>
      <c r="S329" s="115">
        <f t="shared" ca="1" si="66"/>
        <v>15</v>
      </c>
      <c r="T329" s="126">
        <f t="shared" ca="1" si="67"/>
        <v>46308.076888000003</v>
      </c>
      <c r="U329" s="127" t="str">
        <f t="shared" si="80"/>
        <v>S</v>
      </c>
      <c r="V329" s="128">
        <f t="shared" si="79"/>
        <v>14.530000000000001</v>
      </c>
      <c r="W329" s="129">
        <f t="shared" si="68"/>
        <v>14.530000000000001</v>
      </c>
      <c r="X329" s="197"/>
      <c r="Y329" s="115">
        <f t="shared" ca="1" si="69"/>
        <v>236</v>
      </c>
      <c r="Z329" s="118">
        <f t="shared" ca="1" si="70"/>
        <v>0.35342465753424657</v>
      </c>
      <c r="AA329" s="116"/>
      <c r="AB329" s="117">
        <f t="shared" si="71"/>
        <v>7.5734571639355268</v>
      </c>
      <c r="AC329" s="118">
        <f t="shared" si="72"/>
        <v>0.39889404849731358</v>
      </c>
      <c r="AE329" s="55"/>
      <c r="AF329" s="72"/>
      <c r="AG329" s="72"/>
      <c r="AH329" s="66"/>
      <c r="AJ329" t="s">
        <v>198</v>
      </c>
    </row>
    <row r="330" spans="1:36" ht="16" hidden="1" thickBot="1" x14ac:dyDescent="0.25">
      <c r="A330" s="119" t="s">
        <v>199</v>
      </c>
      <c r="B330" s="120" t="s">
        <v>1266</v>
      </c>
      <c r="C330" s="108" t="str">
        <f t="shared" si="73"/>
        <v>/Applications/Stellarium.app/Contents/Resources/nebulae/default/n55.png</v>
      </c>
      <c r="D330" s="121" t="s">
        <v>1760</v>
      </c>
      <c r="E330" s="109"/>
      <c r="F330" s="122">
        <v>0</v>
      </c>
      <c r="G330" s="123">
        <v>16</v>
      </c>
      <c r="H330" s="122">
        <v>-40</v>
      </c>
      <c r="I330" s="124">
        <v>29</v>
      </c>
      <c r="J330" s="112" t="s">
        <v>789</v>
      </c>
      <c r="K330" s="125">
        <v>12.4</v>
      </c>
      <c r="L330" s="196"/>
      <c r="M330" s="110">
        <f t="shared" si="74"/>
        <v>-39.516666666666666</v>
      </c>
      <c r="N330" s="111">
        <f t="shared" si="75"/>
        <v>-1.7366666666666646</v>
      </c>
      <c r="O330" s="112">
        <f t="shared" si="76"/>
        <v>0.26666666666666666</v>
      </c>
      <c r="P330" s="113">
        <f t="shared" ca="1" si="77"/>
        <v>46278.584168000001</v>
      </c>
      <c r="Q330" s="114">
        <f t="shared" ca="1" si="78"/>
        <v>46293.584168000001</v>
      </c>
      <c r="R330" s="114" t="b">
        <f t="shared" ca="1" si="65"/>
        <v>1</v>
      </c>
      <c r="S330" s="115">
        <f t="shared" ca="1" si="66"/>
        <v>15</v>
      </c>
      <c r="T330" s="126">
        <f t="shared" ca="1" si="67"/>
        <v>46308.584168000001</v>
      </c>
      <c r="U330" s="127" t="str">
        <f t="shared" si="80"/>
        <v>S</v>
      </c>
      <c r="V330" s="128">
        <f t="shared" si="79"/>
        <v>-1.7366666666666646</v>
      </c>
      <c r="W330" s="129">
        <f t="shared" si="68"/>
        <v>-1.7366666666666646</v>
      </c>
      <c r="X330" s="197"/>
      <c r="Y330" s="115">
        <f t="shared" ca="1" si="69"/>
        <v>235</v>
      </c>
      <c r="Z330" s="118">
        <f t="shared" ca="1" si="70"/>
        <v>0.35616438356164382</v>
      </c>
      <c r="AA330" s="116"/>
      <c r="AB330" s="117">
        <f t="shared" si="71"/>
        <v>7.6066994828131866</v>
      </c>
      <c r="AC330" s="118">
        <f t="shared" si="72"/>
        <v>0.40027914511721613</v>
      </c>
      <c r="AE330" s="55"/>
      <c r="AF330" s="72"/>
      <c r="AG330" s="72"/>
      <c r="AH330" s="66"/>
      <c r="AJ330" t="s">
        <v>199</v>
      </c>
    </row>
    <row r="331" spans="1:36" ht="16" hidden="1" thickBot="1" x14ac:dyDescent="0.25">
      <c r="A331" s="119" t="s">
        <v>200</v>
      </c>
      <c r="B331" s="120" t="s">
        <v>1230</v>
      </c>
      <c r="C331" s="108" t="str">
        <f t="shared" si="73"/>
        <v>/Applications/Stellarium.app/Contents/Resources/nebulae/default/n70.png</v>
      </c>
      <c r="D331" s="121" t="s">
        <v>1761</v>
      </c>
      <c r="E331" s="109"/>
      <c r="F331" s="122">
        <v>0</v>
      </c>
      <c r="G331" s="123">
        <v>18</v>
      </c>
      <c r="H331" s="122">
        <v>29</v>
      </c>
      <c r="I331" s="124">
        <v>59</v>
      </c>
      <c r="J331" s="112" t="s">
        <v>790</v>
      </c>
      <c r="K331" s="125">
        <v>12.4</v>
      </c>
      <c r="L331" s="196"/>
      <c r="M331" s="110">
        <f t="shared" si="74"/>
        <v>29.983333333333334</v>
      </c>
      <c r="N331" s="111">
        <f t="shared" si="75"/>
        <v>67.763333333333335</v>
      </c>
      <c r="O331" s="112">
        <f t="shared" si="76"/>
        <v>0.3</v>
      </c>
      <c r="P331" s="113">
        <f t="shared" ca="1" si="77"/>
        <v>46279.091447999999</v>
      </c>
      <c r="Q331" s="114">
        <f t="shared" ca="1" si="78"/>
        <v>46294.091447999999</v>
      </c>
      <c r="R331" s="114" t="b">
        <f t="shared" ref="R331:R394" ca="1" si="81">AND(Q331&gt;=DATE(YEAR(Q331),3,31)-WEEKDAY(DATE(YEAR(Q331),3,31),2),Q331&lt;DATE(YEAR(Q331),10,31)-WEEKDAY(DATE(YEAR(Q331),10,31),2))</f>
        <v>1</v>
      </c>
      <c r="S331" s="115">
        <f t="shared" ref="S331:S394" ca="1" si="82">IF(R331,15,0)</f>
        <v>15</v>
      </c>
      <c r="T331" s="126">
        <f t="shared" ref="T331:T394" ca="1" si="83">Q331+S331</f>
        <v>46309.091447999999</v>
      </c>
      <c r="U331" s="127" t="str">
        <f t="shared" si="80"/>
        <v>S</v>
      </c>
      <c r="V331" s="128">
        <f t="shared" si="79"/>
        <v>67.763333333333335</v>
      </c>
      <c r="W331" s="129">
        <f t="shared" ref="W331:W394" si="84">IF(M331&lt;&gt;0,V331,"")</f>
        <v>67.763333333333335</v>
      </c>
      <c r="X331" s="197"/>
      <c r="Y331" s="115">
        <f t="shared" ref="Y331:Y394" ca="1" si="85">INT(IF(AC$7&gt;T331,AC$7-T331,AC$7+365-T331)+0.5)+S331</f>
        <v>235</v>
      </c>
      <c r="Z331" s="118">
        <f t="shared" ref="Z331:Z394" ca="1" si="86">$AB$5-Y331/365</f>
        <v>0.35616438356164382</v>
      </c>
      <c r="AA331" s="116"/>
      <c r="AB331" s="117">
        <f t="shared" ref="AB331:AB394" si="87">MOD(O331-AB$10,24)/1.00273790935</f>
        <v>7.6399418016908509</v>
      </c>
      <c r="AC331" s="118">
        <f t="shared" ref="AC331:AC394" si="88">(IF(M331&lt;&gt;0,MOD(AB331+AB$11,24)/24,""))</f>
        <v>0.40166424173711879</v>
      </c>
      <c r="AE331" s="55"/>
      <c r="AF331" s="72"/>
      <c r="AG331" s="72"/>
      <c r="AH331" s="66"/>
      <c r="AJ331" t="s">
        <v>200</v>
      </c>
    </row>
    <row r="332" spans="1:36" ht="16" hidden="1" thickBot="1" x14ac:dyDescent="0.25">
      <c r="A332" s="119" t="s">
        <v>564</v>
      </c>
      <c r="B332" s="120" t="s">
        <v>1354</v>
      </c>
      <c r="C332" s="108" t="str">
        <f t="shared" ref="C332:C395" si="89">CONCATENATE(A$9&amp;D332)</f>
        <v>/Applications/Stellarium.app/Contents/Resources/nebulae/default/n7822.png</v>
      </c>
      <c r="D332" s="121" t="s">
        <v>1762</v>
      </c>
      <c r="E332" s="109"/>
      <c r="F332" s="122">
        <v>0</v>
      </c>
      <c r="G332" s="123">
        <v>18</v>
      </c>
      <c r="H332" s="122">
        <v>65</v>
      </c>
      <c r="I332" s="124">
        <v>8</v>
      </c>
      <c r="J332" s="112" t="s">
        <v>1087</v>
      </c>
      <c r="K332" s="125">
        <v>14.5</v>
      </c>
      <c r="L332" s="196"/>
      <c r="M332" s="110">
        <f t="shared" ref="M332:M395" si="90">H332+I332/60</f>
        <v>65.13333333333334</v>
      </c>
      <c r="N332" s="111">
        <f t="shared" ref="N332:N395" si="91">90-$B$6+M332</f>
        <v>102.91333333333334</v>
      </c>
      <c r="O332" s="112">
        <f t="shared" ref="O332:O395" si="92">F332+G332/60</f>
        <v>0.3</v>
      </c>
      <c r="P332" s="113">
        <f t="shared" ref="P332:P395" ca="1" si="93">DATE(YEAR(TODAY()),3,21)+MOD(O332-12-$B$7/15,24)*15.2184</f>
        <v>46279.091447999999</v>
      </c>
      <c r="Q332" s="114">
        <f t="shared" ref="Q332:Q395" ca="1" si="94">DATE(YEAR(TODAY()),3,21)+MOD(O332-12-$B$7/15,24)*15.2184+15</f>
        <v>46294.091447999999</v>
      </c>
      <c r="R332" s="114" t="b">
        <f t="shared" ca="1" si="81"/>
        <v>1</v>
      </c>
      <c r="S332" s="115">
        <f t="shared" ca="1" si="82"/>
        <v>15</v>
      </c>
      <c r="T332" s="126">
        <f t="shared" ca="1" si="83"/>
        <v>46309.091447999999</v>
      </c>
      <c r="U332" s="127" t="str">
        <f t="shared" si="80"/>
        <v>N</v>
      </c>
      <c r="V332" s="128">
        <f t="shared" ref="V332:V395" si="95">IF(90-B$6+M332&gt;90,180-90+B$6-M332,90-B$6+M332)</f>
        <v>77.086666666666659</v>
      </c>
      <c r="W332" s="129">
        <f t="shared" si="84"/>
        <v>77.086666666666659</v>
      </c>
      <c r="X332" s="197"/>
      <c r="Y332" s="115">
        <f t="shared" ca="1" si="85"/>
        <v>235</v>
      </c>
      <c r="Z332" s="118">
        <f t="shared" ca="1" si="86"/>
        <v>0.35616438356164382</v>
      </c>
      <c r="AA332" s="116"/>
      <c r="AB332" s="117">
        <f t="shared" si="87"/>
        <v>7.6399418016908509</v>
      </c>
      <c r="AC332" s="118">
        <f t="shared" si="88"/>
        <v>0.40166424173711879</v>
      </c>
      <c r="AE332" s="55"/>
      <c r="AF332" s="72"/>
      <c r="AG332" s="72"/>
      <c r="AH332" s="66"/>
      <c r="AJ332" t="s">
        <v>564</v>
      </c>
    </row>
    <row r="333" spans="1:36" ht="16" hidden="1" thickBot="1" x14ac:dyDescent="0.25">
      <c r="A333" s="119" t="s">
        <v>202</v>
      </c>
      <c r="B333" s="120" t="s">
        <v>1230</v>
      </c>
      <c r="C333" s="108" t="str">
        <f t="shared" si="89"/>
        <v>/Applications/Stellarium.app/Contents/Resources/nebulae/default/n92.png</v>
      </c>
      <c r="D333" s="121" t="s">
        <v>1763</v>
      </c>
      <c r="E333" s="109"/>
      <c r="F333" s="122">
        <v>0</v>
      </c>
      <c r="G333" s="123">
        <v>21</v>
      </c>
      <c r="H333" s="122">
        <v>-49</v>
      </c>
      <c r="I333" s="124">
        <v>19</v>
      </c>
      <c r="J333" s="112" t="s">
        <v>792</v>
      </c>
      <c r="K333" s="125">
        <v>14.5</v>
      </c>
      <c r="L333" s="196"/>
      <c r="M333" s="110">
        <f t="shared" si="90"/>
        <v>-48.68333333333333</v>
      </c>
      <c r="N333" s="111">
        <f t="shared" si="91"/>
        <v>-10.903333333333329</v>
      </c>
      <c r="O333" s="112">
        <f t="shared" si="92"/>
        <v>0.35</v>
      </c>
      <c r="P333" s="113">
        <f t="shared" ca="1" si="93"/>
        <v>46279.852368</v>
      </c>
      <c r="Q333" s="114">
        <f t="shared" ca="1" si="94"/>
        <v>46294.852368</v>
      </c>
      <c r="R333" s="114" t="b">
        <f t="shared" ca="1" si="81"/>
        <v>1</v>
      </c>
      <c r="S333" s="115">
        <f t="shared" ca="1" si="82"/>
        <v>15</v>
      </c>
      <c r="T333" s="126">
        <f t="shared" ca="1" si="83"/>
        <v>46309.852368</v>
      </c>
      <c r="U333" s="127" t="str">
        <f t="shared" si="80"/>
        <v>S</v>
      </c>
      <c r="V333" s="128">
        <f t="shared" si="95"/>
        <v>-10.903333333333329</v>
      </c>
      <c r="W333" s="129">
        <f t="shared" si="84"/>
        <v>-10.903333333333329</v>
      </c>
      <c r="X333" s="197"/>
      <c r="Y333" s="115">
        <f t="shared" ca="1" si="85"/>
        <v>234</v>
      </c>
      <c r="Z333" s="118">
        <f t="shared" ca="1" si="86"/>
        <v>0.35890410958904106</v>
      </c>
      <c r="AA333" s="116"/>
      <c r="AB333" s="117">
        <f t="shared" si="87"/>
        <v>7.689805280007346</v>
      </c>
      <c r="AC333" s="118">
        <f t="shared" si="88"/>
        <v>0.40374188666697269</v>
      </c>
      <c r="AE333" s="55"/>
      <c r="AF333" s="72"/>
      <c r="AG333" s="72"/>
      <c r="AH333" s="66"/>
      <c r="AJ333" t="s">
        <v>202</v>
      </c>
    </row>
    <row r="334" spans="1:36" ht="16" hidden="1" thickBot="1" x14ac:dyDescent="0.25">
      <c r="A334" s="119" t="s">
        <v>565</v>
      </c>
      <c r="B334" s="120" t="s">
        <v>1355</v>
      </c>
      <c r="C334" s="108" t="str">
        <f t="shared" si="89"/>
        <v>/Applications/Stellarium.app/Contents/Resources/nebulae/default/ic10.png</v>
      </c>
      <c r="D334" s="121" t="s">
        <v>1764</v>
      </c>
      <c r="E334" s="109"/>
      <c r="F334" s="122">
        <v>0</v>
      </c>
      <c r="G334" s="123">
        <v>21</v>
      </c>
      <c r="H334" s="122">
        <v>59</v>
      </c>
      <c r="I334" s="124">
        <v>10</v>
      </c>
      <c r="J334" s="112" t="s">
        <v>1088</v>
      </c>
      <c r="K334" s="125">
        <v>14.3</v>
      </c>
      <c r="L334" s="196"/>
      <c r="M334" s="110">
        <f t="shared" si="90"/>
        <v>59.166666666666664</v>
      </c>
      <c r="N334" s="111">
        <f t="shared" si="91"/>
        <v>96.946666666666658</v>
      </c>
      <c r="O334" s="112">
        <f t="shared" si="92"/>
        <v>0.35</v>
      </c>
      <c r="P334" s="113">
        <f t="shared" ca="1" si="93"/>
        <v>46279.852368</v>
      </c>
      <c r="Q334" s="114">
        <f t="shared" ca="1" si="94"/>
        <v>46294.852368</v>
      </c>
      <c r="R334" s="114" t="b">
        <f t="shared" ca="1" si="81"/>
        <v>1</v>
      </c>
      <c r="S334" s="115">
        <f t="shared" ca="1" si="82"/>
        <v>15</v>
      </c>
      <c r="T334" s="126">
        <f t="shared" ca="1" si="83"/>
        <v>46309.852368</v>
      </c>
      <c r="U334" s="127" t="str">
        <f t="shared" si="80"/>
        <v>N</v>
      </c>
      <c r="V334" s="128">
        <f t="shared" si="95"/>
        <v>83.053333333333342</v>
      </c>
      <c r="W334" s="129">
        <f t="shared" si="84"/>
        <v>83.053333333333342</v>
      </c>
      <c r="X334" s="197"/>
      <c r="Y334" s="115">
        <f t="shared" ca="1" si="85"/>
        <v>234</v>
      </c>
      <c r="Z334" s="118">
        <f t="shared" ca="1" si="86"/>
        <v>0.35890410958904106</v>
      </c>
      <c r="AA334" s="116"/>
      <c r="AB334" s="117">
        <f t="shared" si="87"/>
        <v>7.689805280007346</v>
      </c>
      <c r="AC334" s="118">
        <f t="shared" si="88"/>
        <v>0.40374188666697269</v>
      </c>
      <c r="AE334" s="55"/>
      <c r="AF334" s="72"/>
      <c r="AG334" s="72"/>
      <c r="AH334" s="66"/>
      <c r="AJ334" t="s">
        <v>565</v>
      </c>
    </row>
    <row r="335" spans="1:36" ht="16" hidden="1" thickBot="1" x14ac:dyDescent="0.25">
      <c r="A335" s="119" t="s">
        <v>201</v>
      </c>
      <c r="B335" s="120" t="s">
        <v>1230</v>
      </c>
      <c r="C335" s="108" t="str">
        <f t="shared" si="89"/>
        <v>/Applications/Stellarium.app/Contents/Resources/nebulae/default/n80.png</v>
      </c>
      <c r="D335" s="121" t="s">
        <v>1765</v>
      </c>
      <c r="E335" s="109"/>
      <c r="F335" s="122">
        <v>0</v>
      </c>
      <c r="G335" s="123">
        <v>22</v>
      </c>
      <c r="H335" s="122">
        <v>22</v>
      </c>
      <c r="I335" s="124">
        <v>17</v>
      </c>
      <c r="J335" s="112" t="s">
        <v>791</v>
      </c>
      <c r="K335" s="125">
        <v>12.4</v>
      </c>
      <c r="L335" s="196"/>
      <c r="M335" s="110">
        <f t="shared" si="90"/>
        <v>22.283333333333335</v>
      </c>
      <c r="N335" s="111">
        <f t="shared" si="91"/>
        <v>60.063333333333333</v>
      </c>
      <c r="O335" s="112">
        <f t="shared" si="92"/>
        <v>0.36666666666666664</v>
      </c>
      <c r="P335" s="113">
        <f t="shared" ca="1" si="93"/>
        <v>46280.106008000002</v>
      </c>
      <c r="Q335" s="114">
        <f t="shared" ca="1" si="94"/>
        <v>46295.106008000002</v>
      </c>
      <c r="R335" s="114" t="b">
        <f t="shared" ca="1" si="81"/>
        <v>1</v>
      </c>
      <c r="S335" s="115">
        <f t="shared" ca="1" si="82"/>
        <v>15</v>
      </c>
      <c r="T335" s="126">
        <f t="shared" ca="1" si="83"/>
        <v>46310.106008000002</v>
      </c>
      <c r="U335" s="127" t="str">
        <f t="shared" si="80"/>
        <v>S</v>
      </c>
      <c r="V335" s="128">
        <f t="shared" si="95"/>
        <v>60.063333333333333</v>
      </c>
      <c r="W335" s="129">
        <f t="shared" si="84"/>
        <v>60.063333333333333</v>
      </c>
      <c r="X335" s="197"/>
      <c r="Y335" s="115">
        <f t="shared" ca="1" si="85"/>
        <v>234</v>
      </c>
      <c r="Z335" s="118">
        <f t="shared" ca="1" si="86"/>
        <v>0.35890410958904106</v>
      </c>
      <c r="AA335" s="116"/>
      <c r="AB335" s="117">
        <f t="shared" si="87"/>
        <v>7.7064264394461759</v>
      </c>
      <c r="AC335" s="118">
        <f t="shared" si="88"/>
        <v>0.404434434976924</v>
      </c>
      <c r="AE335" s="55"/>
      <c r="AF335" s="72"/>
      <c r="AG335" s="72"/>
      <c r="AH335" s="66"/>
      <c r="AJ335" t="s">
        <v>201</v>
      </c>
    </row>
    <row r="336" spans="1:36" ht="16" hidden="1" thickBot="1" x14ac:dyDescent="0.25">
      <c r="A336" s="119" t="s">
        <v>628</v>
      </c>
      <c r="B336" s="120" t="s">
        <v>1402</v>
      </c>
      <c r="C336" s="108" t="str">
        <f t="shared" si="89"/>
        <v>/Applications/Stellarium.app/Contents/Resources/nebulae/default/sh2-173.png</v>
      </c>
      <c r="D336" s="121" t="s">
        <v>1766</v>
      </c>
      <c r="E336" s="109"/>
      <c r="F336" s="122">
        <v>0</v>
      </c>
      <c r="G336" s="123">
        <v>25</v>
      </c>
      <c r="H336" s="122">
        <v>61</v>
      </c>
      <c r="I336" s="124">
        <v>22</v>
      </c>
      <c r="J336" s="112" t="s">
        <v>1103</v>
      </c>
      <c r="K336" s="125">
        <v>14.9</v>
      </c>
      <c r="L336" s="196"/>
      <c r="M336" s="110">
        <f t="shared" si="90"/>
        <v>61.366666666666667</v>
      </c>
      <c r="N336" s="111">
        <f t="shared" si="91"/>
        <v>99.146666666666675</v>
      </c>
      <c r="O336" s="112">
        <f t="shared" si="92"/>
        <v>0.41666666666666669</v>
      </c>
      <c r="P336" s="113">
        <f t="shared" ca="1" si="93"/>
        <v>46280.866928000003</v>
      </c>
      <c r="Q336" s="114">
        <f t="shared" ca="1" si="94"/>
        <v>46295.866928000003</v>
      </c>
      <c r="R336" s="114" t="b">
        <f t="shared" ca="1" si="81"/>
        <v>1</v>
      </c>
      <c r="S336" s="115">
        <f t="shared" ca="1" si="82"/>
        <v>15</v>
      </c>
      <c r="T336" s="126">
        <f t="shared" ca="1" si="83"/>
        <v>46310.866928000003</v>
      </c>
      <c r="U336" s="127" t="str">
        <f t="shared" si="80"/>
        <v>N</v>
      </c>
      <c r="V336" s="128">
        <f t="shared" si="95"/>
        <v>80.853333333333325</v>
      </c>
      <c r="W336" s="129">
        <f t="shared" si="84"/>
        <v>80.853333333333325</v>
      </c>
      <c r="X336" s="197"/>
      <c r="Y336" s="115">
        <f t="shared" ca="1" si="85"/>
        <v>233</v>
      </c>
      <c r="Z336" s="118">
        <f t="shared" ca="1" si="86"/>
        <v>0.36164383561643831</v>
      </c>
      <c r="AA336" s="116"/>
      <c r="AB336" s="117">
        <f t="shared" si="87"/>
        <v>7.7562899177626701</v>
      </c>
      <c r="AC336" s="118">
        <f t="shared" si="88"/>
        <v>0.4065120799067779</v>
      </c>
      <c r="AE336" s="55"/>
      <c r="AF336" s="72"/>
      <c r="AG336" s="72"/>
      <c r="AH336" s="66"/>
      <c r="AJ336" t="s">
        <v>628</v>
      </c>
    </row>
    <row r="337" spans="1:36" ht="16" hidden="1" thickBot="1" x14ac:dyDescent="0.25">
      <c r="A337" s="119" t="s">
        <v>203</v>
      </c>
      <c r="B337" s="120" t="s">
        <v>1230</v>
      </c>
      <c r="C337" s="108" t="str">
        <f t="shared" si="89"/>
        <v>/Applications/Stellarium.app/Contents/Resources/nebulae/default/n134.png</v>
      </c>
      <c r="D337" s="121" t="s">
        <v>1767</v>
      </c>
      <c r="E337" s="109"/>
      <c r="F337" s="122">
        <v>0</v>
      </c>
      <c r="G337" s="123">
        <v>30</v>
      </c>
      <c r="H337" s="122">
        <v>-34</v>
      </c>
      <c r="I337" s="124">
        <v>41</v>
      </c>
      <c r="J337" s="112" t="s">
        <v>793</v>
      </c>
      <c r="K337" s="125">
        <v>13.6</v>
      </c>
      <c r="L337" s="196"/>
      <c r="M337" s="110">
        <f t="shared" si="90"/>
        <v>-33.31666666666667</v>
      </c>
      <c r="N337" s="111">
        <f t="shared" si="91"/>
        <v>4.4633333333333312</v>
      </c>
      <c r="O337" s="112">
        <f t="shared" si="92"/>
        <v>0.5</v>
      </c>
      <c r="P337" s="113">
        <f t="shared" ca="1" si="93"/>
        <v>46282.135128000002</v>
      </c>
      <c r="Q337" s="114">
        <f t="shared" ca="1" si="94"/>
        <v>46297.135128000002</v>
      </c>
      <c r="R337" s="114" t="b">
        <f t="shared" ca="1" si="81"/>
        <v>1</v>
      </c>
      <c r="S337" s="115">
        <f t="shared" ca="1" si="82"/>
        <v>15</v>
      </c>
      <c r="T337" s="126">
        <f t="shared" ca="1" si="83"/>
        <v>46312.135128000002</v>
      </c>
      <c r="U337" s="127" t="str">
        <f t="shared" si="80"/>
        <v>S</v>
      </c>
      <c r="V337" s="128">
        <f t="shared" si="95"/>
        <v>4.4633333333333312</v>
      </c>
      <c r="W337" s="129">
        <f t="shared" si="84"/>
        <v>4.4633333333333312</v>
      </c>
      <c r="X337" s="197"/>
      <c r="Y337" s="115">
        <f t="shared" ca="1" si="85"/>
        <v>232</v>
      </c>
      <c r="Z337" s="118">
        <f t="shared" ca="1" si="86"/>
        <v>0.36438356164383556</v>
      </c>
      <c r="AA337" s="116"/>
      <c r="AB337" s="117">
        <f t="shared" si="87"/>
        <v>7.8393957149568259</v>
      </c>
      <c r="AC337" s="118">
        <f t="shared" si="88"/>
        <v>0.40997482145653441</v>
      </c>
      <c r="AE337" s="55"/>
      <c r="AF337" s="72"/>
      <c r="AG337" s="72"/>
      <c r="AH337" s="66"/>
      <c r="AJ337" t="s">
        <v>203</v>
      </c>
    </row>
    <row r="338" spans="1:36" ht="16" hidden="1" thickBot="1" x14ac:dyDescent="0.25">
      <c r="A338" s="119" t="s">
        <v>204</v>
      </c>
      <c r="B338" s="120" t="s">
        <v>1230</v>
      </c>
      <c r="C338" s="108" t="str">
        <f t="shared" si="89"/>
        <v>/Applications/Stellarium.app/Contents/Resources/nebulae/default/n147.png</v>
      </c>
      <c r="D338" s="121" t="s">
        <v>1768</v>
      </c>
      <c r="E338" s="109"/>
      <c r="F338" s="122">
        <v>0</v>
      </c>
      <c r="G338" s="123">
        <v>33</v>
      </c>
      <c r="H338" s="122">
        <v>48</v>
      </c>
      <c r="I338" s="124">
        <v>25</v>
      </c>
      <c r="J338" s="112" t="s">
        <v>794</v>
      </c>
      <c r="K338" s="125">
        <v>13</v>
      </c>
      <c r="L338" s="196"/>
      <c r="M338" s="110">
        <f t="shared" si="90"/>
        <v>48.416666666666664</v>
      </c>
      <c r="N338" s="111">
        <f t="shared" si="91"/>
        <v>86.196666666666658</v>
      </c>
      <c r="O338" s="112">
        <f t="shared" si="92"/>
        <v>0.55000000000000004</v>
      </c>
      <c r="P338" s="113">
        <f t="shared" ca="1" si="93"/>
        <v>46282.896048000002</v>
      </c>
      <c r="Q338" s="114">
        <f t="shared" ca="1" si="94"/>
        <v>46297.896048000002</v>
      </c>
      <c r="R338" s="114" t="b">
        <f t="shared" ca="1" si="81"/>
        <v>1</v>
      </c>
      <c r="S338" s="115">
        <f t="shared" ca="1" si="82"/>
        <v>15</v>
      </c>
      <c r="T338" s="126">
        <f t="shared" ca="1" si="83"/>
        <v>46312.896048000002</v>
      </c>
      <c r="U338" s="127" t="str">
        <f t="shared" si="80"/>
        <v>S</v>
      </c>
      <c r="V338" s="128">
        <f t="shared" si="95"/>
        <v>86.196666666666658</v>
      </c>
      <c r="W338" s="129">
        <f t="shared" si="84"/>
        <v>86.196666666666658</v>
      </c>
      <c r="X338" s="197"/>
      <c r="Y338" s="115">
        <f t="shared" ca="1" si="85"/>
        <v>231</v>
      </c>
      <c r="Z338" s="118">
        <f t="shared" ca="1" si="86"/>
        <v>0.36712328767123292</v>
      </c>
      <c r="AA338" s="116"/>
      <c r="AB338" s="117">
        <f t="shared" si="87"/>
        <v>7.88925919327332</v>
      </c>
      <c r="AC338" s="118">
        <f t="shared" si="88"/>
        <v>0.41205246638638832</v>
      </c>
      <c r="AE338" s="55"/>
      <c r="AF338" s="72"/>
      <c r="AG338" s="72"/>
      <c r="AH338" s="66"/>
      <c r="AJ338" t="s">
        <v>204</v>
      </c>
    </row>
    <row r="339" spans="1:36" ht="16" hidden="1" thickBot="1" x14ac:dyDescent="0.25">
      <c r="A339" s="119" t="s">
        <v>677</v>
      </c>
      <c r="B339" s="120" t="s">
        <v>1417</v>
      </c>
      <c r="C339" s="108" t="str">
        <f t="shared" si="89"/>
        <v>/Applications/Stellarium.app/Contents/Resources/nebulae/default/p2248.png</v>
      </c>
      <c r="D339" s="121" t="s">
        <v>1769</v>
      </c>
      <c r="E339" s="109"/>
      <c r="F339" s="122">
        <v>0</v>
      </c>
      <c r="G339" s="123">
        <v>37</v>
      </c>
      <c r="H339" s="122">
        <v>-34</v>
      </c>
      <c r="I339" s="124">
        <v>16</v>
      </c>
      <c r="J339" s="112" t="s">
        <v>1158</v>
      </c>
      <c r="K339" s="125">
        <v>15</v>
      </c>
      <c r="L339" s="196"/>
      <c r="M339" s="110">
        <f t="shared" si="90"/>
        <v>-33.733333333333334</v>
      </c>
      <c r="N339" s="111">
        <f t="shared" si="91"/>
        <v>4.0466666666666669</v>
      </c>
      <c r="O339" s="112">
        <f t="shared" si="92"/>
        <v>0.6166666666666667</v>
      </c>
      <c r="P339" s="113">
        <f t="shared" ca="1" si="93"/>
        <v>46283.910607999998</v>
      </c>
      <c r="Q339" s="114">
        <f t="shared" ca="1" si="94"/>
        <v>46298.910607999998</v>
      </c>
      <c r="R339" s="114" t="b">
        <f t="shared" ca="1" si="81"/>
        <v>1</v>
      </c>
      <c r="S339" s="115">
        <f t="shared" ca="1" si="82"/>
        <v>15</v>
      </c>
      <c r="T339" s="126">
        <f t="shared" ca="1" si="83"/>
        <v>46313.910607999998</v>
      </c>
      <c r="U339" s="127" t="str">
        <f t="shared" si="80"/>
        <v>S</v>
      </c>
      <c r="V339" s="128">
        <f t="shared" si="95"/>
        <v>4.0466666666666669</v>
      </c>
      <c r="W339" s="129">
        <f t="shared" si="84"/>
        <v>4.0466666666666669</v>
      </c>
      <c r="X339" s="197"/>
      <c r="Y339" s="115">
        <f t="shared" ca="1" si="85"/>
        <v>230</v>
      </c>
      <c r="Z339" s="118">
        <f t="shared" ca="1" si="86"/>
        <v>0.36986301369863017</v>
      </c>
      <c r="AA339" s="116"/>
      <c r="AB339" s="117">
        <f t="shared" si="87"/>
        <v>7.955743831028645</v>
      </c>
      <c r="AC339" s="118">
        <f t="shared" si="88"/>
        <v>0.41482265962619352</v>
      </c>
      <c r="AE339" s="55"/>
      <c r="AF339" s="72"/>
      <c r="AG339" s="72"/>
      <c r="AH339" s="66"/>
      <c r="AJ339" t="s">
        <v>677</v>
      </c>
    </row>
    <row r="340" spans="1:36" ht="16" hidden="1" thickBot="1" x14ac:dyDescent="0.25">
      <c r="A340" s="119" t="s">
        <v>205</v>
      </c>
      <c r="B340" s="120" t="s">
        <v>1230</v>
      </c>
      <c r="C340" s="108" t="str">
        <f t="shared" si="89"/>
        <v>/Applications/Stellarium.app/Contents/Resources/nebulae/default/n185.png</v>
      </c>
      <c r="D340" s="121" t="s">
        <v>1770</v>
      </c>
      <c r="E340" s="109"/>
      <c r="F340" s="122">
        <v>0</v>
      </c>
      <c r="G340" s="123">
        <v>39</v>
      </c>
      <c r="H340" s="122">
        <v>48</v>
      </c>
      <c r="I340" s="124">
        <v>10</v>
      </c>
      <c r="J340" s="112" t="s">
        <v>795</v>
      </c>
      <c r="K340" s="125">
        <v>13.2</v>
      </c>
      <c r="L340" s="196"/>
      <c r="M340" s="110">
        <f t="shared" si="90"/>
        <v>48.166666666666664</v>
      </c>
      <c r="N340" s="111">
        <f t="shared" si="91"/>
        <v>85.946666666666658</v>
      </c>
      <c r="O340" s="112">
        <f t="shared" si="92"/>
        <v>0.65</v>
      </c>
      <c r="P340" s="113">
        <f t="shared" ca="1" si="93"/>
        <v>46284.417888000004</v>
      </c>
      <c r="Q340" s="114">
        <f t="shared" ca="1" si="94"/>
        <v>46299.417888000004</v>
      </c>
      <c r="R340" s="114" t="b">
        <f t="shared" ca="1" si="81"/>
        <v>1</v>
      </c>
      <c r="S340" s="115">
        <f t="shared" ca="1" si="82"/>
        <v>15</v>
      </c>
      <c r="T340" s="126">
        <f t="shared" ca="1" si="83"/>
        <v>46314.417888000004</v>
      </c>
      <c r="U340" s="127" t="str">
        <f t="shared" si="80"/>
        <v>S</v>
      </c>
      <c r="V340" s="128">
        <f t="shared" si="95"/>
        <v>85.946666666666658</v>
      </c>
      <c r="W340" s="129">
        <f t="shared" si="84"/>
        <v>85.946666666666658</v>
      </c>
      <c r="X340" s="197"/>
      <c r="Y340" s="115">
        <f t="shared" ca="1" si="85"/>
        <v>230</v>
      </c>
      <c r="Z340" s="118">
        <f t="shared" ca="1" si="86"/>
        <v>0.36986301369863017</v>
      </c>
      <c r="AA340" s="116"/>
      <c r="AB340" s="117">
        <f t="shared" si="87"/>
        <v>7.9889861499063075</v>
      </c>
      <c r="AC340" s="118">
        <f t="shared" si="88"/>
        <v>0.41620775624609613</v>
      </c>
      <c r="AE340" s="55"/>
      <c r="AF340" s="72"/>
      <c r="AG340" s="72"/>
      <c r="AH340" s="66"/>
      <c r="AJ340" t="s">
        <v>205</v>
      </c>
    </row>
    <row r="341" spans="1:36" ht="16" hidden="1" thickBot="1" x14ac:dyDescent="0.25">
      <c r="A341" s="119" t="s">
        <v>206</v>
      </c>
      <c r="B341" s="120" t="s">
        <v>1267</v>
      </c>
      <c r="C341" s="108" t="str">
        <f t="shared" si="89"/>
        <v>/Applications/Stellarium.app/Contents/Resources/nebulae/default/n225.png</v>
      </c>
      <c r="D341" s="121" t="s">
        <v>1771</v>
      </c>
      <c r="E341" s="109"/>
      <c r="F341" s="122">
        <v>0</v>
      </c>
      <c r="G341" s="123">
        <v>45</v>
      </c>
      <c r="H341" s="122">
        <v>61</v>
      </c>
      <c r="I341" s="124">
        <v>37</v>
      </c>
      <c r="J341" s="112" t="s">
        <v>726</v>
      </c>
      <c r="K341" s="125">
        <v>13.5</v>
      </c>
      <c r="L341" s="196"/>
      <c r="M341" s="110">
        <f t="shared" si="90"/>
        <v>61.616666666666667</v>
      </c>
      <c r="N341" s="111">
        <f t="shared" si="91"/>
        <v>99.396666666666675</v>
      </c>
      <c r="O341" s="112">
        <f t="shared" si="92"/>
        <v>0.75</v>
      </c>
      <c r="P341" s="113">
        <f t="shared" ca="1" si="93"/>
        <v>46285.939727999998</v>
      </c>
      <c r="Q341" s="114">
        <f t="shared" ca="1" si="94"/>
        <v>46300.939727999998</v>
      </c>
      <c r="R341" s="114" t="b">
        <f t="shared" ca="1" si="81"/>
        <v>1</v>
      </c>
      <c r="S341" s="115">
        <f t="shared" ca="1" si="82"/>
        <v>15</v>
      </c>
      <c r="T341" s="126">
        <f t="shared" ca="1" si="83"/>
        <v>46315.939727999998</v>
      </c>
      <c r="U341" s="127" t="str">
        <f t="shared" si="80"/>
        <v>N</v>
      </c>
      <c r="V341" s="128">
        <f t="shared" si="95"/>
        <v>80.603333333333325</v>
      </c>
      <c r="W341" s="129">
        <f t="shared" si="84"/>
        <v>80.603333333333325</v>
      </c>
      <c r="X341" s="197"/>
      <c r="Y341" s="115">
        <f t="shared" ca="1" si="85"/>
        <v>228</v>
      </c>
      <c r="Z341" s="118">
        <f t="shared" ca="1" si="86"/>
        <v>0.37534246575342467</v>
      </c>
      <c r="AA341" s="116"/>
      <c r="AB341" s="117">
        <f t="shared" si="87"/>
        <v>8.088713106539295</v>
      </c>
      <c r="AC341" s="118">
        <f t="shared" si="88"/>
        <v>0.42036304610580394</v>
      </c>
      <c r="AE341" s="55"/>
      <c r="AF341" s="72"/>
      <c r="AG341" s="72"/>
      <c r="AH341" s="66"/>
      <c r="AJ341" t="s">
        <v>206</v>
      </c>
    </row>
    <row r="342" spans="1:36" ht="16" hidden="1" thickBot="1" x14ac:dyDescent="0.25">
      <c r="A342" s="119" t="s">
        <v>207</v>
      </c>
      <c r="B342" s="120" t="s">
        <v>1268</v>
      </c>
      <c r="C342" s="108" t="str">
        <f t="shared" si="89"/>
        <v>/Applications/Stellarium.app/Contents/Resources/nebulae/default/n246-vasey.png</v>
      </c>
      <c r="D342" s="121" t="s">
        <v>1772</v>
      </c>
      <c r="E342" s="109"/>
      <c r="F342" s="122">
        <v>0</v>
      </c>
      <c r="G342" s="123">
        <v>47</v>
      </c>
      <c r="H342" s="122">
        <v>-12</v>
      </c>
      <c r="I342" s="124">
        <v>0</v>
      </c>
      <c r="J342" s="112" t="s">
        <v>796</v>
      </c>
      <c r="K342" s="125">
        <v>13.4</v>
      </c>
      <c r="L342" s="196"/>
      <c r="M342" s="110">
        <f t="shared" si="90"/>
        <v>-12</v>
      </c>
      <c r="N342" s="111">
        <f t="shared" si="91"/>
        <v>25.78</v>
      </c>
      <c r="O342" s="112">
        <f t="shared" si="92"/>
        <v>0.78333333333333333</v>
      </c>
      <c r="P342" s="113">
        <f t="shared" ca="1" si="93"/>
        <v>46286.447008000003</v>
      </c>
      <c r="Q342" s="114">
        <f t="shared" ca="1" si="94"/>
        <v>46301.447008000003</v>
      </c>
      <c r="R342" s="114" t="b">
        <f t="shared" ca="1" si="81"/>
        <v>1</v>
      </c>
      <c r="S342" s="115">
        <f t="shared" ca="1" si="82"/>
        <v>15</v>
      </c>
      <c r="T342" s="126">
        <f t="shared" ca="1" si="83"/>
        <v>46316.447008000003</v>
      </c>
      <c r="U342" s="127" t="str">
        <f t="shared" si="80"/>
        <v>S</v>
      </c>
      <c r="V342" s="128">
        <f t="shared" si="95"/>
        <v>25.78</v>
      </c>
      <c r="W342" s="129">
        <f t="shared" si="84"/>
        <v>25.78</v>
      </c>
      <c r="X342" s="197"/>
      <c r="Y342" s="115">
        <f t="shared" ca="1" si="85"/>
        <v>228</v>
      </c>
      <c r="Z342" s="118">
        <f t="shared" ca="1" si="86"/>
        <v>0.37534246575342467</v>
      </c>
      <c r="AA342" s="116"/>
      <c r="AB342" s="117">
        <f t="shared" si="87"/>
        <v>8.1219554254169566</v>
      </c>
      <c r="AC342" s="118">
        <f t="shared" si="88"/>
        <v>0.42174814272570654</v>
      </c>
      <c r="AE342" s="55"/>
      <c r="AF342" s="72"/>
      <c r="AG342" s="72"/>
      <c r="AH342" s="66"/>
      <c r="AJ342" t="s">
        <v>207</v>
      </c>
    </row>
    <row r="343" spans="1:36" ht="16" hidden="1" thickBot="1" x14ac:dyDescent="0.25">
      <c r="A343" s="119" t="s">
        <v>208</v>
      </c>
      <c r="B343" s="120" t="s">
        <v>1269</v>
      </c>
      <c r="C343" s="108" t="str">
        <f t="shared" si="89"/>
        <v>/Applications/Stellarium.app/Contents/Resources/nebulae/default/n247.png</v>
      </c>
      <c r="D343" s="121" t="s">
        <v>1773</v>
      </c>
      <c r="E343" s="109"/>
      <c r="F343" s="122">
        <v>0</v>
      </c>
      <c r="G343" s="123">
        <v>48</v>
      </c>
      <c r="H343" s="122">
        <v>-21</v>
      </c>
      <c r="I343" s="124">
        <v>0</v>
      </c>
      <c r="J343" s="112" t="s">
        <v>797</v>
      </c>
      <c r="K343" s="125">
        <v>13.4</v>
      </c>
      <c r="L343" s="196"/>
      <c r="M343" s="110">
        <f t="shared" si="90"/>
        <v>-21</v>
      </c>
      <c r="N343" s="111">
        <f t="shared" si="91"/>
        <v>16.78</v>
      </c>
      <c r="O343" s="112">
        <f t="shared" si="92"/>
        <v>0.8</v>
      </c>
      <c r="P343" s="113">
        <f t="shared" ca="1" si="93"/>
        <v>46286.700647999998</v>
      </c>
      <c r="Q343" s="114">
        <f t="shared" ca="1" si="94"/>
        <v>46301.700647999998</v>
      </c>
      <c r="R343" s="114" t="b">
        <f t="shared" ca="1" si="81"/>
        <v>1</v>
      </c>
      <c r="S343" s="115">
        <f t="shared" ca="1" si="82"/>
        <v>15</v>
      </c>
      <c r="T343" s="126">
        <f t="shared" ca="1" si="83"/>
        <v>46316.700647999998</v>
      </c>
      <c r="U343" s="127" t="str">
        <f t="shared" si="80"/>
        <v>S</v>
      </c>
      <c r="V343" s="128">
        <f t="shared" si="95"/>
        <v>16.78</v>
      </c>
      <c r="W343" s="129">
        <f t="shared" si="84"/>
        <v>16.78</v>
      </c>
      <c r="X343" s="197"/>
      <c r="Y343" s="115">
        <f t="shared" ca="1" si="85"/>
        <v>227</v>
      </c>
      <c r="Z343" s="118">
        <f t="shared" ca="1" si="86"/>
        <v>0.37808219178082192</v>
      </c>
      <c r="AA343" s="116"/>
      <c r="AB343" s="117">
        <f t="shared" si="87"/>
        <v>8.1385765848557892</v>
      </c>
      <c r="AC343" s="118">
        <f t="shared" si="88"/>
        <v>0.4224406910356579</v>
      </c>
      <c r="AE343" s="55"/>
      <c r="AF343" s="72"/>
      <c r="AG343" s="72"/>
      <c r="AH343" s="66"/>
      <c r="AJ343" t="s">
        <v>208</v>
      </c>
    </row>
    <row r="344" spans="1:36" ht="16" hidden="1" thickBot="1" x14ac:dyDescent="0.25">
      <c r="A344" s="119" t="s">
        <v>209</v>
      </c>
      <c r="B344" s="120" t="s">
        <v>1270</v>
      </c>
      <c r="C344" s="108" t="str">
        <f t="shared" si="89"/>
        <v>/Applications/Stellarium.app/Contents/Resources/nebulae/default/n253.png</v>
      </c>
      <c r="D344" s="121" t="s">
        <v>1774</v>
      </c>
      <c r="E344" s="109"/>
      <c r="F344" s="122">
        <v>0</v>
      </c>
      <c r="G344" s="123">
        <v>48</v>
      </c>
      <c r="H344" s="122">
        <v>-26</v>
      </c>
      <c r="I344" s="124">
        <v>29</v>
      </c>
      <c r="J344" s="112" t="s">
        <v>798</v>
      </c>
      <c r="K344" s="125">
        <v>12.9</v>
      </c>
      <c r="L344" s="196"/>
      <c r="M344" s="110">
        <f t="shared" si="90"/>
        <v>-25.516666666666666</v>
      </c>
      <c r="N344" s="111">
        <f t="shared" si="91"/>
        <v>12.263333333333335</v>
      </c>
      <c r="O344" s="112">
        <f t="shared" si="92"/>
        <v>0.8</v>
      </c>
      <c r="P344" s="113">
        <f t="shared" ca="1" si="93"/>
        <v>46286.700647999998</v>
      </c>
      <c r="Q344" s="114">
        <f t="shared" ca="1" si="94"/>
        <v>46301.700647999998</v>
      </c>
      <c r="R344" s="114" t="b">
        <f t="shared" ca="1" si="81"/>
        <v>1</v>
      </c>
      <c r="S344" s="115">
        <f t="shared" ca="1" si="82"/>
        <v>15</v>
      </c>
      <c r="T344" s="126">
        <f t="shared" ca="1" si="83"/>
        <v>46316.700647999998</v>
      </c>
      <c r="U344" s="127" t="str">
        <f t="shared" si="80"/>
        <v>S</v>
      </c>
      <c r="V344" s="128">
        <f t="shared" si="95"/>
        <v>12.263333333333335</v>
      </c>
      <c r="W344" s="129">
        <f t="shared" si="84"/>
        <v>12.263333333333335</v>
      </c>
      <c r="X344" s="197"/>
      <c r="Y344" s="115">
        <f t="shared" ca="1" si="85"/>
        <v>227</v>
      </c>
      <c r="Z344" s="118">
        <f t="shared" ca="1" si="86"/>
        <v>0.37808219178082192</v>
      </c>
      <c r="AA344" s="116"/>
      <c r="AB344" s="117">
        <f t="shared" si="87"/>
        <v>8.1385765848557892</v>
      </c>
      <c r="AC344" s="118">
        <f t="shared" si="88"/>
        <v>0.4224406910356579</v>
      </c>
      <c r="AE344" s="55"/>
      <c r="AF344" s="72"/>
      <c r="AG344" s="72"/>
      <c r="AH344" s="66"/>
      <c r="AJ344" t="s">
        <v>209</v>
      </c>
    </row>
    <row r="345" spans="1:36" ht="16" hidden="1" thickBot="1" x14ac:dyDescent="0.25">
      <c r="A345" s="119" t="s">
        <v>123</v>
      </c>
      <c r="B345" s="120" t="s">
        <v>1212</v>
      </c>
      <c r="C345" s="108" t="str">
        <f t="shared" si="89"/>
        <v>/Applications/Stellarium.app/Contents/Resources/nebulae/default/m31.png</v>
      </c>
      <c r="D345" s="121" t="s">
        <v>1775</v>
      </c>
      <c r="E345" s="109"/>
      <c r="F345" s="122">
        <v>0</v>
      </c>
      <c r="G345" s="123">
        <v>50</v>
      </c>
      <c r="H345" s="122">
        <v>39</v>
      </c>
      <c r="I345" s="124">
        <v>49</v>
      </c>
      <c r="J345" s="112" t="s">
        <v>738</v>
      </c>
      <c r="K345" s="125">
        <v>13.5</v>
      </c>
      <c r="L345" s="196"/>
      <c r="M345" s="110">
        <f t="shared" si="90"/>
        <v>39.81666666666667</v>
      </c>
      <c r="N345" s="111">
        <f t="shared" si="91"/>
        <v>77.596666666666664</v>
      </c>
      <c r="O345" s="112">
        <f t="shared" si="92"/>
        <v>0.83333333333333337</v>
      </c>
      <c r="P345" s="113">
        <f t="shared" ca="1" si="93"/>
        <v>46287.207928000003</v>
      </c>
      <c r="Q345" s="114">
        <f t="shared" ca="1" si="94"/>
        <v>46302.207928000003</v>
      </c>
      <c r="R345" s="114" t="b">
        <f t="shared" ca="1" si="81"/>
        <v>1</v>
      </c>
      <c r="S345" s="115">
        <f t="shared" ca="1" si="82"/>
        <v>15</v>
      </c>
      <c r="T345" s="126">
        <f t="shared" ca="1" si="83"/>
        <v>46317.207928000003</v>
      </c>
      <c r="U345" s="127" t="str">
        <f t="shared" si="80"/>
        <v>S</v>
      </c>
      <c r="V345" s="128">
        <f t="shared" si="95"/>
        <v>77.596666666666664</v>
      </c>
      <c r="W345" s="129">
        <f t="shared" si="84"/>
        <v>77.596666666666664</v>
      </c>
      <c r="X345" s="197"/>
      <c r="Y345" s="115">
        <f t="shared" ca="1" si="85"/>
        <v>227</v>
      </c>
      <c r="Z345" s="118">
        <f t="shared" ca="1" si="86"/>
        <v>0.37808219178082192</v>
      </c>
      <c r="AA345" s="116"/>
      <c r="AB345" s="117">
        <f t="shared" si="87"/>
        <v>8.1718189037334508</v>
      </c>
      <c r="AC345" s="118">
        <f t="shared" si="88"/>
        <v>0.42382578765556045</v>
      </c>
      <c r="AE345" s="55"/>
      <c r="AF345" s="72"/>
      <c r="AG345" s="72"/>
      <c r="AH345" s="66"/>
      <c r="AJ345" t="s">
        <v>123</v>
      </c>
    </row>
    <row r="346" spans="1:36" ht="16" hidden="1" thickBot="1" x14ac:dyDescent="0.25">
      <c r="A346" s="119" t="s">
        <v>211</v>
      </c>
      <c r="B346" s="120" t="s">
        <v>1191</v>
      </c>
      <c r="C346" s="108" t="str">
        <f t="shared" si="89"/>
        <v>/Applications/Stellarium.app/Contents/Resources/nebulae/default/n288.png</v>
      </c>
      <c r="D346" s="121" t="s">
        <v>1776</v>
      </c>
      <c r="E346" s="109"/>
      <c r="F346" s="122">
        <v>0</v>
      </c>
      <c r="G346" s="123">
        <v>53</v>
      </c>
      <c r="H346" s="122">
        <v>-27</v>
      </c>
      <c r="I346" s="124">
        <v>10</v>
      </c>
      <c r="J346" s="112" t="s">
        <v>726</v>
      </c>
      <c r="K346" s="125">
        <v>13.5</v>
      </c>
      <c r="L346" s="196"/>
      <c r="M346" s="110">
        <f t="shared" si="90"/>
        <v>-26.833333333333332</v>
      </c>
      <c r="N346" s="111">
        <f t="shared" si="91"/>
        <v>10.946666666666669</v>
      </c>
      <c r="O346" s="112">
        <f t="shared" si="92"/>
        <v>0.8833333333333333</v>
      </c>
      <c r="P346" s="113">
        <f t="shared" ca="1" si="93"/>
        <v>46287.968847999997</v>
      </c>
      <c r="Q346" s="114">
        <f t="shared" ca="1" si="94"/>
        <v>46302.968847999997</v>
      </c>
      <c r="R346" s="114" t="b">
        <f t="shared" ca="1" si="81"/>
        <v>1</v>
      </c>
      <c r="S346" s="115">
        <f t="shared" ca="1" si="82"/>
        <v>15</v>
      </c>
      <c r="T346" s="126">
        <f t="shared" ca="1" si="83"/>
        <v>46317.968847999997</v>
      </c>
      <c r="U346" s="127" t="str">
        <f t="shared" si="80"/>
        <v>S</v>
      </c>
      <c r="V346" s="128">
        <f t="shared" si="95"/>
        <v>10.946666666666669</v>
      </c>
      <c r="W346" s="129">
        <f t="shared" si="84"/>
        <v>10.946666666666669</v>
      </c>
      <c r="X346" s="197"/>
      <c r="Y346" s="115">
        <f t="shared" ca="1" si="85"/>
        <v>226</v>
      </c>
      <c r="Z346" s="118">
        <f t="shared" ca="1" si="86"/>
        <v>0.38082191780821917</v>
      </c>
      <c r="AA346" s="116"/>
      <c r="AB346" s="117">
        <f t="shared" si="87"/>
        <v>8.2216823820499432</v>
      </c>
      <c r="AC346" s="118">
        <f t="shared" si="88"/>
        <v>0.4259034325854143</v>
      </c>
      <c r="AE346" s="55"/>
      <c r="AF346" s="72"/>
      <c r="AG346" s="72"/>
      <c r="AH346" s="66"/>
      <c r="AJ346" t="s">
        <v>211</v>
      </c>
    </row>
    <row r="347" spans="1:36" ht="16" hidden="1" thickBot="1" x14ac:dyDescent="0.25">
      <c r="A347" s="119" t="s">
        <v>212</v>
      </c>
      <c r="B347" s="120" t="s">
        <v>1272</v>
      </c>
      <c r="C347" s="108" t="str">
        <f t="shared" si="89"/>
        <v>/Applications/Stellarium.app/Contents/Resources/nebulae/default/n289.png</v>
      </c>
      <c r="D347" s="121" t="s">
        <v>1777</v>
      </c>
      <c r="E347" s="109"/>
      <c r="F347" s="122">
        <v>0</v>
      </c>
      <c r="G347" s="123">
        <v>53</v>
      </c>
      <c r="H347" s="122">
        <v>-32</v>
      </c>
      <c r="I347" s="124">
        <v>47</v>
      </c>
      <c r="J347" s="112" t="s">
        <v>800</v>
      </c>
      <c r="K347" s="125">
        <v>13.5</v>
      </c>
      <c r="L347" s="196"/>
      <c r="M347" s="110">
        <f t="shared" si="90"/>
        <v>-31.216666666666665</v>
      </c>
      <c r="N347" s="111">
        <f t="shared" si="91"/>
        <v>6.5633333333333361</v>
      </c>
      <c r="O347" s="112">
        <f t="shared" si="92"/>
        <v>0.8833333333333333</v>
      </c>
      <c r="P347" s="113">
        <f t="shared" ca="1" si="93"/>
        <v>46287.968847999997</v>
      </c>
      <c r="Q347" s="114">
        <f t="shared" ca="1" si="94"/>
        <v>46302.968847999997</v>
      </c>
      <c r="R347" s="114" t="b">
        <f t="shared" ca="1" si="81"/>
        <v>1</v>
      </c>
      <c r="S347" s="115">
        <f t="shared" ca="1" si="82"/>
        <v>15</v>
      </c>
      <c r="T347" s="126">
        <f t="shared" ca="1" si="83"/>
        <v>46317.968847999997</v>
      </c>
      <c r="U347" s="127" t="str">
        <f t="shared" si="80"/>
        <v>S</v>
      </c>
      <c r="V347" s="128">
        <f t="shared" si="95"/>
        <v>6.5633333333333361</v>
      </c>
      <c r="W347" s="129">
        <f t="shared" si="84"/>
        <v>6.5633333333333361</v>
      </c>
      <c r="X347" s="197"/>
      <c r="Y347" s="115">
        <f t="shared" ca="1" si="85"/>
        <v>226</v>
      </c>
      <c r="Z347" s="118">
        <f t="shared" ca="1" si="86"/>
        <v>0.38082191780821917</v>
      </c>
      <c r="AA347" s="116"/>
      <c r="AB347" s="117">
        <f t="shared" si="87"/>
        <v>8.2216823820499432</v>
      </c>
      <c r="AC347" s="118">
        <f t="shared" si="88"/>
        <v>0.4259034325854143</v>
      </c>
      <c r="AE347" s="55"/>
      <c r="AF347" s="72"/>
      <c r="AG347" s="72"/>
      <c r="AH347" s="66"/>
      <c r="AJ347" t="s">
        <v>212</v>
      </c>
    </row>
    <row r="348" spans="1:36" ht="16" hidden="1" thickBot="1" x14ac:dyDescent="0.25">
      <c r="A348" s="119" t="s">
        <v>210</v>
      </c>
      <c r="B348" s="120" t="s">
        <v>1271</v>
      </c>
      <c r="C348" s="108" t="str">
        <f t="shared" si="89"/>
        <v>/Applications/Stellarium.app/Contents/Resources/nebulae/default/n281.png</v>
      </c>
      <c r="D348" s="121" t="s">
        <v>1778</v>
      </c>
      <c r="E348" s="109"/>
      <c r="F348" s="122">
        <v>0</v>
      </c>
      <c r="G348" s="123">
        <v>55</v>
      </c>
      <c r="H348" s="122">
        <v>56</v>
      </c>
      <c r="I348" s="124">
        <v>13</v>
      </c>
      <c r="J348" s="112" t="s">
        <v>799</v>
      </c>
      <c r="K348" s="125">
        <v>14</v>
      </c>
      <c r="L348" s="196"/>
      <c r="M348" s="110">
        <f t="shared" si="90"/>
        <v>56.216666666666669</v>
      </c>
      <c r="N348" s="111">
        <f t="shared" si="91"/>
        <v>93.99666666666667</v>
      </c>
      <c r="O348" s="112">
        <f t="shared" si="92"/>
        <v>0.91666666666666663</v>
      </c>
      <c r="P348" s="113">
        <f t="shared" ca="1" si="93"/>
        <v>46288.476128000002</v>
      </c>
      <c r="Q348" s="114">
        <f t="shared" ca="1" si="94"/>
        <v>46303.476128000002</v>
      </c>
      <c r="R348" s="114" t="b">
        <f t="shared" ca="1" si="81"/>
        <v>1</v>
      </c>
      <c r="S348" s="115">
        <f t="shared" ca="1" si="82"/>
        <v>15</v>
      </c>
      <c r="T348" s="126">
        <f t="shared" ca="1" si="83"/>
        <v>46318.476128000002</v>
      </c>
      <c r="U348" s="127" t="str">
        <f t="shared" si="80"/>
        <v>N</v>
      </c>
      <c r="V348" s="128">
        <f t="shared" si="95"/>
        <v>86.00333333333333</v>
      </c>
      <c r="W348" s="129">
        <f t="shared" si="84"/>
        <v>86.00333333333333</v>
      </c>
      <c r="X348" s="197"/>
      <c r="Y348" s="115">
        <f t="shared" ca="1" si="85"/>
        <v>226</v>
      </c>
      <c r="Z348" s="118">
        <f t="shared" ca="1" si="86"/>
        <v>0.38082191780821917</v>
      </c>
      <c r="AA348" s="116"/>
      <c r="AB348" s="117">
        <f t="shared" si="87"/>
        <v>8.2549247009276066</v>
      </c>
      <c r="AC348" s="118">
        <f t="shared" si="88"/>
        <v>0.42728852920531696</v>
      </c>
      <c r="AE348" s="55" t="s">
        <v>0</v>
      </c>
      <c r="AF348" s="72" t="s">
        <v>47</v>
      </c>
      <c r="AG348" s="72">
        <v>585</v>
      </c>
      <c r="AH348" s="66" t="s">
        <v>61</v>
      </c>
      <c r="AJ348" t="s">
        <v>210</v>
      </c>
    </row>
    <row r="349" spans="1:36" ht="16" hidden="1" thickBot="1" x14ac:dyDescent="0.25">
      <c r="A349" s="119" t="s">
        <v>213</v>
      </c>
      <c r="B349" s="120" t="s">
        <v>1269</v>
      </c>
      <c r="C349" s="108" t="str">
        <f t="shared" si="89"/>
        <v>/Applications/Stellarium.app/Contents/Resources/nebulae/default/n300.png</v>
      </c>
      <c r="D349" s="121" t="s">
        <v>1779</v>
      </c>
      <c r="E349" s="109"/>
      <c r="F349" s="122">
        <v>0</v>
      </c>
      <c r="G349" s="123">
        <v>56</v>
      </c>
      <c r="H349" s="122">
        <v>-38</v>
      </c>
      <c r="I349" s="124">
        <v>4</v>
      </c>
      <c r="J349" s="112" t="s">
        <v>801</v>
      </c>
      <c r="K349" s="125">
        <v>12.4</v>
      </c>
      <c r="L349" s="196"/>
      <c r="M349" s="110">
        <f t="shared" si="90"/>
        <v>-37.93333333333333</v>
      </c>
      <c r="N349" s="111">
        <f t="shared" si="91"/>
        <v>-0.15333333333332888</v>
      </c>
      <c r="O349" s="112">
        <f t="shared" si="92"/>
        <v>0.93333333333333335</v>
      </c>
      <c r="P349" s="113">
        <f t="shared" ca="1" si="93"/>
        <v>46288.729767999997</v>
      </c>
      <c r="Q349" s="114">
        <f t="shared" ca="1" si="94"/>
        <v>46303.729767999997</v>
      </c>
      <c r="R349" s="114" t="b">
        <f t="shared" ca="1" si="81"/>
        <v>1</v>
      </c>
      <c r="S349" s="115">
        <f t="shared" ca="1" si="82"/>
        <v>15</v>
      </c>
      <c r="T349" s="126">
        <f t="shared" ca="1" si="83"/>
        <v>46318.729767999997</v>
      </c>
      <c r="U349" s="127" t="str">
        <f t="shared" si="80"/>
        <v>S</v>
      </c>
      <c r="V349" s="128">
        <f t="shared" si="95"/>
        <v>-0.15333333333332888</v>
      </c>
      <c r="W349" s="129">
        <f t="shared" si="84"/>
        <v>-0.15333333333332888</v>
      </c>
      <c r="X349" s="197"/>
      <c r="Y349" s="115">
        <f t="shared" ca="1" si="85"/>
        <v>225</v>
      </c>
      <c r="Z349" s="118">
        <f t="shared" ca="1" si="86"/>
        <v>0.38356164383561642</v>
      </c>
      <c r="AA349" s="116"/>
      <c r="AB349" s="117">
        <f t="shared" si="87"/>
        <v>8.2715458603664391</v>
      </c>
      <c r="AC349" s="118">
        <f t="shared" si="88"/>
        <v>0.42798107751526832</v>
      </c>
      <c r="AE349" s="55"/>
      <c r="AF349" s="72"/>
      <c r="AG349" s="72"/>
      <c r="AH349" s="66"/>
      <c r="AJ349" t="s">
        <v>213</v>
      </c>
    </row>
    <row r="350" spans="1:36" ht="16" hidden="1" thickBot="1" x14ac:dyDescent="0.25">
      <c r="A350" s="119" t="s">
        <v>228</v>
      </c>
      <c r="B350" s="120" t="s">
        <v>1207</v>
      </c>
      <c r="C350" s="108" t="str">
        <f t="shared" si="89"/>
        <v>/Applications/Stellarium.app/Contents/Resources/nebulae/default/n752.png</v>
      </c>
      <c r="D350" s="121" t="s">
        <v>1780</v>
      </c>
      <c r="E350" s="109"/>
      <c r="F350" s="122">
        <v>1</v>
      </c>
      <c r="G350" s="123">
        <v>59</v>
      </c>
      <c r="H350" s="122">
        <v>37</v>
      </c>
      <c r="I350" s="124">
        <v>22</v>
      </c>
      <c r="J350" s="112" t="s">
        <v>813</v>
      </c>
      <c r="K350" s="125">
        <v>13.9</v>
      </c>
      <c r="L350" s="196"/>
      <c r="M350" s="110">
        <f t="shared" si="90"/>
        <v>37.366666666666667</v>
      </c>
      <c r="N350" s="111">
        <f t="shared" si="91"/>
        <v>75.146666666666675</v>
      </c>
      <c r="O350" s="112">
        <f t="shared" si="92"/>
        <v>1.9833333333333334</v>
      </c>
      <c r="P350" s="113">
        <f t="shared" ca="1" si="93"/>
        <v>46304.709088000003</v>
      </c>
      <c r="Q350" s="114">
        <f t="shared" ca="1" si="94"/>
        <v>46319.709088000003</v>
      </c>
      <c r="R350" s="114" t="b">
        <f t="shared" ca="1" si="81"/>
        <v>1</v>
      </c>
      <c r="S350" s="115">
        <f t="shared" ca="1" si="82"/>
        <v>15</v>
      </c>
      <c r="T350" s="126">
        <f t="shared" ca="1" si="83"/>
        <v>46334.709088000003</v>
      </c>
      <c r="U350" s="127" t="str">
        <f t="shared" si="80"/>
        <v>S</v>
      </c>
      <c r="V350" s="128">
        <f t="shared" si="95"/>
        <v>75.146666666666675</v>
      </c>
      <c r="W350" s="129">
        <f t="shared" si="84"/>
        <v>75.146666666666675</v>
      </c>
      <c r="X350" s="197"/>
      <c r="Y350" s="115">
        <f t="shared" ca="1" si="85"/>
        <v>209</v>
      </c>
      <c r="Z350" s="118">
        <f t="shared" ca="1" si="86"/>
        <v>0.42739726027397262</v>
      </c>
      <c r="AA350" s="116"/>
      <c r="AB350" s="117">
        <f t="shared" si="87"/>
        <v>9.318678905012808</v>
      </c>
      <c r="AC350" s="118">
        <f t="shared" si="88"/>
        <v>0.47161162104220034</v>
      </c>
      <c r="AE350" s="55"/>
      <c r="AF350" s="72"/>
      <c r="AG350" s="72"/>
      <c r="AH350" s="66"/>
      <c r="AJ350" t="s">
        <v>228</v>
      </c>
    </row>
    <row r="351" spans="1:36" ht="16" hidden="1" thickBot="1" x14ac:dyDescent="0.25">
      <c r="A351" s="119" t="s">
        <v>229</v>
      </c>
      <c r="B351" s="120" t="s">
        <v>1269</v>
      </c>
      <c r="C351" s="108" t="str">
        <f t="shared" si="89"/>
        <v>/Applications/Stellarium.app/Contents/Resources/nebulae/default/n772.png</v>
      </c>
      <c r="D351" s="121" t="s">
        <v>1781</v>
      </c>
      <c r="E351" s="109"/>
      <c r="F351" s="122">
        <v>1</v>
      </c>
      <c r="G351" s="123">
        <v>59</v>
      </c>
      <c r="H351" s="122">
        <v>18</v>
      </c>
      <c r="I351" s="124">
        <v>55</v>
      </c>
      <c r="J351" s="112" t="s">
        <v>814</v>
      </c>
      <c r="K351" s="125">
        <v>13.8</v>
      </c>
      <c r="L351" s="196"/>
      <c r="M351" s="110">
        <f t="shared" si="90"/>
        <v>18.916666666666668</v>
      </c>
      <c r="N351" s="111">
        <f t="shared" si="91"/>
        <v>56.696666666666673</v>
      </c>
      <c r="O351" s="112">
        <f t="shared" si="92"/>
        <v>1.9833333333333334</v>
      </c>
      <c r="P351" s="113">
        <f t="shared" ca="1" si="93"/>
        <v>46304.709088000003</v>
      </c>
      <c r="Q351" s="114">
        <f t="shared" ca="1" si="94"/>
        <v>46319.709088000003</v>
      </c>
      <c r="R351" s="114" t="b">
        <f t="shared" ca="1" si="81"/>
        <v>1</v>
      </c>
      <c r="S351" s="115">
        <f t="shared" ca="1" si="82"/>
        <v>15</v>
      </c>
      <c r="T351" s="126">
        <f t="shared" ca="1" si="83"/>
        <v>46334.709088000003</v>
      </c>
      <c r="U351" s="127" t="str">
        <f t="shared" si="80"/>
        <v>S</v>
      </c>
      <c r="V351" s="128">
        <f t="shared" si="95"/>
        <v>56.696666666666673</v>
      </c>
      <c r="W351" s="129">
        <f t="shared" si="84"/>
        <v>56.696666666666673</v>
      </c>
      <c r="X351" s="197"/>
      <c r="Y351" s="115">
        <f t="shared" ca="1" si="85"/>
        <v>209</v>
      </c>
      <c r="Z351" s="118">
        <f t="shared" ca="1" si="86"/>
        <v>0.42739726027397262</v>
      </c>
      <c r="AA351" s="116"/>
      <c r="AB351" s="117">
        <f t="shared" si="87"/>
        <v>9.318678905012808</v>
      </c>
      <c r="AC351" s="118">
        <f t="shared" si="88"/>
        <v>0.47161162104220034</v>
      </c>
      <c r="AE351" s="55"/>
      <c r="AF351" s="72"/>
      <c r="AG351" s="72"/>
      <c r="AH351" s="66"/>
      <c r="AJ351" t="s">
        <v>229</v>
      </c>
    </row>
    <row r="352" spans="1:36" ht="16" hidden="1" thickBot="1" x14ac:dyDescent="0.25">
      <c r="A352" s="119" t="s">
        <v>661</v>
      </c>
      <c r="B352" s="120" t="s">
        <v>1414</v>
      </c>
      <c r="C352" s="108" t="str">
        <f t="shared" si="89"/>
        <v>/Applications/Stellarium.app/Contents/Resources/nebulae/default/cas.png</v>
      </c>
      <c r="D352" s="121" t="s">
        <v>1782</v>
      </c>
      <c r="E352" s="109"/>
      <c r="F352" s="122">
        <v>1</v>
      </c>
      <c r="G352" s="123">
        <v>1</v>
      </c>
      <c r="H352" s="122">
        <v>60</v>
      </c>
      <c r="I352" s="124">
        <v>50</v>
      </c>
      <c r="J352" s="112" t="s">
        <v>773</v>
      </c>
      <c r="K352" s="125">
        <v>14.6</v>
      </c>
      <c r="L352" s="196"/>
      <c r="M352" s="110">
        <f t="shared" si="90"/>
        <v>60.833333333333336</v>
      </c>
      <c r="N352" s="111">
        <f t="shared" si="91"/>
        <v>98.613333333333344</v>
      </c>
      <c r="O352" s="112">
        <f t="shared" si="92"/>
        <v>1.0166666666666666</v>
      </c>
      <c r="P352" s="113">
        <f t="shared" ca="1" si="93"/>
        <v>46289.997968000003</v>
      </c>
      <c r="Q352" s="114">
        <f t="shared" ca="1" si="94"/>
        <v>46304.997968000003</v>
      </c>
      <c r="R352" s="114" t="b">
        <f t="shared" ca="1" si="81"/>
        <v>1</v>
      </c>
      <c r="S352" s="115">
        <f t="shared" ca="1" si="82"/>
        <v>15</v>
      </c>
      <c r="T352" s="126">
        <f t="shared" ca="1" si="83"/>
        <v>46319.997968000003</v>
      </c>
      <c r="U352" s="127" t="str">
        <f t="shared" si="80"/>
        <v>N</v>
      </c>
      <c r="V352" s="128">
        <f t="shared" si="95"/>
        <v>81.386666666666656</v>
      </c>
      <c r="W352" s="129">
        <f t="shared" si="84"/>
        <v>81.386666666666656</v>
      </c>
      <c r="X352" s="197"/>
      <c r="Y352" s="115">
        <f t="shared" ca="1" si="85"/>
        <v>224</v>
      </c>
      <c r="Z352" s="118">
        <f t="shared" ca="1" si="86"/>
        <v>0.38630136986301367</v>
      </c>
      <c r="AA352" s="116"/>
      <c r="AB352" s="117">
        <f t="shared" si="87"/>
        <v>8.3546516575605931</v>
      </c>
      <c r="AC352" s="118">
        <f t="shared" si="88"/>
        <v>0.43144381906502471</v>
      </c>
      <c r="AE352" s="55"/>
      <c r="AF352" s="72"/>
      <c r="AG352" s="72"/>
      <c r="AH352" s="66"/>
      <c r="AJ352" t="s">
        <v>661</v>
      </c>
    </row>
    <row r="353" spans="1:36" ht="16" hidden="1" thickBot="1" x14ac:dyDescent="0.25">
      <c r="A353" s="119" t="s">
        <v>678</v>
      </c>
      <c r="B353" s="120" t="s">
        <v>1418</v>
      </c>
      <c r="C353" s="108" t="str">
        <f t="shared" si="89"/>
        <v>/Applications/Stellarium.app/Contents/Resources/nebulae/default/p3589.png</v>
      </c>
      <c r="D353" s="121" t="s">
        <v>1783</v>
      </c>
      <c r="E353" s="109"/>
      <c r="F353" s="122">
        <v>1</v>
      </c>
      <c r="G353" s="123">
        <v>2</v>
      </c>
      <c r="H353" s="122">
        <v>-35</v>
      </c>
      <c r="I353" s="124">
        <v>51</v>
      </c>
      <c r="J353" s="112" t="s">
        <v>1103</v>
      </c>
      <c r="K353" s="125">
        <v>15</v>
      </c>
      <c r="L353" s="196"/>
      <c r="M353" s="110">
        <f t="shared" si="90"/>
        <v>-34.15</v>
      </c>
      <c r="N353" s="111">
        <f t="shared" si="91"/>
        <v>3.6300000000000026</v>
      </c>
      <c r="O353" s="112">
        <f t="shared" si="92"/>
        <v>1.0333333333333334</v>
      </c>
      <c r="P353" s="113">
        <f t="shared" ca="1" si="93"/>
        <v>46290.251607999999</v>
      </c>
      <c r="Q353" s="114">
        <f t="shared" ca="1" si="94"/>
        <v>46305.251607999999</v>
      </c>
      <c r="R353" s="114" t="b">
        <f t="shared" ca="1" si="81"/>
        <v>1</v>
      </c>
      <c r="S353" s="115">
        <f t="shared" ca="1" si="82"/>
        <v>15</v>
      </c>
      <c r="T353" s="126">
        <f t="shared" ca="1" si="83"/>
        <v>46320.251607999999</v>
      </c>
      <c r="U353" s="127" t="str">
        <f t="shared" si="80"/>
        <v>S</v>
      </c>
      <c r="V353" s="128">
        <f t="shared" si="95"/>
        <v>3.6300000000000026</v>
      </c>
      <c r="W353" s="129">
        <f t="shared" si="84"/>
        <v>3.6300000000000026</v>
      </c>
      <c r="X353" s="197"/>
      <c r="Y353" s="115">
        <f t="shared" ca="1" si="85"/>
        <v>224</v>
      </c>
      <c r="Z353" s="118">
        <f t="shared" ca="1" si="86"/>
        <v>0.38630136986301367</v>
      </c>
      <c r="AA353" s="116"/>
      <c r="AB353" s="117">
        <f t="shared" si="87"/>
        <v>8.3712728169994257</v>
      </c>
      <c r="AC353" s="118">
        <f t="shared" si="88"/>
        <v>0.43213636737497607</v>
      </c>
      <c r="AE353" s="55"/>
      <c r="AF353" s="72"/>
      <c r="AG353" s="72"/>
      <c r="AH353" s="66"/>
      <c r="AJ353" t="s">
        <v>678</v>
      </c>
    </row>
    <row r="354" spans="1:36" ht="16" hidden="1" thickBot="1" x14ac:dyDescent="0.25">
      <c r="A354" s="119" t="s">
        <v>214</v>
      </c>
      <c r="B354" s="120" t="s">
        <v>1191</v>
      </c>
      <c r="C354" s="108" t="str">
        <f t="shared" si="89"/>
        <v>/Applications/Stellarium.app/Contents/Resources/nebulae/default/n362.png</v>
      </c>
      <c r="D354" s="121" t="s">
        <v>1784</v>
      </c>
      <c r="E354" s="109"/>
      <c r="F354" s="122">
        <v>1</v>
      </c>
      <c r="G354" s="123">
        <v>5</v>
      </c>
      <c r="H354" s="122">
        <v>-72</v>
      </c>
      <c r="I354" s="124">
        <v>58</v>
      </c>
      <c r="J354" s="112" t="s">
        <v>802</v>
      </c>
      <c r="K354" s="125">
        <v>14.5</v>
      </c>
      <c r="L354" s="196"/>
      <c r="M354" s="110">
        <f t="shared" si="90"/>
        <v>-71.033333333333331</v>
      </c>
      <c r="N354" s="111">
        <f t="shared" si="91"/>
        <v>-33.25333333333333</v>
      </c>
      <c r="O354" s="112">
        <f t="shared" si="92"/>
        <v>1.0833333333333333</v>
      </c>
      <c r="P354" s="113">
        <f t="shared" ca="1" si="93"/>
        <v>46291.012527999999</v>
      </c>
      <c r="Q354" s="114">
        <f t="shared" ca="1" si="94"/>
        <v>46306.012527999999</v>
      </c>
      <c r="R354" s="114" t="b">
        <f t="shared" ca="1" si="81"/>
        <v>1</v>
      </c>
      <c r="S354" s="115">
        <f t="shared" ca="1" si="82"/>
        <v>15</v>
      </c>
      <c r="T354" s="126">
        <f t="shared" ca="1" si="83"/>
        <v>46321.012527999999</v>
      </c>
      <c r="U354" s="127" t="str">
        <f t="shared" si="80"/>
        <v>S</v>
      </c>
      <c r="V354" s="128">
        <f t="shared" si="95"/>
        <v>-33.25333333333333</v>
      </c>
      <c r="W354" s="129">
        <f t="shared" si="84"/>
        <v>-33.25333333333333</v>
      </c>
      <c r="X354" s="197"/>
      <c r="Y354" s="115">
        <f t="shared" ca="1" si="85"/>
        <v>223</v>
      </c>
      <c r="Z354" s="118">
        <f t="shared" ca="1" si="86"/>
        <v>0.38904109589041092</v>
      </c>
      <c r="AA354" s="116"/>
      <c r="AB354" s="117">
        <f t="shared" si="87"/>
        <v>8.4211362953159199</v>
      </c>
      <c r="AC354" s="118">
        <f t="shared" si="88"/>
        <v>0.43421401230482998</v>
      </c>
      <c r="AE354" s="55"/>
      <c r="AF354" s="72"/>
      <c r="AG354" s="72"/>
      <c r="AH354" s="66"/>
      <c r="AJ354" t="s">
        <v>214</v>
      </c>
    </row>
    <row r="355" spans="1:36" ht="16" hidden="1" thickBot="1" x14ac:dyDescent="0.25">
      <c r="A355" s="119" t="s">
        <v>581</v>
      </c>
      <c r="B355" s="120" t="s">
        <v>1291</v>
      </c>
      <c r="C355" s="108" t="str">
        <f t="shared" si="89"/>
        <v>/Applications/Stellarium.app/Contents/Resources/nebulae/default/ic1613.png</v>
      </c>
      <c r="D355" s="121" t="s">
        <v>1785</v>
      </c>
      <c r="E355" s="109"/>
      <c r="F355" s="122">
        <v>1</v>
      </c>
      <c r="G355" s="123">
        <v>5</v>
      </c>
      <c r="H355" s="122">
        <v>1</v>
      </c>
      <c r="I355" s="124">
        <v>56</v>
      </c>
      <c r="J355" s="112" t="s">
        <v>1099</v>
      </c>
      <c r="K355" s="125">
        <v>14.9</v>
      </c>
      <c r="L355" s="196"/>
      <c r="M355" s="110">
        <f t="shared" si="90"/>
        <v>1.9333333333333333</v>
      </c>
      <c r="N355" s="111">
        <f t="shared" si="91"/>
        <v>39.713333333333331</v>
      </c>
      <c r="O355" s="112">
        <f t="shared" si="92"/>
        <v>1.0833333333333333</v>
      </c>
      <c r="P355" s="113">
        <f t="shared" ca="1" si="93"/>
        <v>46291.012527999999</v>
      </c>
      <c r="Q355" s="114">
        <f t="shared" ca="1" si="94"/>
        <v>46306.012527999999</v>
      </c>
      <c r="R355" s="114" t="b">
        <f t="shared" ca="1" si="81"/>
        <v>1</v>
      </c>
      <c r="S355" s="115">
        <f t="shared" ca="1" si="82"/>
        <v>15</v>
      </c>
      <c r="T355" s="126">
        <f t="shared" ca="1" si="83"/>
        <v>46321.012527999999</v>
      </c>
      <c r="U355" s="127" t="str">
        <f t="shared" si="80"/>
        <v>S</v>
      </c>
      <c r="V355" s="128">
        <f t="shared" si="95"/>
        <v>39.713333333333331</v>
      </c>
      <c r="W355" s="129">
        <f t="shared" si="84"/>
        <v>39.713333333333331</v>
      </c>
      <c r="X355" s="197"/>
      <c r="Y355" s="115">
        <f t="shared" ca="1" si="85"/>
        <v>223</v>
      </c>
      <c r="Z355" s="118">
        <f t="shared" ca="1" si="86"/>
        <v>0.38904109589041092</v>
      </c>
      <c r="AA355" s="116"/>
      <c r="AB355" s="117">
        <f t="shared" si="87"/>
        <v>8.4211362953159199</v>
      </c>
      <c r="AC355" s="118">
        <f t="shared" si="88"/>
        <v>0.43421401230482998</v>
      </c>
      <c r="AE355" s="55"/>
      <c r="AF355" s="72"/>
      <c r="AG355" s="72"/>
      <c r="AH355" s="66"/>
      <c r="AJ355" t="s">
        <v>581</v>
      </c>
    </row>
    <row r="356" spans="1:36" ht="16" hidden="1" thickBot="1" x14ac:dyDescent="0.25">
      <c r="A356" s="119" t="s">
        <v>215</v>
      </c>
      <c r="B356" s="120" t="s">
        <v>1273</v>
      </c>
      <c r="C356" s="108" t="str">
        <f t="shared" si="89"/>
        <v>/Applications/Stellarium.app/Contents/Resources/nebulae/default/n404.png</v>
      </c>
      <c r="D356" s="121" t="s">
        <v>1786</v>
      </c>
      <c r="E356" s="109"/>
      <c r="F356" s="122">
        <v>1</v>
      </c>
      <c r="G356" s="123">
        <v>10</v>
      </c>
      <c r="H356" s="122">
        <v>35</v>
      </c>
      <c r="I356" s="124">
        <v>29</v>
      </c>
      <c r="J356" s="112" t="s">
        <v>760</v>
      </c>
      <c r="K356" s="125">
        <v>14.8</v>
      </c>
      <c r="L356" s="196"/>
      <c r="M356" s="110">
        <f t="shared" si="90"/>
        <v>35.483333333333334</v>
      </c>
      <c r="N356" s="111">
        <f t="shared" si="91"/>
        <v>73.263333333333335</v>
      </c>
      <c r="O356" s="112">
        <f t="shared" si="92"/>
        <v>1.1666666666666667</v>
      </c>
      <c r="P356" s="113">
        <f t="shared" ca="1" si="93"/>
        <v>46292.280727999998</v>
      </c>
      <c r="Q356" s="114">
        <f t="shared" ca="1" si="94"/>
        <v>46307.280727999998</v>
      </c>
      <c r="R356" s="114" t="b">
        <f t="shared" ca="1" si="81"/>
        <v>1</v>
      </c>
      <c r="S356" s="115">
        <f t="shared" ca="1" si="82"/>
        <v>15</v>
      </c>
      <c r="T356" s="126">
        <f t="shared" ca="1" si="83"/>
        <v>46322.280727999998</v>
      </c>
      <c r="U356" s="127" t="str">
        <f t="shared" si="80"/>
        <v>S</v>
      </c>
      <c r="V356" s="128">
        <f t="shared" si="95"/>
        <v>73.263333333333335</v>
      </c>
      <c r="W356" s="129">
        <f t="shared" si="84"/>
        <v>73.263333333333335</v>
      </c>
      <c r="X356" s="197"/>
      <c r="Y356" s="115">
        <f t="shared" ca="1" si="85"/>
        <v>222</v>
      </c>
      <c r="Z356" s="118">
        <f t="shared" ca="1" si="86"/>
        <v>0.39178082191780816</v>
      </c>
      <c r="AA356" s="116"/>
      <c r="AB356" s="117">
        <f t="shared" si="87"/>
        <v>8.5042420925100757</v>
      </c>
      <c r="AC356" s="118">
        <f t="shared" si="88"/>
        <v>0.43767675385458649</v>
      </c>
      <c r="AE356" s="55"/>
      <c r="AF356" s="72"/>
      <c r="AG356" s="72"/>
      <c r="AH356" s="66"/>
      <c r="AJ356" t="s">
        <v>215</v>
      </c>
    </row>
    <row r="357" spans="1:36" ht="16" hidden="1" thickBot="1" x14ac:dyDescent="0.25">
      <c r="A357" s="119" t="s">
        <v>216</v>
      </c>
      <c r="B357" s="120" t="s">
        <v>1274</v>
      </c>
      <c r="C357" s="108" t="str">
        <f t="shared" si="89"/>
        <v>/Applications/Stellarium.app/Contents/Resources/nebulae/default/n457-vasey.png</v>
      </c>
      <c r="D357" s="121" t="s">
        <v>1787</v>
      </c>
      <c r="E357" s="109"/>
      <c r="F357" s="122">
        <v>1</v>
      </c>
      <c r="G357" s="123">
        <v>20</v>
      </c>
      <c r="H357" s="122">
        <v>58</v>
      </c>
      <c r="I357" s="124">
        <v>2</v>
      </c>
      <c r="J357" s="112" t="s">
        <v>727</v>
      </c>
      <c r="K357" s="125">
        <v>13.4</v>
      </c>
      <c r="L357" s="196"/>
      <c r="M357" s="110">
        <f t="shared" si="90"/>
        <v>58.033333333333331</v>
      </c>
      <c r="N357" s="111">
        <f t="shared" si="91"/>
        <v>95.813333333333333</v>
      </c>
      <c r="O357" s="112">
        <f t="shared" si="92"/>
        <v>1.3333333333333333</v>
      </c>
      <c r="P357" s="113">
        <f t="shared" ca="1" si="93"/>
        <v>46294.817128000002</v>
      </c>
      <c r="Q357" s="114">
        <f t="shared" ca="1" si="94"/>
        <v>46309.817128000002</v>
      </c>
      <c r="R357" s="114" t="b">
        <f t="shared" ca="1" si="81"/>
        <v>1</v>
      </c>
      <c r="S357" s="115">
        <f t="shared" ca="1" si="82"/>
        <v>15</v>
      </c>
      <c r="T357" s="126">
        <f t="shared" ca="1" si="83"/>
        <v>46324.817128000002</v>
      </c>
      <c r="U357" s="127" t="str">
        <f t="shared" si="80"/>
        <v>N</v>
      </c>
      <c r="V357" s="128">
        <f t="shared" si="95"/>
        <v>84.186666666666667</v>
      </c>
      <c r="W357" s="129">
        <f t="shared" si="84"/>
        <v>84.186666666666667</v>
      </c>
      <c r="X357" s="197"/>
      <c r="Y357" s="115">
        <f t="shared" ca="1" si="85"/>
        <v>219</v>
      </c>
      <c r="Z357" s="118">
        <f t="shared" ca="1" si="86"/>
        <v>0.4</v>
      </c>
      <c r="AA357" s="116"/>
      <c r="AB357" s="117">
        <f t="shared" si="87"/>
        <v>8.670453686898389</v>
      </c>
      <c r="AC357" s="118">
        <f t="shared" si="88"/>
        <v>0.44460223695409956</v>
      </c>
      <c r="AE357" s="55"/>
      <c r="AF357" s="72"/>
      <c r="AG357" s="72"/>
      <c r="AH357" s="66"/>
      <c r="AJ357" t="s">
        <v>216</v>
      </c>
    </row>
    <row r="358" spans="1:36" ht="16" hidden="1" thickBot="1" x14ac:dyDescent="0.25">
      <c r="A358" s="119" t="s">
        <v>217</v>
      </c>
      <c r="B358" s="120" t="s">
        <v>1230</v>
      </c>
      <c r="C358" s="108" t="str">
        <f t="shared" si="89"/>
        <v>/Applications/Stellarium.app/Contents/Resources/nebulae/default/n474-vasey.png</v>
      </c>
      <c r="D358" s="121" t="s">
        <v>1788</v>
      </c>
      <c r="E358" s="109"/>
      <c r="F358" s="122">
        <v>1</v>
      </c>
      <c r="G358" s="123">
        <v>20</v>
      </c>
      <c r="H358" s="122">
        <v>3</v>
      </c>
      <c r="I358" s="124">
        <v>16</v>
      </c>
      <c r="J358" s="112" t="s">
        <v>803</v>
      </c>
      <c r="K358" s="125">
        <v>13.4</v>
      </c>
      <c r="L358" s="196"/>
      <c r="M358" s="110">
        <f t="shared" si="90"/>
        <v>3.2666666666666666</v>
      </c>
      <c r="N358" s="111">
        <f t="shared" si="91"/>
        <v>41.046666666666667</v>
      </c>
      <c r="O358" s="112">
        <f t="shared" si="92"/>
        <v>1.3333333333333333</v>
      </c>
      <c r="P358" s="113">
        <f t="shared" ca="1" si="93"/>
        <v>46294.817128000002</v>
      </c>
      <c r="Q358" s="114">
        <f t="shared" ca="1" si="94"/>
        <v>46309.817128000002</v>
      </c>
      <c r="R358" s="114" t="b">
        <f t="shared" ca="1" si="81"/>
        <v>1</v>
      </c>
      <c r="S358" s="115">
        <f t="shared" ca="1" si="82"/>
        <v>15</v>
      </c>
      <c r="T358" s="126">
        <f t="shared" ca="1" si="83"/>
        <v>46324.817128000002</v>
      </c>
      <c r="U358" s="127" t="str">
        <f t="shared" si="80"/>
        <v>S</v>
      </c>
      <c r="V358" s="128">
        <f t="shared" si="95"/>
        <v>41.046666666666667</v>
      </c>
      <c r="W358" s="129">
        <f t="shared" si="84"/>
        <v>41.046666666666667</v>
      </c>
      <c r="X358" s="197"/>
      <c r="Y358" s="115">
        <f t="shared" ca="1" si="85"/>
        <v>219</v>
      </c>
      <c r="Z358" s="118">
        <f t="shared" ca="1" si="86"/>
        <v>0.4</v>
      </c>
      <c r="AA358" s="116"/>
      <c r="AB358" s="117">
        <f t="shared" si="87"/>
        <v>8.670453686898389</v>
      </c>
      <c r="AC358" s="118">
        <f t="shared" si="88"/>
        <v>0.44460223695409956</v>
      </c>
      <c r="AE358" s="55"/>
      <c r="AF358" s="72"/>
      <c r="AG358" s="72"/>
      <c r="AH358" s="66"/>
      <c r="AJ358" t="s">
        <v>217</v>
      </c>
    </row>
    <row r="359" spans="1:36" ht="16" hidden="1" thickBot="1" x14ac:dyDescent="0.25">
      <c r="A359" s="119" t="s">
        <v>662</v>
      </c>
      <c r="B359" s="120" t="s">
        <v>1415</v>
      </c>
      <c r="C359" s="108" t="str">
        <f t="shared" si="89"/>
        <v>/Applications/Stellarium.app/Contents/Resources/nebulae/default/u1810.png</v>
      </c>
      <c r="D359" s="121" t="s">
        <v>1789</v>
      </c>
      <c r="E359" s="109"/>
      <c r="F359" s="122">
        <v>2</v>
      </c>
      <c r="G359" s="123">
        <v>21</v>
      </c>
      <c r="H359" s="122">
        <v>39</v>
      </c>
      <c r="I359" s="124">
        <v>20</v>
      </c>
      <c r="J359" s="112" t="s">
        <v>1148</v>
      </c>
      <c r="K359" s="125">
        <v>13.5</v>
      </c>
      <c r="L359" s="196"/>
      <c r="M359" s="110">
        <f t="shared" si="90"/>
        <v>39.333333333333336</v>
      </c>
      <c r="N359" s="111">
        <f t="shared" si="91"/>
        <v>77.113333333333344</v>
      </c>
      <c r="O359" s="112">
        <f t="shared" si="92"/>
        <v>2.35</v>
      </c>
      <c r="P359" s="113">
        <f t="shared" ca="1" si="93"/>
        <v>46310.289168000003</v>
      </c>
      <c r="Q359" s="114">
        <f t="shared" ca="1" si="94"/>
        <v>46325.289168000003</v>
      </c>
      <c r="R359" s="114" t="b">
        <f t="shared" ca="1" si="81"/>
        <v>0</v>
      </c>
      <c r="S359" s="115">
        <f t="shared" ca="1" si="82"/>
        <v>0</v>
      </c>
      <c r="T359" s="126">
        <f t="shared" ca="1" si="83"/>
        <v>46325.289168000003</v>
      </c>
      <c r="U359" s="127" t="str">
        <f t="shared" si="80"/>
        <v>S</v>
      </c>
      <c r="V359" s="128">
        <f t="shared" si="95"/>
        <v>77.113333333333344</v>
      </c>
      <c r="W359" s="129">
        <f t="shared" si="84"/>
        <v>77.113333333333344</v>
      </c>
      <c r="X359" s="197"/>
      <c r="Y359" s="115">
        <f t="shared" ca="1" si="85"/>
        <v>204</v>
      </c>
      <c r="Z359" s="118">
        <f t="shared" ca="1" si="86"/>
        <v>0.44109589041095887</v>
      </c>
      <c r="AA359" s="116"/>
      <c r="AB359" s="117">
        <f t="shared" si="87"/>
        <v>9.6843444126670946</v>
      </c>
      <c r="AC359" s="118">
        <f t="shared" si="88"/>
        <v>0.48684768386112892</v>
      </c>
      <c r="AE359" s="55"/>
      <c r="AF359" s="72"/>
      <c r="AG359" s="72"/>
      <c r="AH359" s="66"/>
      <c r="AJ359" t="s">
        <v>662</v>
      </c>
    </row>
    <row r="360" spans="1:36" ht="16" hidden="1" thickBot="1" x14ac:dyDescent="0.25">
      <c r="A360" s="119" t="s">
        <v>218</v>
      </c>
      <c r="B360" s="120" t="s">
        <v>1269</v>
      </c>
      <c r="C360" s="108" t="str">
        <f t="shared" si="89"/>
        <v>/Applications/Stellarium.app/Contents/Resources/nebulae/default/n488-vasey.png</v>
      </c>
      <c r="D360" s="121" t="s">
        <v>1790</v>
      </c>
      <c r="E360" s="109"/>
      <c r="F360" s="122">
        <v>1</v>
      </c>
      <c r="G360" s="123">
        <v>22</v>
      </c>
      <c r="H360" s="122">
        <v>5</v>
      </c>
      <c r="I360" s="124">
        <v>5</v>
      </c>
      <c r="J360" s="112" t="s">
        <v>804</v>
      </c>
      <c r="K360" s="125">
        <v>13.4</v>
      </c>
      <c r="L360" s="196"/>
      <c r="M360" s="110">
        <f t="shared" si="90"/>
        <v>5.083333333333333</v>
      </c>
      <c r="N360" s="111">
        <f t="shared" si="91"/>
        <v>42.863333333333337</v>
      </c>
      <c r="O360" s="112">
        <f t="shared" si="92"/>
        <v>1.3666666666666667</v>
      </c>
      <c r="P360" s="113">
        <f t="shared" ca="1" si="93"/>
        <v>46295.324408</v>
      </c>
      <c r="Q360" s="114">
        <f t="shared" ca="1" si="94"/>
        <v>46310.324408</v>
      </c>
      <c r="R360" s="114" t="b">
        <f t="shared" ca="1" si="81"/>
        <v>1</v>
      </c>
      <c r="S360" s="115">
        <f t="shared" ca="1" si="82"/>
        <v>15</v>
      </c>
      <c r="T360" s="126">
        <f t="shared" ca="1" si="83"/>
        <v>46325.324408</v>
      </c>
      <c r="U360" s="127" t="str">
        <f t="shared" si="80"/>
        <v>S</v>
      </c>
      <c r="V360" s="128">
        <f t="shared" si="95"/>
        <v>42.863333333333337</v>
      </c>
      <c r="W360" s="129">
        <f t="shared" si="84"/>
        <v>42.863333333333337</v>
      </c>
      <c r="X360" s="197"/>
      <c r="Y360" s="115">
        <f t="shared" ca="1" si="85"/>
        <v>219</v>
      </c>
      <c r="Z360" s="118">
        <f t="shared" ca="1" si="86"/>
        <v>0.4</v>
      </c>
      <c r="AA360" s="116"/>
      <c r="AB360" s="117">
        <f t="shared" si="87"/>
        <v>8.7036960057760506</v>
      </c>
      <c r="AC360" s="118">
        <f t="shared" si="88"/>
        <v>0.44598733357400211</v>
      </c>
      <c r="AE360" s="55"/>
      <c r="AF360" s="72"/>
      <c r="AG360" s="72"/>
      <c r="AH360" s="66"/>
      <c r="AJ360" t="s">
        <v>218</v>
      </c>
    </row>
    <row r="361" spans="1:36" ht="16" hidden="1" thickBot="1" x14ac:dyDescent="0.25">
      <c r="A361" s="119" t="s">
        <v>231</v>
      </c>
      <c r="B361" s="120" t="s">
        <v>1269</v>
      </c>
      <c r="C361" s="108" t="str">
        <f t="shared" si="89"/>
        <v>/Applications/Stellarium.app/Contents/Resources/nebulae/default/n891.png</v>
      </c>
      <c r="D361" s="121" t="s">
        <v>1791</v>
      </c>
      <c r="E361" s="109"/>
      <c r="F361" s="122">
        <v>2</v>
      </c>
      <c r="G361" s="123">
        <v>23</v>
      </c>
      <c r="H361" s="122">
        <v>42</v>
      </c>
      <c r="I361" s="124">
        <v>13</v>
      </c>
      <c r="J361" s="112" t="s">
        <v>815</v>
      </c>
      <c r="K361" s="125">
        <v>13</v>
      </c>
      <c r="L361" s="196"/>
      <c r="M361" s="110">
        <f t="shared" si="90"/>
        <v>42.216666666666669</v>
      </c>
      <c r="N361" s="111">
        <f t="shared" si="91"/>
        <v>79.99666666666667</v>
      </c>
      <c r="O361" s="112">
        <f t="shared" si="92"/>
        <v>2.3833333333333333</v>
      </c>
      <c r="P361" s="113">
        <f t="shared" ca="1" si="93"/>
        <v>46310.796448000001</v>
      </c>
      <c r="Q361" s="114">
        <f t="shared" ca="1" si="94"/>
        <v>46325.796448000001</v>
      </c>
      <c r="R361" s="114" t="b">
        <f t="shared" ca="1" si="81"/>
        <v>0</v>
      </c>
      <c r="S361" s="115">
        <f t="shared" ca="1" si="82"/>
        <v>0</v>
      </c>
      <c r="T361" s="126">
        <f t="shared" ca="1" si="83"/>
        <v>46325.796448000001</v>
      </c>
      <c r="U361" s="127" t="str">
        <f t="shared" si="80"/>
        <v>S</v>
      </c>
      <c r="V361" s="128">
        <f t="shared" si="95"/>
        <v>79.99666666666667</v>
      </c>
      <c r="W361" s="129">
        <f t="shared" si="84"/>
        <v>79.99666666666667</v>
      </c>
      <c r="X361" s="197"/>
      <c r="Y361" s="115">
        <f t="shared" ca="1" si="85"/>
        <v>203</v>
      </c>
      <c r="Z361" s="118">
        <f t="shared" ca="1" si="86"/>
        <v>0.44383561643835612</v>
      </c>
      <c r="AA361" s="116"/>
      <c r="AB361" s="117">
        <f t="shared" si="87"/>
        <v>9.7175867315447562</v>
      </c>
      <c r="AC361" s="118">
        <f t="shared" si="88"/>
        <v>0.48823278048103153</v>
      </c>
      <c r="AE361" s="55"/>
      <c r="AF361" s="72"/>
      <c r="AG361" s="72"/>
      <c r="AH361" s="66"/>
      <c r="AJ361" t="s">
        <v>231</v>
      </c>
    </row>
    <row r="362" spans="1:36" ht="16" hidden="1" thickBot="1" x14ac:dyDescent="0.25">
      <c r="A362" s="119" t="s">
        <v>232</v>
      </c>
      <c r="B362" s="120" t="s">
        <v>1269</v>
      </c>
      <c r="C362" s="108" t="str">
        <f t="shared" si="89"/>
        <v>/Applications/Stellarium.app/Contents/Resources/nebulae/default/n908.png</v>
      </c>
      <c r="D362" s="121" t="s">
        <v>1792</v>
      </c>
      <c r="E362" s="109"/>
      <c r="F362" s="122">
        <v>2</v>
      </c>
      <c r="G362" s="123">
        <v>23</v>
      </c>
      <c r="H362" s="122">
        <v>-22</v>
      </c>
      <c r="I362" s="124">
        <v>43</v>
      </c>
      <c r="J362" s="112" t="s">
        <v>816</v>
      </c>
      <c r="K362" s="125">
        <v>14.5</v>
      </c>
      <c r="L362" s="196"/>
      <c r="M362" s="110">
        <f t="shared" si="90"/>
        <v>-21.283333333333335</v>
      </c>
      <c r="N362" s="111">
        <f t="shared" si="91"/>
        <v>16.496666666666666</v>
      </c>
      <c r="O362" s="112">
        <f t="shared" si="92"/>
        <v>2.3833333333333333</v>
      </c>
      <c r="P362" s="113">
        <f t="shared" ca="1" si="93"/>
        <v>46310.796448000001</v>
      </c>
      <c r="Q362" s="114">
        <f t="shared" ca="1" si="94"/>
        <v>46325.796448000001</v>
      </c>
      <c r="R362" s="114" t="b">
        <f t="shared" ca="1" si="81"/>
        <v>0</v>
      </c>
      <c r="S362" s="115">
        <f t="shared" ca="1" si="82"/>
        <v>0</v>
      </c>
      <c r="T362" s="126">
        <f t="shared" ca="1" si="83"/>
        <v>46325.796448000001</v>
      </c>
      <c r="U362" s="127" t="str">
        <f t="shared" si="80"/>
        <v>S</v>
      </c>
      <c r="V362" s="128">
        <f t="shared" si="95"/>
        <v>16.496666666666666</v>
      </c>
      <c r="W362" s="129">
        <f t="shared" si="84"/>
        <v>16.496666666666666</v>
      </c>
      <c r="X362" s="197"/>
      <c r="Y362" s="115">
        <f t="shared" ca="1" si="85"/>
        <v>203</v>
      </c>
      <c r="Z362" s="118">
        <f t="shared" ca="1" si="86"/>
        <v>0.44383561643835612</v>
      </c>
      <c r="AA362" s="116"/>
      <c r="AB362" s="117">
        <f t="shared" si="87"/>
        <v>9.7175867315447562</v>
      </c>
      <c r="AC362" s="118">
        <f t="shared" si="88"/>
        <v>0.48823278048103153</v>
      </c>
      <c r="AE362" s="55"/>
      <c r="AF362" s="72"/>
      <c r="AG362" s="72"/>
      <c r="AH362" s="66"/>
      <c r="AJ362" t="s">
        <v>232</v>
      </c>
    </row>
    <row r="363" spans="1:36" ht="16" hidden="1" thickBot="1" x14ac:dyDescent="0.25">
      <c r="A363" s="119" t="s">
        <v>219</v>
      </c>
      <c r="B363" s="120" t="s">
        <v>1275</v>
      </c>
      <c r="C363" s="108" t="str">
        <f t="shared" si="89"/>
        <v>/Applications/Stellarium.app/Contents/Resources/nebulae/default/n520.png</v>
      </c>
      <c r="D363" s="121" t="s">
        <v>1793</v>
      </c>
      <c r="E363" s="109"/>
      <c r="F363" s="122">
        <v>1</v>
      </c>
      <c r="G363" s="123">
        <v>24</v>
      </c>
      <c r="H363" s="122">
        <v>3</v>
      </c>
      <c r="I363" s="124">
        <v>44</v>
      </c>
      <c r="J363" s="112" t="s">
        <v>805</v>
      </c>
      <c r="K363" s="125">
        <v>13.8</v>
      </c>
      <c r="L363" s="196"/>
      <c r="M363" s="110">
        <f t="shared" si="90"/>
        <v>3.7333333333333334</v>
      </c>
      <c r="N363" s="111">
        <f t="shared" si="91"/>
        <v>41.513333333333335</v>
      </c>
      <c r="O363" s="112">
        <f t="shared" si="92"/>
        <v>1.4</v>
      </c>
      <c r="P363" s="113">
        <f t="shared" ca="1" si="93"/>
        <v>46295.831687999998</v>
      </c>
      <c r="Q363" s="114">
        <f t="shared" ca="1" si="94"/>
        <v>46310.831687999998</v>
      </c>
      <c r="R363" s="114" t="b">
        <f t="shared" ca="1" si="81"/>
        <v>1</v>
      </c>
      <c r="S363" s="115">
        <f t="shared" ca="1" si="82"/>
        <v>15</v>
      </c>
      <c r="T363" s="126">
        <f t="shared" ca="1" si="83"/>
        <v>46325.831687999998</v>
      </c>
      <c r="U363" s="127" t="str">
        <f t="shared" si="80"/>
        <v>S</v>
      </c>
      <c r="V363" s="128">
        <f t="shared" si="95"/>
        <v>41.513333333333335</v>
      </c>
      <c r="W363" s="129">
        <f t="shared" si="84"/>
        <v>41.513333333333335</v>
      </c>
      <c r="X363" s="197"/>
      <c r="Y363" s="115">
        <f t="shared" ca="1" si="85"/>
        <v>218</v>
      </c>
      <c r="Z363" s="118">
        <f t="shared" ca="1" si="86"/>
        <v>0.40273972602739727</v>
      </c>
      <c r="AA363" s="116"/>
      <c r="AB363" s="117">
        <f t="shared" si="87"/>
        <v>8.736938324653714</v>
      </c>
      <c r="AC363" s="118">
        <f t="shared" si="88"/>
        <v>0.44737243019390477</v>
      </c>
      <c r="AE363" s="55"/>
      <c r="AF363" s="72"/>
      <c r="AG363" s="72"/>
      <c r="AH363" s="66"/>
      <c r="AJ363" t="s">
        <v>219</v>
      </c>
    </row>
    <row r="364" spans="1:36" ht="16" hidden="1" thickBot="1" x14ac:dyDescent="0.25">
      <c r="A364" s="119" t="s">
        <v>230</v>
      </c>
      <c r="B364" s="120" t="s">
        <v>1207</v>
      </c>
      <c r="C364" s="108" t="str">
        <f t="shared" si="89"/>
        <v>/Applications/Stellarium.app/Contents/Resources/nebulae/default/n869-884spano.png</v>
      </c>
      <c r="D364" s="121" t="s">
        <v>1794</v>
      </c>
      <c r="E364" s="109"/>
      <c r="F364" s="122">
        <v>2</v>
      </c>
      <c r="G364" s="123">
        <v>24</v>
      </c>
      <c r="H364" s="122">
        <v>56</v>
      </c>
      <c r="I364" s="124">
        <v>38</v>
      </c>
      <c r="J364" s="112" t="s">
        <v>746</v>
      </c>
      <c r="K364" s="125">
        <v>12.8</v>
      </c>
      <c r="L364" s="196"/>
      <c r="M364" s="110">
        <f t="shared" si="90"/>
        <v>56.633333333333333</v>
      </c>
      <c r="N364" s="111">
        <f t="shared" si="91"/>
        <v>94.413333333333327</v>
      </c>
      <c r="O364" s="112">
        <f t="shared" si="92"/>
        <v>2.4</v>
      </c>
      <c r="P364" s="113">
        <f t="shared" ca="1" si="93"/>
        <v>46311.050088000004</v>
      </c>
      <c r="Q364" s="114">
        <f t="shared" ca="1" si="94"/>
        <v>46326.050088000004</v>
      </c>
      <c r="R364" s="114" t="b">
        <f t="shared" ca="1" si="81"/>
        <v>0</v>
      </c>
      <c r="S364" s="115">
        <f t="shared" ca="1" si="82"/>
        <v>0</v>
      </c>
      <c r="T364" s="126">
        <f t="shared" ca="1" si="83"/>
        <v>46326.050088000004</v>
      </c>
      <c r="U364" s="127" t="str">
        <f t="shared" si="80"/>
        <v>N</v>
      </c>
      <c r="V364" s="128">
        <f t="shared" si="95"/>
        <v>85.586666666666673</v>
      </c>
      <c r="W364" s="129">
        <f t="shared" si="84"/>
        <v>85.586666666666673</v>
      </c>
      <c r="X364" s="197"/>
      <c r="Y364" s="115">
        <f t="shared" ca="1" si="85"/>
        <v>203</v>
      </c>
      <c r="Z364" s="118">
        <f t="shared" ca="1" si="86"/>
        <v>0.44383561643835612</v>
      </c>
      <c r="AA364" s="116"/>
      <c r="AB364" s="117">
        <f t="shared" si="87"/>
        <v>9.7342078909835887</v>
      </c>
      <c r="AC364" s="118">
        <f t="shared" si="88"/>
        <v>0.48892532879098288</v>
      </c>
      <c r="AE364" s="55"/>
      <c r="AF364" s="72"/>
      <c r="AG364" s="72"/>
      <c r="AH364" s="66"/>
      <c r="AJ364" t="s">
        <v>230</v>
      </c>
    </row>
    <row r="365" spans="1:36" ht="16" hidden="1" thickBot="1" x14ac:dyDescent="0.25">
      <c r="A365" s="119" t="s">
        <v>220</v>
      </c>
      <c r="B365" s="120" t="s">
        <v>1230</v>
      </c>
      <c r="C365" s="108" t="str">
        <f t="shared" si="89"/>
        <v>/Applications/Stellarium.app/Contents/Resources/nebulae/default/n529.png</v>
      </c>
      <c r="D365" s="121" t="s">
        <v>1795</v>
      </c>
      <c r="E365" s="109"/>
      <c r="F365" s="122">
        <v>1</v>
      </c>
      <c r="G365" s="123">
        <v>26</v>
      </c>
      <c r="H365" s="122">
        <v>34</v>
      </c>
      <c r="I365" s="124">
        <v>36</v>
      </c>
      <c r="J365" s="112" t="s">
        <v>806</v>
      </c>
      <c r="K365" s="125">
        <v>13.8</v>
      </c>
      <c r="L365" s="196"/>
      <c r="M365" s="110">
        <f t="shared" si="90"/>
        <v>34.6</v>
      </c>
      <c r="N365" s="111">
        <f t="shared" si="91"/>
        <v>72.38</v>
      </c>
      <c r="O365" s="112">
        <f t="shared" si="92"/>
        <v>1.4333333333333333</v>
      </c>
      <c r="P365" s="113">
        <f t="shared" ca="1" si="93"/>
        <v>46296.338967999996</v>
      </c>
      <c r="Q365" s="114">
        <f t="shared" ca="1" si="94"/>
        <v>46311.338967999996</v>
      </c>
      <c r="R365" s="114" t="b">
        <f t="shared" ca="1" si="81"/>
        <v>1</v>
      </c>
      <c r="S365" s="115">
        <f t="shared" ca="1" si="82"/>
        <v>15</v>
      </c>
      <c r="T365" s="126">
        <f t="shared" ca="1" si="83"/>
        <v>46326.338967999996</v>
      </c>
      <c r="U365" s="127" t="str">
        <f t="shared" si="80"/>
        <v>S</v>
      </c>
      <c r="V365" s="128">
        <f t="shared" si="95"/>
        <v>72.38</v>
      </c>
      <c r="W365" s="129">
        <f t="shared" si="84"/>
        <v>72.38</v>
      </c>
      <c r="X365" s="197"/>
      <c r="Y365" s="115">
        <f t="shared" ca="1" si="85"/>
        <v>218</v>
      </c>
      <c r="Z365" s="118">
        <f t="shared" ca="1" si="86"/>
        <v>0.40273972602739727</v>
      </c>
      <c r="AA365" s="116"/>
      <c r="AB365" s="117">
        <f t="shared" si="87"/>
        <v>8.7701806435313756</v>
      </c>
      <c r="AC365" s="118">
        <f t="shared" si="88"/>
        <v>0.44875752681380732</v>
      </c>
      <c r="AE365" s="55"/>
      <c r="AF365" s="72"/>
      <c r="AG365" s="72"/>
      <c r="AH365" s="66"/>
      <c r="AJ365" t="s">
        <v>220</v>
      </c>
    </row>
    <row r="366" spans="1:36" ht="16" hidden="1" thickBot="1" x14ac:dyDescent="0.25">
      <c r="A366" s="119" t="s">
        <v>221</v>
      </c>
      <c r="B366" s="120" t="s">
        <v>1230</v>
      </c>
      <c r="C366" s="108" t="str">
        <f t="shared" si="89"/>
        <v>/Applications/Stellarium.app/Contents/Resources/nebulae/default/n547.png</v>
      </c>
      <c r="D366" s="121" t="s">
        <v>1796</v>
      </c>
      <c r="E366" s="109"/>
      <c r="F366" s="122">
        <v>1</v>
      </c>
      <c r="G366" s="123">
        <v>26</v>
      </c>
      <c r="H366" s="122">
        <v>-2</v>
      </c>
      <c r="I366" s="124">
        <v>13</v>
      </c>
      <c r="J366" s="112" t="s">
        <v>807</v>
      </c>
      <c r="K366" s="125">
        <v>13.9</v>
      </c>
      <c r="L366" s="196"/>
      <c r="M366" s="110">
        <f t="shared" si="90"/>
        <v>-1.7833333333333332</v>
      </c>
      <c r="N366" s="111">
        <f t="shared" si="91"/>
        <v>35.99666666666667</v>
      </c>
      <c r="O366" s="112">
        <f t="shared" si="92"/>
        <v>1.4333333333333333</v>
      </c>
      <c r="P366" s="113">
        <f t="shared" ca="1" si="93"/>
        <v>46296.338967999996</v>
      </c>
      <c r="Q366" s="114">
        <f t="shared" ca="1" si="94"/>
        <v>46311.338967999996</v>
      </c>
      <c r="R366" s="114" t="b">
        <f t="shared" ca="1" si="81"/>
        <v>1</v>
      </c>
      <c r="S366" s="115">
        <f t="shared" ca="1" si="82"/>
        <v>15</v>
      </c>
      <c r="T366" s="126">
        <f t="shared" ca="1" si="83"/>
        <v>46326.338967999996</v>
      </c>
      <c r="U366" s="127" t="str">
        <f t="shared" si="80"/>
        <v>S</v>
      </c>
      <c r="V366" s="128">
        <f t="shared" si="95"/>
        <v>35.99666666666667</v>
      </c>
      <c r="W366" s="129">
        <f t="shared" si="84"/>
        <v>35.99666666666667</v>
      </c>
      <c r="X366" s="197"/>
      <c r="Y366" s="115">
        <f t="shared" ca="1" si="85"/>
        <v>218</v>
      </c>
      <c r="Z366" s="118">
        <f t="shared" ca="1" si="86"/>
        <v>0.40273972602739727</v>
      </c>
      <c r="AA366" s="116"/>
      <c r="AB366" s="117">
        <f t="shared" si="87"/>
        <v>8.7701806435313756</v>
      </c>
      <c r="AC366" s="118">
        <f t="shared" si="88"/>
        <v>0.44875752681380732</v>
      </c>
      <c r="AE366" s="55"/>
      <c r="AF366" s="72"/>
      <c r="AG366" s="72"/>
      <c r="AH366" s="66"/>
      <c r="AJ366" t="s">
        <v>221</v>
      </c>
    </row>
    <row r="367" spans="1:36" ht="16" hidden="1" thickBot="1" x14ac:dyDescent="0.25">
      <c r="A367" s="119" t="s">
        <v>233</v>
      </c>
      <c r="B367" s="120" t="s">
        <v>1269</v>
      </c>
      <c r="C367" s="108" t="str">
        <f t="shared" si="89"/>
        <v>/Applications/Stellarium.app/Contents/Resources/nebulae/default/n918.png</v>
      </c>
      <c r="D367" s="121" t="s">
        <v>1797</v>
      </c>
      <c r="E367" s="109"/>
      <c r="F367" s="122">
        <v>2</v>
      </c>
      <c r="G367" s="123">
        <v>26</v>
      </c>
      <c r="H367" s="122">
        <v>18</v>
      </c>
      <c r="I367" s="124">
        <v>17</v>
      </c>
      <c r="J367" s="112" t="s">
        <v>817</v>
      </c>
      <c r="K367" s="125">
        <v>14.7</v>
      </c>
      <c r="L367" s="196"/>
      <c r="M367" s="110">
        <f t="shared" si="90"/>
        <v>18.283333333333335</v>
      </c>
      <c r="N367" s="111">
        <f t="shared" si="91"/>
        <v>56.063333333333333</v>
      </c>
      <c r="O367" s="112">
        <f t="shared" si="92"/>
        <v>2.4333333333333336</v>
      </c>
      <c r="P367" s="113">
        <f t="shared" ca="1" si="93"/>
        <v>46311.557368000002</v>
      </c>
      <c r="Q367" s="114">
        <f t="shared" ca="1" si="94"/>
        <v>46326.557368000002</v>
      </c>
      <c r="R367" s="114" t="b">
        <f t="shared" ca="1" si="81"/>
        <v>0</v>
      </c>
      <c r="S367" s="115">
        <f t="shared" ca="1" si="82"/>
        <v>0</v>
      </c>
      <c r="T367" s="126">
        <f t="shared" ca="1" si="83"/>
        <v>46326.557368000002</v>
      </c>
      <c r="U367" s="127" t="str">
        <f t="shared" si="80"/>
        <v>S</v>
      </c>
      <c r="V367" s="128">
        <f t="shared" si="95"/>
        <v>56.063333333333333</v>
      </c>
      <c r="W367" s="129">
        <f t="shared" si="84"/>
        <v>56.063333333333333</v>
      </c>
      <c r="X367" s="197"/>
      <c r="Y367" s="115">
        <f t="shared" ca="1" si="85"/>
        <v>202</v>
      </c>
      <c r="Z367" s="118">
        <f t="shared" ca="1" si="86"/>
        <v>0.44657534246575348</v>
      </c>
      <c r="AA367" s="116"/>
      <c r="AB367" s="117">
        <f t="shared" si="87"/>
        <v>9.7674502098612503</v>
      </c>
      <c r="AC367" s="118">
        <f t="shared" si="88"/>
        <v>0.49031042541088543</v>
      </c>
      <c r="AE367" s="55"/>
      <c r="AF367" s="72"/>
      <c r="AG367" s="72"/>
      <c r="AH367" s="66"/>
      <c r="AJ367" t="s">
        <v>233</v>
      </c>
    </row>
    <row r="368" spans="1:36" ht="16" hidden="1" thickBot="1" x14ac:dyDescent="0.25">
      <c r="A368" s="119" t="s">
        <v>234</v>
      </c>
      <c r="B368" s="120" t="s">
        <v>1272</v>
      </c>
      <c r="C368" s="108" t="str">
        <f t="shared" si="89"/>
        <v>/Applications/Stellarium.app/Contents/Resources/nebulae/default/n925.png</v>
      </c>
      <c r="D368" s="121" t="s">
        <v>1798</v>
      </c>
      <c r="E368" s="109"/>
      <c r="F368" s="122">
        <v>2</v>
      </c>
      <c r="G368" s="123">
        <v>27</v>
      </c>
      <c r="H368" s="122">
        <v>33</v>
      </c>
      <c r="I368" s="124">
        <v>29</v>
      </c>
      <c r="J368" s="112" t="s">
        <v>818</v>
      </c>
      <c r="K368" s="125">
        <v>13.8</v>
      </c>
      <c r="L368" s="196"/>
      <c r="M368" s="110">
        <f t="shared" si="90"/>
        <v>33.483333333333334</v>
      </c>
      <c r="N368" s="111">
        <f t="shared" si="91"/>
        <v>71.263333333333335</v>
      </c>
      <c r="O368" s="112">
        <f t="shared" si="92"/>
        <v>2.4500000000000002</v>
      </c>
      <c r="P368" s="113">
        <f t="shared" ca="1" si="93"/>
        <v>46311.811007999997</v>
      </c>
      <c r="Q368" s="114">
        <f t="shared" ca="1" si="94"/>
        <v>46326.811007999997</v>
      </c>
      <c r="R368" s="114" t="b">
        <f t="shared" ca="1" si="81"/>
        <v>0</v>
      </c>
      <c r="S368" s="115">
        <f t="shared" ca="1" si="82"/>
        <v>0</v>
      </c>
      <c r="T368" s="126">
        <f t="shared" ca="1" si="83"/>
        <v>46326.811007999997</v>
      </c>
      <c r="U368" s="127" t="str">
        <f t="shared" si="80"/>
        <v>S</v>
      </c>
      <c r="V368" s="128">
        <f t="shared" si="95"/>
        <v>71.263333333333335</v>
      </c>
      <c r="W368" s="129">
        <f t="shared" si="84"/>
        <v>71.263333333333335</v>
      </c>
      <c r="X368" s="197"/>
      <c r="Y368" s="115">
        <f t="shared" ca="1" si="85"/>
        <v>202</v>
      </c>
      <c r="Z368" s="118">
        <f t="shared" ca="1" si="86"/>
        <v>0.44657534246575348</v>
      </c>
      <c r="AA368" s="116"/>
      <c r="AB368" s="117">
        <f t="shared" si="87"/>
        <v>9.7840713693000811</v>
      </c>
      <c r="AC368" s="118">
        <f t="shared" si="88"/>
        <v>0.49100297372083673</v>
      </c>
      <c r="AE368" s="55"/>
      <c r="AF368" s="72"/>
      <c r="AG368" s="72"/>
      <c r="AH368" s="66"/>
      <c r="AJ368" t="s">
        <v>234</v>
      </c>
    </row>
    <row r="369" spans="1:36" ht="16" hidden="1" thickBot="1" x14ac:dyDescent="0.25">
      <c r="A369" s="119" t="s">
        <v>235</v>
      </c>
      <c r="B369" s="120" t="s">
        <v>1230</v>
      </c>
      <c r="C369" s="108" t="str">
        <f t="shared" si="89"/>
        <v>/Applications/Stellarium.app/Contents/Resources/nebulae/default/n936.png</v>
      </c>
      <c r="D369" s="121" t="s">
        <v>1799</v>
      </c>
      <c r="E369" s="109"/>
      <c r="F369" s="122">
        <v>2</v>
      </c>
      <c r="G369" s="123">
        <v>27</v>
      </c>
      <c r="H369" s="122">
        <v>-2</v>
      </c>
      <c r="I369" s="124">
        <v>47</v>
      </c>
      <c r="J369" s="112" t="s">
        <v>819</v>
      </c>
      <c r="K369" s="125">
        <v>13.6</v>
      </c>
      <c r="L369" s="196"/>
      <c r="M369" s="110">
        <f t="shared" si="90"/>
        <v>-1.2166666666666668</v>
      </c>
      <c r="N369" s="111">
        <f t="shared" si="91"/>
        <v>36.563333333333333</v>
      </c>
      <c r="O369" s="112">
        <f t="shared" si="92"/>
        <v>2.4500000000000002</v>
      </c>
      <c r="P369" s="113">
        <f t="shared" ca="1" si="93"/>
        <v>46311.811007999997</v>
      </c>
      <c r="Q369" s="114">
        <f t="shared" ca="1" si="94"/>
        <v>46326.811007999997</v>
      </c>
      <c r="R369" s="114" t="b">
        <f t="shared" ca="1" si="81"/>
        <v>0</v>
      </c>
      <c r="S369" s="115">
        <f t="shared" ca="1" si="82"/>
        <v>0</v>
      </c>
      <c r="T369" s="126">
        <f t="shared" ca="1" si="83"/>
        <v>46326.811007999997</v>
      </c>
      <c r="U369" s="127" t="str">
        <f t="shared" si="80"/>
        <v>S</v>
      </c>
      <c r="V369" s="128">
        <f t="shared" si="95"/>
        <v>36.563333333333333</v>
      </c>
      <c r="W369" s="129">
        <f t="shared" si="84"/>
        <v>36.563333333333333</v>
      </c>
      <c r="X369" s="197"/>
      <c r="Y369" s="115">
        <f t="shared" ca="1" si="85"/>
        <v>202</v>
      </c>
      <c r="Z369" s="118">
        <f t="shared" ca="1" si="86"/>
        <v>0.44657534246575348</v>
      </c>
      <c r="AA369" s="116"/>
      <c r="AB369" s="117">
        <f t="shared" si="87"/>
        <v>9.7840713693000811</v>
      </c>
      <c r="AC369" s="118">
        <f t="shared" si="88"/>
        <v>0.49100297372083673</v>
      </c>
      <c r="AE369" s="55"/>
      <c r="AF369" s="72"/>
      <c r="AG369" s="72"/>
      <c r="AH369" s="66"/>
      <c r="AJ369" t="s">
        <v>235</v>
      </c>
    </row>
    <row r="370" spans="1:36" ht="16" hidden="1" thickBot="1" x14ac:dyDescent="0.25">
      <c r="A370" s="119" t="s">
        <v>630</v>
      </c>
      <c r="B370" s="120" t="s">
        <v>1277</v>
      </c>
      <c r="C370" s="108" t="str">
        <f t="shared" si="89"/>
        <v>/Applications/Stellarium.app/Contents/Resources/nebulae/default/sh2-188-vasey.png</v>
      </c>
      <c r="D370" s="121" t="s">
        <v>1800</v>
      </c>
      <c r="E370" s="109"/>
      <c r="F370" s="122">
        <v>1</v>
      </c>
      <c r="G370" s="123">
        <v>31</v>
      </c>
      <c r="H370" s="122">
        <v>58</v>
      </c>
      <c r="I370" s="124">
        <v>18</v>
      </c>
      <c r="J370" s="112" t="s">
        <v>1113</v>
      </c>
      <c r="K370" s="125">
        <v>13.4</v>
      </c>
      <c r="L370" s="196"/>
      <c r="M370" s="110">
        <f t="shared" si="90"/>
        <v>58.3</v>
      </c>
      <c r="N370" s="111">
        <f t="shared" si="91"/>
        <v>96.08</v>
      </c>
      <c r="O370" s="112">
        <f t="shared" si="92"/>
        <v>1.5166666666666666</v>
      </c>
      <c r="P370" s="113">
        <f t="shared" ca="1" si="93"/>
        <v>46297.607168000002</v>
      </c>
      <c r="Q370" s="114">
        <f t="shared" ca="1" si="94"/>
        <v>46312.607168000002</v>
      </c>
      <c r="R370" s="114" t="b">
        <f t="shared" ca="1" si="81"/>
        <v>1</v>
      </c>
      <c r="S370" s="115">
        <f t="shared" ca="1" si="82"/>
        <v>15</v>
      </c>
      <c r="T370" s="126">
        <f t="shared" ca="1" si="83"/>
        <v>46327.607168000002</v>
      </c>
      <c r="U370" s="127" t="str">
        <f t="shared" si="80"/>
        <v>N</v>
      </c>
      <c r="V370" s="128">
        <f t="shared" si="95"/>
        <v>83.92</v>
      </c>
      <c r="W370" s="129">
        <f t="shared" si="84"/>
        <v>83.92</v>
      </c>
      <c r="X370" s="197"/>
      <c r="Y370" s="115">
        <f t="shared" ca="1" si="85"/>
        <v>216</v>
      </c>
      <c r="Z370" s="118">
        <f t="shared" ca="1" si="86"/>
        <v>0.40821917808219177</v>
      </c>
      <c r="AA370" s="116"/>
      <c r="AB370" s="117">
        <f t="shared" si="87"/>
        <v>8.8532864407255314</v>
      </c>
      <c r="AC370" s="118">
        <f t="shared" si="88"/>
        <v>0.45222026836356383</v>
      </c>
      <c r="AE370" s="55"/>
      <c r="AF370" s="72"/>
      <c r="AG370" s="72"/>
      <c r="AH370" s="66"/>
      <c r="AJ370" t="s">
        <v>630</v>
      </c>
    </row>
    <row r="371" spans="1:36" ht="16" hidden="1" thickBot="1" x14ac:dyDescent="0.25">
      <c r="A371" s="119" t="s">
        <v>190</v>
      </c>
      <c r="B371" s="120" t="s">
        <v>1207</v>
      </c>
      <c r="C371" s="108" t="str">
        <f t="shared" si="89"/>
        <v>/Applications/Stellarium.app/Contents/Resources/nebulae/default/m103.png</v>
      </c>
      <c r="D371" s="121" t="s">
        <v>1801</v>
      </c>
      <c r="E371" s="109"/>
      <c r="F371" s="122">
        <v>1</v>
      </c>
      <c r="G371" s="123">
        <v>34</v>
      </c>
      <c r="H371" s="122">
        <v>60</v>
      </c>
      <c r="I371" s="124">
        <v>34</v>
      </c>
      <c r="J371" s="112" t="s">
        <v>760</v>
      </c>
      <c r="K371" s="125">
        <v>12.5</v>
      </c>
      <c r="L371" s="196"/>
      <c r="M371" s="110">
        <f t="shared" si="90"/>
        <v>60.56666666666667</v>
      </c>
      <c r="N371" s="111">
        <f t="shared" si="91"/>
        <v>98.346666666666664</v>
      </c>
      <c r="O371" s="112">
        <f t="shared" si="92"/>
        <v>1.5666666666666667</v>
      </c>
      <c r="P371" s="113">
        <f t="shared" ca="1" si="93"/>
        <v>46298.368088000003</v>
      </c>
      <c r="Q371" s="114">
        <f t="shared" ca="1" si="94"/>
        <v>46313.368088000003</v>
      </c>
      <c r="R371" s="114" t="b">
        <f t="shared" ca="1" si="81"/>
        <v>1</v>
      </c>
      <c r="S371" s="115">
        <f t="shared" ca="1" si="82"/>
        <v>15</v>
      </c>
      <c r="T371" s="126">
        <f t="shared" ca="1" si="83"/>
        <v>46328.368088000003</v>
      </c>
      <c r="U371" s="127" t="str">
        <f t="shared" si="80"/>
        <v>N</v>
      </c>
      <c r="V371" s="128">
        <f t="shared" si="95"/>
        <v>81.653333333333336</v>
      </c>
      <c r="W371" s="129">
        <f t="shared" si="84"/>
        <v>81.653333333333336</v>
      </c>
      <c r="X371" s="197"/>
      <c r="Y371" s="115">
        <f t="shared" ca="1" si="85"/>
        <v>216</v>
      </c>
      <c r="Z371" s="118">
        <f t="shared" ca="1" si="86"/>
        <v>0.40821917808219177</v>
      </c>
      <c r="AA371" s="116"/>
      <c r="AB371" s="117">
        <f t="shared" si="87"/>
        <v>8.9031499190420256</v>
      </c>
      <c r="AC371" s="118">
        <f t="shared" si="88"/>
        <v>0.45429791329341773</v>
      </c>
      <c r="AE371" s="55"/>
      <c r="AF371" s="72"/>
      <c r="AG371" s="72"/>
      <c r="AH371" s="66"/>
      <c r="AJ371" t="s">
        <v>190</v>
      </c>
    </row>
    <row r="372" spans="1:36" ht="16" hidden="1" thickBot="1" x14ac:dyDescent="0.25">
      <c r="A372" s="119" t="s">
        <v>222</v>
      </c>
      <c r="B372" s="120" t="s">
        <v>1269</v>
      </c>
      <c r="C372" s="108" t="str">
        <f t="shared" si="89"/>
        <v>/Applications/Stellarium.app/Contents/Resources/nebulae/default/n613.png</v>
      </c>
      <c r="D372" s="121" t="s">
        <v>1802</v>
      </c>
      <c r="E372" s="109"/>
      <c r="F372" s="122">
        <v>1</v>
      </c>
      <c r="G372" s="123">
        <v>34</v>
      </c>
      <c r="H372" s="122">
        <v>-30</v>
      </c>
      <c r="I372" s="124">
        <v>31</v>
      </c>
      <c r="J372" s="112" t="s">
        <v>808</v>
      </c>
      <c r="K372" s="125">
        <v>13.5</v>
      </c>
      <c r="L372" s="196"/>
      <c r="M372" s="110">
        <f t="shared" si="90"/>
        <v>-29.483333333333334</v>
      </c>
      <c r="N372" s="111">
        <f t="shared" si="91"/>
        <v>8.2966666666666669</v>
      </c>
      <c r="O372" s="112">
        <f t="shared" si="92"/>
        <v>1.5666666666666667</v>
      </c>
      <c r="P372" s="113">
        <f t="shared" ca="1" si="93"/>
        <v>46298.368088000003</v>
      </c>
      <c r="Q372" s="114">
        <f t="shared" ca="1" si="94"/>
        <v>46313.368088000003</v>
      </c>
      <c r="R372" s="114" t="b">
        <f t="shared" ca="1" si="81"/>
        <v>1</v>
      </c>
      <c r="S372" s="115">
        <f t="shared" ca="1" si="82"/>
        <v>15</v>
      </c>
      <c r="T372" s="126">
        <f t="shared" ca="1" si="83"/>
        <v>46328.368088000003</v>
      </c>
      <c r="U372" s="127" t="str">
        <f t="shared" ref="U372:U435" si="96">IF(N372&lt;90,"S","N")</f>
        <v>S</v>
      </c>
      <c r="V372" s="128">
        <f t="shared" si="95"/>
        <v>8.2966666666666669</v>
      </c>
      <c r="W372" s="129">
        <f t="shared" si="84"/>
        <v>8.2966666666666669</v>
      </c>
      <c r="X372" s="197"/>
      <c r="Y372" s="115">
        <f t="shared" ca="1" si="85"/>
        <v>216</v>
      </c>
      <c r="Z372" s="118">
        <f t="shared" ca="1" si="86"/>
        <v>0.40821917808219177</v>
      </c>
      <c r="AA372" s="116"/>
      <c r="AB372" s="117">
        <f t="shared" si="87"/>
        <v>8.9031499190420256</v>
      </c>
      <c r="AC372" s="118">
        <f t="shared" si="88"/>
        <v>0.45429791329341773</v>
      </c>
      <c r="AE372" s="55"/>
      <c r="AF372" s="72"/>
      <c r="AG372" s="72"/>
      <c r="AH372" s="66"/>
      <c r="AJ372" t="s">
        <v>222</v>
      </c>
    </row>
    <row r="373" spans="1:36" ht="16" hidden="1" thickBot="1" x14ac:dyDescent="0.25">
      <c r="A373" s="119" t="s">
        <v>566</v>
      </c>
      <c r="B373" s="120" t="s">
        <v>1269</v>
      </c>
      <c r="C373" s="108" t="str">
        <f t="shared" si="89"/>
        <v>/Applications/Stellarium.app/Contents/Resources/nebulae/default/ic239.png</v>
      </c>
      <c r="D373" s="121" t="s">
        <v>1803</v>
      </c>
      <c r="E373" s="109"/>
      <c r="F373" s="122">
        <v>2</v>
      </c>
      <c r="G373" s="123">
        <v>36</v>
      </c>
      <c r="H373" s="122">
        <v>38</v>
      </c>
      <c r="I373" s="124">
        <v>57</v>
      </c>
      <c r="J373" s="112" t="s">
        <v>1089</v>
      </c>
      <c r="K373" s="125">
        <v>14.3</v>
      </c>
      <c r="L373" s="196"/>
      <c r="M373" s="110">
        <f t="shared" si="90"/>
        <v>38.950000000000003</v>
      </c>
      <c r="N373" s="111">
        <f t="shared" si="91"/>
        <v>76.73</v>
      </c>
      <c r="O373" s="112">
        <f t="shared" si="92"/>
        <v>2.6</v>
      </c>
      <c r="P373" s="113">
        <f t="shared" ca="1" si="93"/>
        <v>46314.093767999999</v>
      </c>
      <c r="Q373" s="114">
        <f t="shared" ca="1" si="94"/>
        <v>46329.093767999999</v>
      </c>
      <c r="R373" s="114" t="b">
        <f t="shared" ca="1" si="81"/>
        <v>0</v>
      </c>
      <c r="S373" s="115">
        <f t="shared" ca="1" si="82"/>
        <v>0</v>
      </c>
      <c r="T373" s="126">
        <f t="shared" ca="1" si="83"/>
        <v>46329.093767999999</v>
      </c>
      <c r="U373" s="127" t="str">
        <f t="shared" si="96"/>
        <v>S</v>
      </c>
      <c r="V373" s="128">
        <f t="shared" si="95"/>
        <v>76.73</v>
      </c>
      <c r="W373" s="129">
        <f t="shared" si="84"/>
        <v>76.73</v>
      </c>
      <c r="X373" s="197"/>
      <c r="Y373" s="115">
        <f t="shared" ca="1" si="85"/>
        <v>200</v>
      </c>
      <c r="Z373" s="118">
        <f t="shared" ca="1" si="86"/>
        <v>0.45205479452054798</v>
      </c>
      <c r="AA373" s="116"/>
      <c r="AB373" s="117">
        <f t="shared" si="87"/>
        <v>9.9336618042495619</v>
      </c>
      <c r="AC373" s="118">
        <f t="shared" si="88"/>
        <v>0.49723590851039839</v>
      </c>
      <c r="AE373" s="55"/>
      <c r="AF373" s="72"/>
      <c r="AG373" s="72"/>
      <c r="AH373" s="66"/>
      <c r="AJ373" t="s">
        <v>566</v>
      </c>
    </row>
    <row r="374" spans="1:36" ht="16" hidden="1" thickBot="1" x14ac:dyDescent="0.25">
      <c r="A374" s="119" t="s">
        <v>163</v>
      </c>
      <c r="B374" s="120" t="s">
        <v>1195</v>
      </c>
      <c r="C374" s="108" t="str">
        <f t="shared" si="89"/>
        <v>/Applications/Stellarium.app/Contents/Resources/nebulae/default/m74.png</v>
      </c>
      <c r="D374" s="121" t="s">
        <v>1804</v>
      </c>
      <c r="E374" s="109"/>
      <c r="F374" s="122">
        <v>1</v>
      </c>
      <c r="G374" s="123">
        <v>37</v>
      </c>
      <c r="H374" s="122">
        <v>15</v>
      </c>
      <c r="I374" s="124">
        <v>40</v>
      </c>
      <c r="J374" s="112" t="s">
        <v>762</v>
      </c>
      <c r="K374" s="125">
        <v>14.6</v>
      </c>
      <c r="L374" s="196"/>
      <c r="M374" s="110">
        <f t="shared" si="90"/>
        <v>15.666666666666666</v>
      </c>
      <c r="N374" s="111">
        <f t="shared" si="91"/>
        <v>53.446666666666665</v>
      </c>
      <c r="O374" s="112">
        <f t="shared" si="92"/>
        <v>1.6166666666666667</v>
      </c>
      <c r="P374" s="113">
        <f t="shared" ca="1" si="93"/>
        <v>46299.129008000004</v>
      </c>
      <c r="Q374" s="114">
        <f t="shared" ca="1" si="94"/>
        <v>46314.129008000004</v>
      </c>
      <c r="R374" s="114" t="b">
        <f t="shared" ca="1" si="81"/>
        <v>1</v>
      </c>
      <c r="S374" s="115">
        <f t="shared" ca="1" si="82"/>
        <v>15</v>
      </c>
      <c r="T374" s="126">
        <f t="shared" ca="1" si="83"/>
        <v>46329.129008000004</v>
      </c>
      <c r="U374" s="127" t="str">
        <f t="shared" si="96"/>
        <v>S</v>
      </c>
      <c r="V374" s="128">
        <f t="shared" si="95"/>
        <v>53.446666666666665</v>
      </c>
      <c r="W374" s="129">
        <f t="shared" si="84"/>
        <v>53.446666666666665</v>
      </c>
      <c r="X374" s="197"/>
      <c r="Y374" s="115">
        <f t="shared" ca="1" si="85"/>
        <v>215</v>
      </c>
      <c r="Z374" s="118">
        <f t="shared" ca="1" si="86"/>
        <v>0.41095890410958902</v>
      </c>
      <c r="AA374" s="116"/>
      <c r="AB374" s="117">
        <f t="shared" si="87"/>
        <v>8.9530133973585198</v>
      </c>
      <c r="AC374" s="118">
        <f t="shared" si="88"/>
        <v>0.45637555822327164</v>
      </c>
      <c r="AE374" s="55"/>
      <c r="AF374" s="72"/>
      <c r="AG374" s="72"/>
      <c r="AH374" s="66"/>
      <c r="AJ374" t="s">
        <v>163</v>
      </c>
    </row>
    <row r="375" spans="1:36" ht="16" hidden="1" thickBot="1" x14ac:dyDescent="0.25">
      <c r="A375" s="119" t="s">
        <v>124</v>
      </c>
      <c r="B375" s="120" t="s">
        <v>1213</v>
      </c>
      <c r="C375" s="108" t="str">
        <f t="shared" si="89"/>
        <v>/Applications/Stellarium.app/Contents/Resources/nebulae/default/m33.png</v>
      </c>
      <c r="D375" s="121" t="s">
        <v>1805</v>
      </c>
      <c r="E375" s="109"/>
      <c r="F375" s="122">
        <v>1</v>
      </c>
      <c r="G375" s="123">
        <v>38</v>
      </c>
      <c r="H375" s="122">
        <v>30</v>
      </c>
      <c r="I375" s="124">
        <v>35</v>
      </c>
      <c r="J375" s="112" t="s">
        <v>739</v>
      </c>
      <c r="K375" s="125">
        <v>13.4</v>
      </c>
      <c r="L375" s="196"/>
      <c r="M375" s="110">
        <f t="shared" si="90"/>
        <v>30.583333333333332</v>
      </c>
      <c r="N375" s="111">
        <f t="shared" si="91"/>
        <v>68.36333333333333</v>
      </c>
      <c r="O375" s="112">
        <f t="shared" si="92"/>
        <v>1.6333333333333333</v>
      </c>
      <c r="P375" s="113">
        <f t="shared" ca="1" si="93"/>
        <v>46299.382647999999</v>
      </c>
      <c r="Q375" s="114">
        <f t="shared" ca="1" si="94"/>
        <v>46314.382647999999</v>
      </c>
      <c r="R375" s="114" t="b">
        <f t="shared" ca="1" si="81"/>
        <v>1</v>
      </c>
      <c r="S375" s="115">
        <f t="shared" ca="1" si="82"/>
        <v>15</v>
      </c>
      <c r="T375" s="126">
        <f t="shared" ca="1" si="83"/>
        <v>46329.382647999999</v>
      </c>
      <c r="U375" s="127" t="str">
        <f t="shared" si="96"/>
        <v>S</v>
      </c>
      <c r="V375" s="128">
        <f t="shared" si="95"/>
        <v>68.36333333333333</v>
      </c>
      <c r="W375" s="129">
        <f t="shared" si="84"/>
        <v>68.36333333333333</v>
      </c>
      <c r="X375" s="197"/>
      <c r="Y375" s="115">
        <f t="shared" ca="1" si="85"/>
        <v>215</v>
      </c>
      <c r="Z375" s="118">
        <f t="shared" ca="1" si="86"/>
        <v>0.41095890410958902</v>
      </c>
      <c r="AA375" s="116"/>
      <c r="AB375" s="117">
        <f t="shared" si="87"/>
        <v>8.9696345567973506</v>
      </c>
      <c r="AC375" s="118">
        <f t="shared" si="88"/>
        <v>0.45706810653322294</v>
      </c>
      <c r="AE375" s="55"/>
      <c r="AF375" s="72"/>
      <c r="AG375" s="72"/>
      <c r="AH375" s="66"/>
      <c r="AJ375" t="s">
        <v>124</v>
      </c>
    </row>
    <row r="376" spans="1:36" ht="16" hidden="1" thickBot="1" x14ac:dyDescent="0.25">
      <c r="A376" s="119" t="s">
        <v>236</v>
      </c>
      <c r="B376" s="120" t="s">
        <v>1230</v>
      </c>
      <c r="C376" s="108" t="str">
        <f t="shared" si="89"/>
        <v>/Applications/Stellarium.app/Contents/Resources/nebulae/default/n1023.png</v>
      </c>
      <c r="D376" s="121" t="s">
        <v>1806</v>
      </c>
      <c r="E376" s="109"/>
      <c r="F376" s="122">
        <v>2</v>
      </c>
      <c r="G376" s="123">
        <v>40</v>
      </c>
      <c r="H376" s="122">
        <v>38</v>
      </c>
      <c r="I376" s="124">
        <v>58</v>
      </c>
      <c r="J376" s="112" t="s">
        <v>820</v>
      </c>
      <c r="K376" s="125">
        <v>13.4</v>
      </c>
      <c r="L376" s="196"/>
      <c r="M376" s="110">
        <f t="shared" si="90"/>
        <v>38.966666666666669</v>
      </c>
      <c r="N376" s="111">
        <f t="shared" si="91"/>
        <v>76.74666666666667</v>
      </c>
      <c r="O376" s="112">
        <f t="shared" si="92"/>
        <v>2.6666666666666665</v>
      </c>
      <c r="P376" s="113">
        <f t="shared" ca="1" si="93"/>
        <v>46315.108328000002</v>
      </c>
      <c r="Q376" s="114">
        <f t="shared" ca="1" si="94"/>
        <v>46330.108328000002</v>
      </c>
      <c r="R376" s="114" t="b">
        <f t="shared" ca="1" si="81"/>
        <v>0</v>
      </c>
      <c r="S376" s="115">
        <f t="shared" ca="1" si="82"/>
        <v>0</v>
      </c>
      <c r="T376" s="126">
        <f t="shared" ca="1" si="83"/>
        <v>46330.108328000002</v>
      </c>
      <c r="U376" s="127" t="str">
        <f t="shared" si="96"/>
        <v>S</v>
      </c>
      <c r="V376" s="128">
        <f t="shared" si="95"/>
        <v>76.74666666666667</v>
      </c>
      <c r="W376" s="129">
        <f t="shared" si="84"/>
        <v>76.74666666666667</v>
      </c>
      <c r="X376" s="197"/>
      <c r="Y376" s="115">
        <f t="shared" ca="1" si="85"/>
        <v>199</v>
      </c>
      <c r="Z376" s="118">
        <f t="shared" ca="1" si="86"/>
        <v>0.45479452054794522</v>
      </c>
      <c r="AA376" s="116"/>
      <c r="AB376" s="117">
        <f t="shared" si="87"/>
        <v>10.000146442004887</v>
      </c>
      <c r="AC376" s="118">
        <f t="shared" si="88"/>
        <v>0.50000610175020366</v>
      </c>
      <c r="AE376" s="55"/>
      <c r="AF376" s="72"/>
      <c r="AG376" s="72"/>
      <c r="AH376" s="66"/>
      <c r="AJ376" t="s">
        <v>236</v>
      </c>
    </row>
    <row r="377" spans="1:36" ht="16" hidden="1" thickBot="1" x14ac:dyDescent="0.25">
      <c r="A377" s="119" t="s">
        <v>237</v>
      </c>
      <c r="B377" s="120" t="s">
        <v>1272</v>
      </c>
      <c r="C377" s="108" t="str">
        <f t="shared" si="89"/>
        <v>/Applications/Stellarium.app/Contents/Resources/nebulae/default/n1042.png</v>
      </c>
      <c r="D377" s="121" t="s">
        <v>1807</v>
      </c>
      <c r="E377" s="109"/>
      <c r="F377" s="122">
        <v>2</v>
      </c>
      <c r="G377" s="123">
        <v>41</v>
      </c>
      <c r="H377" s="122">
        <v>-9</v>
      </c>
      <c r="I377" s="124">
        <v>41</v>
      </c>
      <c r="J377" s="112" t="s">
        <v>821</v>
      </c>
      <c r="K377" s="125">
        <v>14.5</v>
      </c>
      <c r="L377" s="196"/>
      <c r="M377" s="110">
        <f t="shared" si="90"/>
        <v>-8.3166666666666664</v>
      </c>
      <c r="N377" s="111">
        <f t="shared" si="91"/>
        <v>29.463333333333335</v>
      </c>
      <c r="O377" s="112">
        <f t="shared" si="92"/>
        <v>2.6833333333333336</v>
      </c>
      <c r="P377" s="113">
        <f t="shared" ca="1" si="93"/>
        <v>46315.361967999997</v>
      </c>
      <c r="Q377" s="114">
        <f t="shared" ca="1" si="94"/>
        <v>46330.361967999997</v>
      </c>
      <c r="R377" s="114" t="b">
        <f t="shared" ca="1" si="81"/>
        <v>0</v>
      </c>
      <c r="S377" s="115">
        <f t="shared" ca="1" si="82"/>
        <v>0</v>
      </c>
      <c r="T377" s="126">
        <f t="shared" ca="1" si="83"/>
        <v>46330.361967999997</v>
      </c>
      <c r="U377" s="127" t="str">
        <f t="shared" si="96"/>
        <v>S</v>
      </c>
      <c r="V377" s="128">
        <f t="shared" si="95"/>
        <v>29.463333333333335</v>
      </c>
      <c r="W377" s="129">
        <f t="shared" si="84"/>
        <v>29.463333333333335</v>
      </c>
      <c r="X377" s="197"/>
      <c r="Y377" s="115">
        <f t="shared" ca="1" si="85"/>
        <v>199</v>
      </c>
      <c r="Z377" s="118">
        <f t="shared" ca="1" si="86"/>
        <v>0.45479452054794522</v>
      </c>
      <c r="AA377" s="116"/>
      <c r="AB377" s="117">
        <f t="shared" si="87"/>
        <v>10.016767601443719</v>
      </c>
      <c r="AC377" s="118">
        <f t="shared" si="88"/>
        <v>0.50069865006015501</v>
      </c>
      <c r="AE377" s="55"/>
      <c r="AF377" s="72"/>
      <c r="AG377" s="72"/>
      <c r="AH377" s="66"/>
      <c r="AJ377" t="s">
        <v>237</v>
      </c>
    </row>
    <row r="378" spans="1:36" ht="16" hidden="1" thickBot="1" x14ac:dyDescent="0.25">
      <c r="A378" s="119" t="s">
        <v>165</v>
      </c>
      <c r="B378" s="120" t="s">
        <v>1238</v>
      </c>
      <c r="C378" s="108" t="str">
        <f t="shared" si="89"/>
        <v>/Applications/Stellarium.app/Contents/Resources/nebulae/default/m76-vasey.png</v>
      </c>
      <c r="D378" s="121" t="s">
        <v>1808</v>
      </c>
      <c r="E378" s="109"/>
      <c r="F378" s="122">
        <v>1</v>
      </c>
      <c r="G378" s="123">
        <v>42</v>
      </c>
      <c r="H378" s="122">
        <v>51</v>
      </c>
      <c r="I378" s="124">
        <v>31</v>
      </c>
      <c r="J378" s="112" t="s">
        <v>764</v>
      </c>
      <c r="K378" s="125">
        <v>13.4</v>
      </c>
      <c r="L378" s="196"/>
      <c r="M378" s="110">
        <f t="shared" si="90"/>
        <v>51.516666666666666</v>
      </c>
      <c r="N378" s="111">
        <f t="shared" si="91"/>
        <v>89.296666666666667</v>
      </c>
      <c r="O378" s="112">
        <f t="shared" si="92"/>
        <v>1.7</v>
      </c>
      <c r="P378" s="113">
        <f t="shared" ca="1" si="93"/>
        <v>46300.397208000002</v>
      </c>
      <c r="Q378" s="114">
        <f t="shared" ca="1" si="94"/>
        <v>46315.397208000002</v>
      </c>
      <c r="R378" s="114" t="b">
        <f t="shared" ca="1" si="81"/>
        <v>1</v>
      </c>
      <c r="S378" s="115">
        <f t="shared" ca="1" si="82"/>
        <v>15</v>
      </c>
      <c r="T378" s="126">
        <f t="shared" ca="1" si="83"/>
        <v>46330.397208000002</v>
      </c>
      <c r="U378" s="127" t="str">
        <f t="shared" si="96"/>
        <v>S</v>
      </c>
      <c r="V378" s="128">
        <f t="shared" si="95"/>
        <v>89.296666666666667</v>
      </c>
      <c r="W378" s="129">
        <f t="shared" si="84"/>
        <v>89.296666666666667</v>
      </c>
      <c r="X378" s="197"/>
      <c r="Y378" s="115">
        <f t="shared" ca="1" si="85"/>
        <v>214</v>
      </c>
      <c r="Z378" s="118">
        <f t="shared" ca="1" si="86"/>
        <v>0.41369863013698627</v>
      </c>
      <c r="AA378" s="116"/>
      <c r="AB378" s="117">
        <f t="shared" si="87"/>
        <v>9.0361191945526755</v>
      </c>
      <c r="AC378" s="118">
        <f t="shared" si="88"/>
        <v>0.45983829977302815</v>
      </c>
      <c r="AE378" s="55"/>
      <c r="AF378" s="72"/>
      <c r="AG378" s="72"/>
      <c r="AH378" s="66"/>
      <c r="AJ378" t="s">
        <v>165</v>
      </c>
    </row>
    <row r="379" spans="1:36" ht="16" hidden="1" thickBot="1" x14ac:dyDescent="0.25">
      <c r="A379" s="119" t="s">
        <v>125</v>
      </c>
      <c r="B379" s="120" t="s">
        <v>1214</v>
      </c>
      <c r="C379" s="108" t="str">
        <f t="shared" si="89"/>
        <v>/Applications/Stellarium.app/Contents/Resources/nebulae/default/m34.png</v>
      </c>
      <c r="D379" s="121" t="s">
        <v>1809</v>
      </c>
      <c r="E379" s="109"/>
      <c r="F379" s="122">
        <v>2</v>
      </c>
      <c r="G379" s="123">
        <v>42</v>
      </c>
      <c r="H379" s="122">
        <v>42</v>
      </c>
      <c r="I379" s="124">
        <v>42</v>
      </c>
      <c r="J379" s="112" t="s">
        <v>723</v>
      </c>
      <c r="K379" s="125">
        <v>13.4</v>
      </c>
      <c r="L379" s="196"/>
      <c r="M379" s="110">
        <f t="shared" si="90"/>
        <v>42.7</v>
      </c>
      <c r="N379" s="111">
        <f t="shared" si="91"/>
        <v>80.48</v>
      </c>
      <c r="O379" s="112">
        <f t="shared" si="92"/>
        <v>2.7</v>
      </c>
      <c r="P379" s="113">
        <f t="shared" ca="1" si="93"/>
        <v>46315.615608</v>
      </c>
      <c r="Q379" s="114">
        <f t="shared" ca="1" si="94"/>
        <v>46330.615608</v>
      </c>
      <c r="R379" s="114" t="b">
        <f t="shared" ca="1" si="81"/>
        <v>0</v>
      </c>
      <c r="S379" s="115">
        <f t="shared" ca="1" si="82"/>
        <v>0</v>
      </c>
      <c r="T379" s="126">
        <f t="shared" ca="1" si="83"/>
        <v>46330.615608</v>
      </c>
      <c r="U379" s="127" t="str">
        <f t="shared" si="96"/>
        <v>S</v>
      </c>
      <c r="V379" s="128">
        <f t="shared" si="95"/>
        <v>80.48</v>
      </c>
      <c r="W379" s="129">
        <f t="shared" si="84"/>
        <v>80.48</v>
      </c>
      <c r="X379" s="197"/>
      <c r="Y379" s="115">
        <f t="shared" ca="1" si="85"/>
        <v>198</v>
      </c>
      <c r="Z379" s="118">
        <f t="shared" ca="1" si="86"/>
        <v>0.45753424657534247</v>
      </c>
      <c r="AA379" s="116"/>
      <c r="AB379" s="117">
        <f t="shared" si="87"/>
        <v>10.03338876088255</v>
      </c>
      <c r="AC379" s="118">
        <f t="shared" si="88"/>
        <v>0.50139119837010626</v>
      </c>
      <c r="AE379" s="55"/>
      <c r="AF379" s="72"/>
      <c r="AG379" s="72"/>
      <c r="AH379" s="66"/>
      <c r="AJ379" t="s">
        <v>125</v>
      </c>
    </row>
    <row r="380" spans="1:36" ht="16" hidden="1" thickBot="1" x14ac:dyDescent="0.25">
      <c r="A380" s="119" t="s">
        <v>238</v>
      </c>
      <c r="B380" s="120" t="s">
        <v>1272</v>
      </c>
      <c r="C380" s="108" t="str">
        <f t="shared" si="89"/>
        <v>/Applications/Stellarium.app/Contents/Resources/nebulae/default/n1055.png</v>
      </c>
      <c r="D380" s="121" t="s">
        <v>1810</v>
      </c>
      <c r="E380" s="109"/>
      <c r="F380" s="122">
        <v>2</v>
      </c>
      <c r="G380" s="123">
        <v>42</v>
      </c>
      <c r="H380" s="122">
        <v>0</v>
      </c>
      <c r="I380" s="124">
        <v>19</v>
      </c>
      <c r="J380" s="112" t="s">
        <v>822</v>
      </c>
      <c r="K380" s="125">
        <v>13.8</v>
      </c>
      <c r="L380" s="196"/>
      <c r="M380" s="110">
        <f t="shared" si="90"/>
        <v>0.31666666666666665</v>
      </c>
      <c r="N380" s="111">
        <f t="shared" si="91"/>
        <v>38.096666666666671</v>
      </c>
      <c r="O380" s="112">
        <f t="shared" si="92"/>
        <v>2.7</v>
      </c>
      <c r="P380" s="113">
        <f t="shared" ca="1" si="93"/>
        <v>46315.615608</v>
      </c>
      <c r="Q380" s="114">
        <f t="shared" ca="1" si="94"/>
        <v>46330.615608</v>
      </c>
      <c r="R380" s="114" t="b">
        <f t="shared" ca="1" si="81"/>
        <v>0</v>
      </c>
      <c r="S380" s="115">
        <f t="shared" ca="1" si="82"/>
        <v>0</v>
      </c>
      <c r="T380" s="126">
        <f t="shared" ca="1" si="83"/>
        <v>46330.615608</v>
      </c>
      <c r="U380" s="127" t="str">
        <f t="shared" si="96"/>
        <v>S</v>
      </c>
      <c r="V380" s="128">
        <f t="shared" si="95"/>
        <v>38.096666666666671</v>
      </c>
      <c r="W380" s="129">
        <f t="shared" si="84"/>
        <v>38.096666666666671</v>
      </c>
      <c r="X380" s="197"/>
      <c r="Y380" s="115">
        <f t="shared" ca="1" si="85"/>
        <v>198</v>
      </c>
      <c r="Z380" s="118">
        <f t="shared" ca="1" si="86"/>
        <v>0.45753424657534247</v>
      </c>
      <c r="AA380" s="116"/>
      <c r="AB380" s="117">
        <f t="shared" si="87"/>
        <v>10.03338876088255</v>
      </c>
      <c r="AC380" s="118">
        <f t="shared" si="88"/>
        <v>0.50139119837010626</v>
      </c>
      <c r="AE380" s="55"/>
      <c r="AF380" s="72"/>
      <c r="AG380" s="72"/>
      <c r="AH380" s="66"/>
      <c r="AJ380" t="s">
        <v>238</v>
      </c>
    </row>
    <row r="381" spans="1:36" ht="16" hidden="1" thickBot="1" x14ac:dyDescent="0.25">
      <c r="A381" s="119" t="s">
        <v>631</v>
      </c>
      <c r="B381" s="120" t="s">
        <v>1404</v>
      </c>
      <c r="C381" s="108" t="str">
        <f t="shared" si="89"/>
        <v>/Applications/Stellarium.app/Contents/Resources/nebulae/default/sh2-191.png</v>
      </c>
      <c r="D381" s="121" t="s">
        <v>1811</v>
      </c>
      <c r="E381" s="109"/>
      <c r="F381" s="122">
        <v>2</v>
      </c>
      <c r="G381" s="123">
        <v>42</v>
      </c>
      <c r="H381" s="122">
        <v>59</v>
      </c>
      <c r="I381" s="124">
        <v>12</v>
      </c>
      <c r="J381" s="112" t="s">
        <v>1134</v>
      </c>
      <c r="K381" s="125">
        <v>14.8</v>
      </c>
      <c r="L381" s="196"/>
      <c r="M381" s="110">
        <f t="shared" si="90"/>
        <v>59.2</v>
      </c>
      <c r="N381" s="111">
        <f t="shared" si="91"/>
        <v>96.98</v>
      </c>
      <c r="O381" s="112">
        <f t="shared" si="92"/>
        <v>2.7</v>
      </c>
      <c r="P381" s="113">
        <f t="shared" ca="1" si="93"/>
        <v>46315.615608</v>
      </c>
      <c r="Q381" s="114">
        <f t="shared" ca="1" si="94"/>
        <v>46330.615608</v>
      </c>
      <c r="R381" s="114" t="b">
        <f t="shared" ca="1" si="81"/>
        <v>0</v>
      </c>
      <c r="S381" s="115">
        <f t="shared" ca="1" si="82"/>
        <v>0</v>
      </c>
      <c r="T381" s="126">
        <f t="shared" ca="1" si="83"/>
        <v>46330.615608</v>
      </c>
      <c r="U381" s="127" t="str">
        <f t="shared" si="96"/>
        <v>N</v>
      </c>
      <c r="V381" s="128">
        <f t="shared" si="95"/>
        <v>83.02</v>
      </c>
      <c r="W381" s="129">
        <f t="shared" si="84"/>
        <v>83.02</v>
      </c>
      <c r="X381" s="197"/>
      <c r="Y381" s="115">
        <f t="shared" ca="1" si="85"/>
        <v>198</v>
      </c>
      <c r="Z381" s="118">
        <f t="shared" ca="1" si="86"/>
        <v>0.45753424657534247</v>
      </c>
      <c r="AA381" s="116"/>
      <c r="AB381" s="117">
        <f t="shared" si="87"/>
        <v>10.03338876088255</v>
      </c>
      <c r="AC381" s="118">
        <f t="shared" si="88"/>
        <v>0.50139119837010626</v>
      </c>
      <c r="AE381" s="55"/>
      <c r="AF381" s="72"/>
      <c r="AG381" s="72"/>
      <c r="AH381" s="66"/>
      <c r="AJ381" t="s">
        <v>631</v>
      </c>
    </row>
    <row r="382" spans="1:36" ht="16" hidden="1" thickBot="1" x14ac:dyDescent="0.25">
      <c r="A382" s="119" t="s">
        <v>224</v>
      </c>
      <c r="B382" s="120" t="s">
        <v>1272</v>
      </c>
      <c r="C382" s="108" t="str">
        <f t="shared" si="89"/>
        <v>/Applications/Stellarium.app/Contents/Resources/nebulae/default/n660.png</v>
      </c>
      <c r="D382" s="121" t="s">
        <v>1812</v>
      </c>
      <c r="E382" s="109"/>
      <c r="F382" s="122">
        <v>1</v>
      </c>
      <c r="G382" s="123">
        <v>43</v>
      </c>
      <c r="H382" s="122">
        <v>13</v>
      </c>
      <c r="I382" s="124">
        <v>34</v>
      </c>
      <c r="J382" s="112" t="s">
        <v>810</v>
      </c>
      <c r="K382" s="125">
        <v>14.5</v>
      </c>
      <c r="L382" s="196"/>
      <c r="M382" s="110">
        <f t="shared" si="90"/>
        <v>13.566666666666666</v>
      </c>
      <c r="N382" s="111">
        <f t="shared" si="91"/>
        <v>51.346666666666664</v>
      </c>
      <c r="O382" s="112">
        <f t="shared" si="92"/>
        <v>1.7166666666666668</v>
      </c>
      <c r="P382" s="113">
        <f t="shared" ca="1" si="93"/>
        <v>46300.650847999997</v>
      </c>
      <c r="Q382" s="114">
        <f t="shared" ca="1" si="94"/>
        <v>46315.650847999997</v>
      </c>
      <c r="R382" s="114" t="b">
        <f t="shared" ca="1" si="81"/>
        <v>1</v>
      </c>
      <c r="S382" s="115">
        <f t="shared" ca="1" si="82"/>
        <v>15</v>
      </c>
      <c r="T382" s="126">
        <f t="shared" ca="1" si="83"/>
        <v>46330.650847999997</v>
      </c>
      <c r="U382" s="127" t="str">
        <f t="shared" si="96"/>
        <v>S</v>
      </c>
      <c r="V382" s="128">
        <f t="shared" si="95"/>
        <v>51.346666666666664</v>
      </c>
      <c r="W382" s="129">
        <f t="shared" si="84"/>
        <v>51.346666666666664</v>
      </c>
      <c r="X382" s="197"/>
      <c r="Y382" s="115">
        <f t="shared" ca="1" si="85"/>
        <v>213</v>
      </c>
      <c r="Z382" s="118">
        <f t="shared" ca="1" si="86"/>
        <v>0.41643835616438352</v>
      </c>
      <c r="AA382" s="116"/>
      <c r="AB382" s="117">
        <f t="shared" si="87"/>
        <v>9.0527403539915063</v>
      </c>
      <c r="AC382" s="118">
        <f t="shared" si="88"/>
        <v>0.46053084808297945</v>
      </c>
      <c r="AE382" s="55"/>
      <c r="AF382" s="72"/>
      <c r="AG382" s="72"/>
      <c r="AH382" s="66"/>
      <c r="AJ382" t="s">
        <v>224</v>
      </c>
    </row>
    <row r="383" spans="1:36" ht="16" hidden="1" thickBot="1" x14ac:dyDescent="0.25">
      <c r="A383" s="119" t="s">
        <v>166</v>
      </c>
      <c r="B383" s="120" t="s">
        <v>1239</v>
      </c>
      <c r="C383" s="108" t="str">
        <f t="shared" si="89"/>
        <v>/Applications/Stellarium.app/Contents/Resources/nebulae/default/m77.png</v>
      </c>
      <c r="D383" s="121" t="s">
        <v>1813</v>
      </c>
      <c r="E383" s="109"/>
      <c r="F383" s="122">
        <v>2</v>
      </c>
      <c r="G383" s="123">
        <v>43</v>
      </c>
      <c r="H383" s="122">
        <v>-1</v>
      </c>
      <c r="I383" s="124">
        <v>53</v>
      </c>
      <c r="J383" s="112" t="s">
        <v>754</v>
      </c>
      <c r="K383" s="125">
        <v>13.5</v>
      </c>
      <c r="L383" s="196"/>
      <c r="M383" s="110">
        <f t="shared" si="90"/>
        <v>-0.1166666666666667</v>
      </c>
      <c r="N383" s="111">
        <f t="shared" si="91"/>
        <v>37.663333333333334</v>
      </c>
      <c r="O383" s="112">
        <f t="shared" si="92"/>
        <v>2.7166666666666668</v>
      </c>
      <c r="P383" s="113">
        <f t="shared" ca="1" si="93"/>
        <v>46315.869248000003</v>
      </c>
      <c r="Q383" s="114">
        <f t="shared" ca="1" si="94"/>
        <v>46330.869248000003</v>
      </c>
      <c r="R383" s="114" t="b">
        <f t="shared" ca="1" si="81"/>
        <v>0</v>
      </c>
      <c r="S383" s="115">
        <f t="shared" ca="1" si="82"/>
        <v>0</v>
      </c>
      <c r="T383" s="126">
        <f t="shared" ca="1" si="83"/>
        <v>46330.869248000003</v>
      </c>
      <c r="U383" s="127" t="str">
        <f t="shared" si="96"/>
        <v>S</v>
      </c>
      <c r="V383" s="128">
        <f t="shared" si="95"/>
        <v>37.663333333333334</v>
      </c>
      <c r="W383" s="129">
        <f t="shared" si="84"/>
        <v>37.663333333333334</v>
      </c>
      <c r="X383" s="197"/>
      <c r="Y383" s="115">
        <f t="shared" ca="1" si="85"/>
        <v>198</v>
      </c>
      <c r="Z383" s="118">
        <f t="shared" ca="1" si="86"/>
        <v>0.45753424657534247</v>
      </c>
      <c r="AA383" s="116"/>
      <c r="AB383" s="117">
        <f t="shared" si="87"/>
        <v>10.050009920321383</v>
      </c>
      <c r="AC383" s="118">
        <f t="shared" si="88"/>
        <v>0.50208374668005762</v>
      </c>
      <c r="AE383" s="55"/>
      <c r="AF383" s="72"/>
      <c r="AG383" s="72"/>
      <c r="AH383" s="66"/>
      <c r="AJ383" t="s">
        <v>166</v>
      </c>
    </row>
    <row r="384" spans="1:36" ht="16" hidden="1" thickBot="1" x14ac:dyDescent="0.25">
      <c r="A384" s="119" t="s">
        <v>680</v>
      </c>
      <c r="B384" s="120" t="s">
        <v>1420</v>
      </c>
      <c r="C384" s="108" t="str">
        <f t="shared" si="89"/>
        <v>/Applications/Stellarium.app/Contents/Resources/nebulae/default/p10074.png</v>
      </c>
      <c r="D384" s="121" t="s">
        <v>1814</v>
      </c>
      <c r="E384" s="109"/>
      <c r="F384" s="122">
        <v>2</v>
      </c>
      <c r="G384" s="123">
        <v>43</v>
      </c>
      <c r="H384" s="122">
        <v>-36</v>
      </c>
      <c r="I384" s="124">
        <v>45</v>
      </c>
      <c r="J384" s="112" t="s">
        <v>1160</v>
      </c>
      <c r="K384" s="125">
        <v>15.5</v>
      </c>
      <c r="L384" s="196"/>
      <c r="M384" s="110">
        <f t="shared" si="90"/>
        <v>-35.25</v>
      </c>
      <c r="N384" s="111">
        <f t="shared" si="91"/>
        <v>2.5300000000000011</v>
      </c>
      <c r="O384" s="112">
        <f t="shared" si="92"/>
        <v>2.7166666666666668</v>
      </c>
      <c r="P384" s="113">
        <f t="shared" ca="1" si="93"/>
        <v>46315.869248000003</v>
      </c>
      <c r="Q384" s="114">
        <f t="shared" ca="1" si="94"/>
        <v>46330.869248000003</v>
      </c>
      <c r="R384" s="114" t="b">
        <f t="shared" ca="1" si="81"/>
        <v>0</v>
      </c>
      <c r="S384" s="115">
        <f t="shared" ca="1" si="82"/>
        <v>0</v>
      </c>
      <c r="T384" s="126">
        <f t="shared" ca="1" si="83"/>
        <v>46330.869248000003</v>
      </c>
      <c r="U384" s="127" t="str">
        <f t="shared" si="96"/>
        <v>S</v>
      </c>
      <c r="V384" s="128">
        <f t="shared" si="95"/>
        <v>2.5300000000000011</v>
      </c>
      <c r="W384" s="129">
        <f t="shared" si="84"/>
        <v>2.5300000000000011</v>
      </c>
      <c r="X384" s="197"/>
      <c r="Y384" s="115">
        <f t="shared" ca="1" si="85"/>
        <v>198</v>
      </c>
      <c r="Z384" s="118">
        <f t="shared" ca="1" si="86"/>
        <v>0.45753424657534247</v>
      </c>
      <c r="AA384" s="116"/>
      <c r="AB384" s="117">
        <f t="shared" si="87"/>
        <v>10.050009920321383</v>
      </c>
      <c r="AC384" s="118">
        <f t="shared" si="88"/>
        <v>0.50208374668005762</v>
      </c>
      <c r="AE384" s="55"/>
      <c r="AF384" s="72"/>
      <c r="AG384" s="72"/>
      <c r="AH384" s="66"/>
      <c r="AJ384" t="s">
        <v>680</v>
      </c>
    </row>
    <row r="385" spans="1:36" ht="16" hidden="1" thickBot="1" x14ac:dyDescent="0.25">
      <c r="A385" s="119" t="s">
        <v>63</v>
      </c>
      <c r="B385" s="120" t="s">
        <v>1366</v>
      </c>
      <c r="C385" s="108" t="str">
        <f t="shared" si="89"/>
        <v>/Applications/Stellarium.app/Contents/Resources/nebulae/default/ic1805.png</v>
      </c>
      <c r="D385" s="121" t="s">
        <v>1815</v>
      </c>
      <c r="E385" s="109"/>
      <c r="F385" s="122">
        <v>2</v>
      </c>
      <c r="G385" s="123">
        <v>46</v>
      </c>
      <c r="H385" s="122">
        <v>59</v>
      </c>
      <c r="I385" s="124">
        <v>37</v>
      </c>
      <c r="J385" s="112" t="s">
        <v>1040</v>
      </c>
      <c r="K385" s="125">
        <v>14</v>
      </c>
      <c r="L385" s="196"/>
      <c r="M385" s="110">
        <f t="shared" si="90"/>
        <v>59.616666666666667</v>
      </c>
      <c r="N385" s="111">
        <f t="shared" si="91"/>
        <v>97.396666666666675</v>
      </c>
      <c r="O385" s="112">
        <f t="shared" si="92"/>
        <v>2.7666666666666666</v>
      </c>
      <c r="P385" s="113">
        <f t="shared" ca="1" si="93"/>
        <v>46316.630168000003</v>
      </c>
      <c r="Q385" s="114">
        <f t="shared" ca="1" si="94"/>
        <v>46331.630168000003</v>
      </c>
      <c r="R385" s="114" t="b">
        <f t="shared" ca="1" si="81"/>
        <v>0</v>
      </c>
      <c r="S385" s="115">
        <f t="shared" ca="1" si="82"/>
        <v>0</v>
      </c>
      <c r="T385" s="126">
        <f t="shared" ca="1" si="83"/>
        <v>46331.630168000003</v>
      </c>
      <c r="U385" s="127" t="str">
        <f t="shared" si="96"/>
        <v>N</v>
      </c>
      <c r="V385" s="128">
        <f t="shared" si="95"/>
        <v>82.603333333333325</v>
      </c>
      <c r="W385" s="129">
        <f t="shared" si="84"/>
        <v>82.603333333333325</v>
      </c>
      <c r="X385" s="197"/>
      <c r="Y385" s="115">
        <f t="shared" ca="1" si="85"/>
        <v>197</v>
      </c>
      <c r="Z385" s="118">
        <f t="shared" ca="1" si="86"/>
        <v>0.46027397260273972</v>
      </c>
      <c r="AA385" s="116"/>
      <c r="AB385" s="117">
        <f t="shared" si="87"/>
        <v>10.099873398637875</v>
      </c>
      <c r="AC385" s="118">
        <f t="shared" si="88"/>
        <v>0.50416139160991147</v>
      </c>
      <c r="AE385" s="55" t="s">
        <v>0</v>
      </c>
      <c r="AF385" s="72" t="s">
        <v>47</v>
      </c>
      <c r="AG385" s="72">
        <v>2600</v>
      </c>
      <c r="AH385" s="66" t="s">
        <v>12</v>
      </c>
      <c r="AJ385" t="s">
        <v>63</v>
      </c>
    </row>
    <row r="386" spans="1:36" ht="16" hidden="1" thickBot="1" x14ac:dyDescent="0.25">
      <c r="A386" s="119" t="s">
        <v>223</v>
      </c>
      <c r="B386" s="120" t="s">
        <v>1207</v>
      </c>
      <c r="C386" s="108" t="str">
        <f t="shared" si="89"/>
        <v>/Applications/Stellarium.app/Contents/Resources/nebulae/default/n654.png</v>
      </c>
      <c r="D386" s="121" t="s">
        <v>1816</v>
      </c>
      <c r="E386" s="109"/>
      <c r="F386" s="122">
        <v>1</v>
      </c>
      <c r="G386" s="123">
        <v>47</v>
      </c>
      <c r="H386" s="122">
        <v>61</v>
      </c>
      <c r="I386" s="124">
        <v>38</v>
      </c>
      <c r="J386" s="112" t="s">
        <v>809</v>
      </c>
      <c r="K386" s="125">
        <v>14.7</v>
      </c>
      <c r="L386" s="196"/>
      <c r="M386" s="110">
        <f t="shared" si="90"/>
        <v>61.633333333333333</v>
      </c>
      <c r="N386" s="111">
        <f t="shared" si="91"/>
        <v>99.413333333333327</v>
      </c>
      <c r="O386" s="112">
        <f t="shared" si="92"/>
        <v>1.7833333333333332</v>
      </c>
      <c r="P386" s="113">
        <f t="shared" ca="1" si="93"/>
        <v>46301.665408000001</v>
      </c>
      <c r="Q386" s="114">
        <f t="shared" ca="1" si="94"/>
        <v>46316.665408000001</v>
      </c>
      <c r="R386" s="114" t="b">
        <f t="shared" ca="1" si="81"/>
        <v>1</v>
      </c>
      <c r="S386" s="115">
        <f t="shared" ca="1" si="82"/>
        <v>15</v>
      </c>
      <c r="T386" s="126">
        <f t="shared" ca="1" si="83"/>
        <v>46331.665408000001</v>
      </c>
      <c r="U386" s="127" t="str">
        <f t="shared" si="96"/>
        <v>N</v>
      </c>
      <c r="V386" s="128">
        <f t="shared" si="95"/>
        <v>80.586666666666673</v>
      </c>
      <c r="W386" s="129">
        <f t="shared" si="84"/>
        <v>80.586666666666673</v>
      </c>
      <c r="X386" s="197"/>
      <c r="Y386" s="115">
        <f t="shared" ca="1" si="85"/>
        <v>212</v>
      </c>
      <c r="Z386" s="118">
        <f t="shared" ca="1" si="86"/>
        <v>0.41917808219178088</v>
      </c>
      <c r="AA386" s="116"/>
      <c r="AB386" s="117">
        <f t="shared" si="87"/>
        <v>9.1192249917468313</v>
      </c>
      <c r="AC386" s="118">
        <f t="shared" si="88"/>
        <v>0.46330104132278466</v>
      </c>
      <c r="AE386" s="55"/>
      <c r="AF386" s="72"/>
      <c r="AG386" s="72"/>
      <c r="AH386" s="66"/>
      <c r="AJ386" t="s">
        <v>223</v>
      </c>
    </row>
    <row r="387" spans="1:36" ht="16" hidden="1" thickBot="1" x14ac:dyDescent="0.25">
      <c r="A387" s="119" t="s">
        <v>225</v>
      </c>
      <c r="B387" s="120" t="s">
        <v>1207</v>
      </c>
      <c r="C387" s="108" t="str">
        <f t="shared" si="89"/>
        <v>/Applications/Stellarium.app/Contents/Resources/nebulae/default/n663.png</v>
      </c>
      <c r="D387" s="121" t="s">
        <v>1817</v>
      </c>
      <c r="E387" s="109"/>
      <c r="F387" s="122">
        <v>1</v>
      </c>
      <c r="G387" s="123">
        <v>47</v>
      </c>
      <c r="H387" s="122">
        <v>61</v>
      </c>
      <c r="I387" s="124">
        <v>2</v>
      </c>
      <c r="J387" s="112" t="s">
        <v>740</v>
      </c>
      <c r="K387" s="125">
        <v>13.2</v>
      </c>
      <c r="L387" s="196"/>
      <c r="M387" s="110">
        <f t="shared" si="90"/>
        <v>61.033333333333331</v>
      </c>
      <c r="N387" s="111">
        <f t="shared" si="91"/>
        <v>98.813333333333333</v>
      </c>
      <c r="O387" s="112">
        <f t="shared" si="92"/>
        <v>1.7833333333333332</v>
      </c>
      <c r="P387" s="113">
        <f t="shared" ca="1" si="93"/>
        <v>46301.665408000001</v>
      </c>
      <c r="Q387" s="114">
        <f t="shared" ca="1" si="94"/>
        <v>46316.665408000001</v>
      </c>
      <c r="R387" s="114" t="b">
        <f t="shared" ca="1" si="81"/>
        <v>1</v>
      </c>
      <c r="S387" s="115">
        <f t="shared" ca="1" si="82"/>
        <v>15</v>
      </c>
      <c r="T387" s="126">
        <f t="shared" ca="1" si="83"/>
        <v>46331.665408000001</v>
      </c>
      <c r="U387" s="127" t="str">
        <f t="shared" si="96"/>
        <v>N</v>
      </c>
      <c r="V387" s="128">
        <f t="shared" si="95"/>
        <v>81.186666666666667</v>
      </c>
      <c r="W387" s="129">
        <f t="shared" si="84"/>
        <v>81.186666666666667</v>
      </c>
      <c r="X387" s="197"/>
      <c r="Y387" s="115">
        <f t="shared" ca="1" si="85"/>
        <v>212</v>
      </c>
      <c r="Z387" s="118">
        <f t="shared" ca="1" si="86"/>
        <v>0.41917808219178088</v>
      </c>
      <c r="AA387" s="116"/>
      <c r="AB387" s="117">
        <f t="shared" si="87"/>
        <v>9.1192249917468313</v>
      </c>
      <c r="AC387" s="118">
        <f t="shared" si="88"/>
        <v>0.46330104132278466</v>
      </c>
      <c r="AE387" s="55"/>
      <c r="AF387" s="72"/>
      <c r="AG387" s="72"/>
      <c r="AH387" s="66"/>
      <c r="AJ387" t="s">
        <v>225</v>
      </c>
    </row>
    <row r="388" spans="1:36" ht="16" hidden="1" thickBot="1" x14ac:dyDescent="0.25">
      <c r="A388" s="119" t="s">
        <v>239</v>
      </c>
      <c r="B388" s="120" t="s">
        <v>1269</v>
      </c>
      <c r="C388" s="108" t="str">
        <f t="shared" si="89"/>
        <v>/Applications/Stellarium.app/Contents/Resources/nebulae/default/n1097.png</v>
      </c>
      <c r="D388" s="121" t="s">
        <v>1818</v>
      </c>
      <c r="E388" s="109"/>
      <c r="F388" s="122">
        <v>2</v>
      </c>
      <c r="G388" s="123">
        <v>47</v>
      </c>
      <c r="H388" s="122">
        <v>-31</v>
      </c>
      <c r="I388" s="124">
        <v>35</v>
      </c>
      <c r="J388" s="112" t="s">
        <v>823</v>
      </c>
      <c r="K388" s="125">
        <v>13.5</v>
      </c>
      <c r="L388" s="196"/>
      <c r="M388" s="110">
        <f t="shared" si="90"/>
        <v>-30.416666666666668</v>
      </c>
      <c r="N388" s="111">
        <f t="shared" si="91"/>
        <v>7.3633333333333333</v>
      </c>
      <c r="O388" s="112">
        <f t="shared" si="92"/>
        <v>2.7833333333333332</v>
      </c>
      <c r="P388" s="113">
        <f t="shared" ca="1" si="93"/>
        <v>46316.883807999999</v>
      </c>
      <c r="Q388" s="114">
        <f t="shared" ca="1" si="94"/>
        <v>46331.883807999999</v>
      </c>
      <c r="R388" s="114" t="b">
        <f t="shared" ca="1" si="81"/>
        <v>0</v>
      </c>
      <c r="S388" s="115">
        <f t="shared" ca="1" si="82"/>
        <v>0</v>
      </c>
      <c r="T388" s="126">
        <f t="shared" ca="1" si="83"/>
        <v>46331.883807999999</v>
      </c>
      <c r="U388" s="127" t="str">
        <f t="shared" si="96"/>
        <v>S</v>
      </c>
      <c r="V388" s="128">
        <f t="shared" si="95"/>
        <v>7.3633333333333333</v>
      </c>
      <c r="W388" s="129">
        <f t="shared" si="84"/>
        <v>7.3633333333333333</v>
      </c>
      <c r="X388" s="197"/>
      <c r="Y388" s="115">
        <f t="shared" ca="1" si="85"/>
        <v>197</v>
      </c>
      <c r="Z388" s="118">
        <f t="shared" ca="1" si="86"/>
        <v>0.46027397260273972</v>
      </c>
      <c r="AA388" s="116"/>
      <c r="AB388" s="117">
        <f t="shared" si="87"/>
        <v>10.116494558076706</v>
      </c>
      <c r="AC388" s="118">
        <f t="shared" si="88"/>
        <v>0.50485393991986272</v>
      </c>
      <c r="AE388" s="55"/>
      <c r="AF388" s="72"/>
      <c r="AG388" s="72"/>
      <c r="AH388" s="66"/>
      <c r="AJ388" t="s">
        <v>239</v>
      </c>
    </row>
    <row r="389" spans="1:36" ht="16" hidden="1" thickBot="1" x14ac:dyDescent="0.25">
      <c r="A389" s="119" t="s">
        <v>226</v>
      </c>
      <c r="B389" s="120" t="s">
        <v>1272</v>
      </c>
      <c r="C389" s="108" t="str">
        <f t="shared" si="89"/>
        <v>/Applications/Stellarium.app/Contents/Resources/nebulae/default/n672-vasey.png</v>
      </c>
      <c r="D389" s="121" t="s">
        <v>1819</v>
      </c>
      <c r="E389" s="109"/>
      <c r="F389" s="122">
        <v>1</v>
      </c>
      <c r="G389" s="123">
        <v>48</v>
      </c>
      <c r="H389" s="122">
        <v>27</v>
      </c>
      <c r="I389" s="124">
        <v>15</v>
      </c>
      <c r="J389" s="112" t="s">
        <v>811</v>
      </c>
      <c r="K389" s="125">
        <v>13.4</v>
      </c>
      <c r="L389" s="196"/>
      <c r="M389" s="110">
        <f t="shared" si="90"/>
        <v>27.25</v>
      </c>
      <c r="N389" s="111">
        <f t="shared" si="91"/>
        <v>65.03</v>
      </c>
      <c r="O389" s="112">
        <f t="shared" si="92"/>
        <v>1.8</v>
      </c>
      <c r="P389" s="113">
        <f t="shared" ca="1" si="93"/>
        <v>46301.919048000003</v>
      </c>
      <c r="Q389" s="114">
        <f t="shared" ca="1" si="94"/>
        <v>46316.919048000003</v>
      </c>
      <c r="R389" s="114" t="b">
        <f t="shared" ca="1" si="81"/>
        <v>1</v>
      </c>
      <c r="S389" s="115">
        <f t="shared" ca="1" si="82"/>
        <v>15</v>
      </c>
      <c r="T389" s="126">
        <f t="shared" ca="1" si="83"/>
        <v>46331.919048000003</v>
      </c>
      <c r="U389" s="127" t="str">
        <f t="shared" si="96"/>
        <v>S</v>
      </c>
      <c r="V389" s="128">
        <f t="shared" si="95"/>
        <v>65.03</v>
      </c>
      <c r="W389" s="129">
        <f t="shared" si="84"/>
        <v>65.03</v>
      </c>
      <c r="X389" s="197"/>
      <c r="Y389" s="115">
        <f t="shared" ca="1" si="85"/>
        <v>212</v>
      </c>
      <c r="Z389" s="118">
        <f t="shared" ca="1" si="86"/>
        <v>0.41917808219178088</v>
      </c>
      <c r="AA389" s="116"/>
      <c r="AB389" s="117">
        <f t="shared" si="87"/>
        <v>9.1358461511856639</v>
      </c>
      <c r="AC389" s="118">
        <f t="shared" si="88"/>
        <v>0.46399358963273601</v>
      </c>
      <c r="AE389" s="55"/>
      <c r="AF389" s="72"/>
      <c r="AG389" s="72"/>
      <c r="AH389" s="66"/>
      <c r="AJ389" t="s">
        <v>226</v>
      </c>
    </row>
    <row r="390" spans="1:36" ht="16" hidden="1" thickBot="1" x14ac:dyDescent="0.25">
      <c r="A390" s="119" t="s">
        <v>227</v>
      </c>
      <c r="B390" s="120" t="s">
        <v>1269</v>
      </c>
      <c r="C390" s="108" t="str">
        <f t="shared" si="89"/>
        <v>/Applications/Stellarium.app/Contents/Resources/nebulae/default/n691group-vasey.png</v>
      </c>
      <c r="D390" s="121" t="s">
        <v>1820</v>
      </c>
      <c r="E390" s="109"/>
      <c r="F390" s="122">
        <v>1</v>
      </c>
      <c r="G390" s="123">
        <v>51</v>
      </c>
      <c r="H390" s="122">
        <v>21</v>
      </c>
      <c r="I390" s="124">
        <v>36</v>
      </c>
      <c r="J390" s="112" t="s">
        <v>812</v>
      </c>
      <c r="K390" s="125">
        <v>13.4</v>
      </c>
      <c r="L390" s="196"/>
      <c r="M390" s="110">
        <f t="shared" si="90"/>
        <v>21.6</v>
      </c>
      <c r="N390" s="111">
        <f t="shared" si="91"/>
        <v>59.38</v>
      </c>
      <c r="O390" s="112">
        <f t="shared" si="92"/>
        <v>1.85</v>
      </c>
      <c r="P390" s="113">
        <f t="shared" ca="1" si="93"/>
        <v>46302.679967999997</v>
      </c>
      <c r="Q390" s="114">
        <f t="shared" ca="1" si="94"/>
        <v>46317.679967999997</v>
      </c>
      <c r="R390" s="114" t="b">
        <f t="shared" ca="1" si="81"/>
        <v>1</v>
      </c>
      <c r="S390" s="115">
        <f t="shared" ca="1" si="82"/>
        <v>15</v>
      </c>
      <c r="T390" s="126">
        <f t="shared" ca="1" si="83"/>
        <v>46332.679967999997</v>
      </c>
      <c r="U390" s="127" t="str">
        <f t="shared" si="96"/>
        <v>S</v>
      </c>
      <c r="V390" s="128">
        <f t="shared" si="95"/>
        <v>59.38</v>
      </c>
      <c r="W390" s="129">
        <f t="shared" si="84"/>
        <v>59.38</v>
      </c>
      <c r="X390" s="197"/>
      <c r="Y390" s="115">
        <f t="shared" ca="1" si="85"/>
        <v>211</v>
      </c>
      <c r="Z390" s="118">
        <f t="shared" ca="1" si="86"/>
        <v>0.42191780821917813</v>
      </c>
      <c r="AA390" s="116"/>
      <c r="AB390" s="117">
        <f t="shared" si="87"/>
        <v>9.1857096295021563</v>
      </c>
      <c r="AC390" s="118">
        <f t="shared" si="88"/>
        <v>0.46607123456258986</v>
      </c>
      <c r="AE390" s="55"/>
      <c r="AF390" s="72"/>
      <c r="AG390" s="72"/>
      <c r="AH390" s="66"/>
      <c r="AJ390" t="s">
        <v>227</v>
      </c>
    </row>
    <row r="391" spans="1:36" ht="16" hidden="1" thickBot="1" x14ac:dyDescent="0.25">
      <c r="A391" s="119" t="s">
        <v>679</v>
      </c>
      <c r="B391" s="120" t="s">
        <v>1419</v>
      </c>
      <c r="C391" s="108" t="str">
        <f t="shared" si="89"/>
        <v>/Applications/Stellarium.app/Contents/Resources/nebulae/default/p6830.png</v>
      </c>
      <c r="D391" s="121" t="s">
        <v>1821</v>
      </c>
      <c r="E391" s="109"/>
      <c r="F391" s="122">
        <v>1</v>
      </c>
      <c r="G391" s="123">
        <v>51</v>
      </c>
      <c r="H391" s="122">
        <v>-45</v>
      </c>
      <c r="I391" s="124">
        <v>26</v>
      </c>
      <c r="J391" s="112" t="s">
        <v>1159</v>
      </c>
      <c r="K391" s="125">
        <v>15.5</v>
      </c>
      <c r="L391" s="196"/>
      <c r="M391" s="110">
        <f t="shared" si="90"/>
        <v>-44.56666666666667</v>
      </c>
      <c r="N391" s="111">
        <f t="shared" si="91"/>
        <v>-6.7866666666666688</v>
      </c>
      <c r="O391" s="112">
        <f t="shared" si="92"/>
        <v>1.85</v>
      </c>
      <c r="P391" s="113">
        <f t="shared" ca="1" si="93"/>
        <v>46302.679967999997</v>
      </c>
      <c r="Q391" s="114">
        <f t="shared" ca="1" si="94"/>
        <v>46317.679967999997</v>
      </c>
      <c r="R391" s="114" t="b">
        <f t="shared" ca="1" si="81"/>
        <v>1</v>
      </c>
      <c r="S391" s="115">
        <f t="shared" ca="1" si="82"/>
        <v>15</v>
      </c>
      <c r="T391" s="126">
        <f t="shared" ca="1" si="83"/>
        <v>46332.679967999997</v>
      </c>
      <c r="U391" s="127" t="str">
        <f t="shared" si="96"/>
        <v>S</v>
      </c>
      <c r="V391" s="128">
        <f t="shared" si="95"/>
        <v>-6.7866666666666688</v>
      </c>
      <c r="W391" s="129">
        <f t="shared" si="84"/>
        <v>-6.7866666666666688</v>
      </c>
      <c r="X391" s="197"/>
      <c r="Y391" s="115">
        <f t="shared" ca="1" si="85"/>
        <v>211</v>
      </c>
      <c r="Z391" s="118">
        <f t="shared" ca="1" si="86"/>
        <v>0.42191780821917813</v>
      </c>
      <c r="AA391" s="116"/>
      <c r="AB391" s="117">
        <f t="shared" si="87"/>
        <v>9.1857096295021563</v>
      </c>
      <c r="AC391" s="118">
        <f t="shared" si="88"/>
        <v>0.46607123456258986</v>
      </c>
      <c r="AE391" s="55"/>
      <c r="AF391" s="72"/>
      <c r="AG391" s="72"/>
      <c r="AH391" s="66"/>
      <c r="AJ391" t="s">
        <v>679</v>
      </c>
    </row>
    <row r="392" spans="1:36" ht="16" hidden="1" thickBot="1" x14ac:dyDescent="0.25">
      <c r="A392" s="119" t="s">
        <v>240</v>
      </c>
      <c r="B392" s="120" t="s">
        <v>1272</v>
      </c>
      <c r="C392" s="108" t="str">
        <f t="shared" si="89"/>
        <v>/Applications/Stellarium.app/Contents/Resources/nebulae/default/n1232.png</v>
      </c>
      <c r="D392" s="121" t="s">
        <v>1822</v>
      </c>
      <c r="E392" s="109"/>
      <c r="F392" s="122">
        <v>3</v>
      </c>
      <c r="G392" s="123">
        <v>10</v>
      </c>
      <c r="H392" s="122">
        <v>-21</v>
      </c>
      <c r="I392" s="124">
        <v>16</v>
      </c>
      <c r="J392" s="112" t="s">
        <v>824</v>
      </c>
      <c r="K392" s="125">
        <v>13.4</v>
      </c>
      <c r="L392" s="196"/>
      <c r="M392" s="110">
        <f t="shared" si="90"/>
        <v>-20.733333333333334</v>
      </c>
      <c r="N392" s="111">
        <f t="shared" si="91"/>
        <v>17.046666666666667</v>
      </c>
      <c r="O392" s="112">
        <f t="shared" si="92"/>
        <v>3.1666666666666665</v>
      </c>
      <c r="P392" s="113">
        <f t="shared" ca="1" si="93"/>
        <v>46322.717528000001</v>
      </c>
      <c r="Q392" s="114">
        <f t="shared" ca="1" si="94"/>
        <v>46337.717528000001</v>
      </c>
      <c r="R392" s="114" t="b">
        <f t="shared" ca="1" si="81"/>
        <v>0</v>
      </c>
      <c r="S392" s="115">
        <f t="shared" ca="1" si="82"/>
        <v>0</v>
      </c>
      <c r="T392" s="126">
        <f t="shared" ca="1" si="83"/>
        <v>46337.717528000001</v>
      </c>
      <c r="U392" s="127" t="str">
        <f t="shared" si="96"/>
        <v>S</v>
      </c>
      <c r="V392" s="128">
        <f t="shared" si="95"/>
        <v>17.046666666666667</v>
      </c>
      <c r="W392" s="129">
        <f t="shared" si="84"/>
        <v>17.046666666666667</v>
      </c>
      <c r="X392" s="197"/>
      <c r="Y392" s="115">
        <f t="shared" ca="1" si="85"/>
        <v>191</v>
      </c>
      <c r="Z392" s="118">
        <f t="shared" ca="1" si="86"/>
        <v>0.47671232876712333</v>
      </c>
      <c r="AA392" s="116"/>
      <c r="AB392" s="117">
        <f t="shared" si="87"/>
        <v>10.498781225169825</v>
      </c>
      <c r="AC392" s="118">
        <f t="shared" si="88"/>
        <v>0.52078255104874271</v>
      </c>
      <c r="AE392" s="55"/>
      <c r="AF392" s="72"/>
      <c r="AG392" s="72"/>
      <c r="AH392" s="66"/>
      <c r="AJ392" t="s">
        <v>240</v>
      </c>
    </row>
    <row r="393" spans="1:36" ht="16" hidden="1" thickBot="1" x14ac:dyDescent="0.25">
      <c r="A393" s="119" t="s">
        <v>567</v>
      </c>
      <c r="B393" s="120" t="s">
        <v>1277</v>
      </c>
      <c r="C393" s="108" t="str">
        <f t="shared" si="89"/>
        <v>/Applications/Stellarium.app/Contents/Resources/nebulae/default/ic289.png</v>
      </c>
      <c r="D393" s="121" t="s">
        <v>1823</v>
      </c>
      <c r="E393" s="109"/>
      <c r="F393" s="122">
        <v>3</v>
      </c>
      <c r="G393" s="123">
        <v>10</v>
      </c>
      <c r="H393" s="122">
        <v>61</v>
      </c>
      <c r="I393" s="124">
        <v>17</v>
      </c>
      <c r="J393" s="112" t="s">
        <v>1035</v>
      </c>
      <c r="K393" s="125">
        <v>14.3</v>
      </c>
      <c r="L393" s="196"/>
      <c r="M393" s="110">
        <f t="shared" si="90"/>
        <v>61.283333333333331</v>
      </c>
      <c r="N393" s="111">
        <f t="shared" si="91"/>
        <v>99.063333333333333</v>
      </c>
      <c r="O393" s="112">
        <f t="shared" si="92"/>
        <v>3.1666666666666665</v>
      </c>
      <c r="P393" s="113">
        <f t="shared" ca="1" si="93"/>
        <v>46322.717528000001</v>
      </c>
      <c r="Q393" s="114">
        <f t="shared" ca="1" si="94"/>
        <v>46337.717528000001</v>
      </c>
      <c r="R393" s="114" t="b">
        <f t="shared" ca="1" si="81"/>
        <v>0</v>
      </c>
      <c r="S393" s="115">
        <f t="shared" ca="1" si="82"/>
        <v>0</v>
      </c>
      <c r="T393" s="126">
        <f t="shared" ca="1" si="83"/>
        <v>46337.717528000001</v>
      </c>
      <c r="U393" s="127" t="str">
        <f t="shared" si="96"/>
        <v>N</v>
      </c>
      <c r="V393" s="128">
        <f t="shared" si="95"/>
        <v>80.936666666666667</v>
      </c>
      <c r="W393" s="129">
        <f t="shared" si="84"/>
        <v>80.936666666666667</v>
      </c>
      <c r="X393" s="197"/>
      <c r="Y393" s="115">
        <f t="shared" ca="1" si="85"/>
        <v>191</v>
      </c>
      <c r="Z393" s="118">
        <f t="shared" ca="1" si="86"/>
        <v>0.47671232876712333</v>
      </c>
      <c r="AA393" s="116"/>
      <c r="AB393" s="117">
        <f t="shared" si="87"/>
        <v>10.498781225169825</v>
      </c>
      <c r="AC393" s="118">
        <f t="shared" si="88"/>
        <v>0.52078255104874271</v>
      </c>
      <c r="AE393" s="55"/>
      <c r="AF393" s="72"/>
      <c r="AG393" s="72"/>
      <c r="AH393" s="66"/>
      <c r="AJ393" t="s">
        <v>567</v>
      </c>
    </row>
    <row r="394" spans="1:36" ht="16" hidden="1" thickBot="1" x14ac:dyDescent="0.25">
      <c r="A394" s="119" t="s">
        <v>62</v>
      </c>
      <c r="B394" s="120" t="s">
        <v>1367</v>
      </c>
      <c r="C394" s="108" t="str">
        <f t="shared" si="89"/>
        <v>/Applications/Stellarium.app/Contents/Resources/nebulae/default/ic1848.png</v>
      </c>
      <c r="D394" s="121" t="s">
        <v>1824</v>
      </c>
      <c r="E394" s="109"/>
      <c r="F394" s="122">
        <v>3</v>
      </c>
      <c r="G394" s="123">
        <v>11</v>
      </c>
      <c r="H394" s="122">
        <v>59</v>
      </c>
      <c r="I394" s="124">
        <v>25</v>
      </c>
      <c r="J394" s="112" t="s">
        <v>1100</v>
      </c>
      <c r="K394" s="125">
        <v>14</v>
      </c>
      <c r="L394" s="196"/>
      <c r="M394" s="110">
        <f t="shared" si="90"/>
        <v>59.416666666666664</v>
      </c>
      <c r="N394" s="111">
        <f t="shared" si="91"/>
        <v>97.196666666666658</v>
      </c>
      <c r="O394" s="112">
        <f t="shared" si="92"/>
        <v>3.1833333333333331</v>
      </c>
      <c r="P394" s="113">
        <f t="shared" ca="1" si="93"/>
        <v>46322.971167999996</v>
      </c>
      <c r="Q394" s="114">
        <f t="shared" ca="1" si="94"/>
        <v>46337.971167999996</v>
      </c>
      <c r="R394" s="114" t="b">
        <f t="shared" ca="1" si="81"/>
        <v>0</v>
      </c>
      <c r="S394" s="115">
        <f t="shared" ca="1" si="82"/>
        <v>0</v>
      </c>
      <c r="T394" s="126">
        <f t="shared" ca="1" si="83"/>
        <v>46337.971167999996</v>
      </c>
      <c r="U394" s="127" t="str">
        <f t="shared" si="96"/>
        <v>N</v>
      </c>
      <c r="V394" s="128">
        <f t="shared" si="95"/>
        <v>82.803333333333342</v>
      </c>
      <c r="W394" s="129">
        <f t="shared" si="84"/>
        <v>82.803333333333342</v>
      </c>
      <c r="X394" s="197"/>
      <c r="Y394" s="115">
        <f t="shared" ca="1" si="85"/>
        <v>191</v>
      </c>
      <c r="Z394" s="118">
        <f t="shared" ca="1" si="86"/>
        <v>0.47671232876712333</v>
      </c>
      <c r="AA394" s="116"/>
      <c r="AB394" s="117">
        <f t="shared" si="87"/>
        <v>10.515402384608658</v>
      </c>
      <c r="AC394" s="118">
        <f t="shared" si="88"/>
        <v>0.52147509935869407</v>
      </c>
      <c r="AE394" s="55" t="s">
        <v>0</v>
      </c>
      <c r="AF394" s="72" t="s">
        <v>51</v>
      </c>
      <c r="AG394" s="72">
        <v>2600</v>
      </c>
      <c r="AH394" s="66" t="s">
        <v>60</v>
      </c>
      <c r="AJ394" t="s">
        <v>62</v>
      </c>
    </row>
    <row r="395" spans="1:36" ht="16" hidden="1" thickBot="1" x14ac:dyDescent="0.25">
      <c r="A395" s="119" t="s">
        <v>241</v>
      </c>
      <c r="B395" s="120" t="s">
        <v>1191</v>
      </c>
      <c r="C395" s="108" t="str">
        <f t="shared" si="89"/>
        <v>/Applications/Stellarium.app/Contents/Resources/nebulae/default/n1261.png</v>
      </c>
      <c r="D395" s="121" t="s">
        <v>1825</v>
      </c>
      <c r="E395" s="109"/>
      <c r="F395" s="122">
        <v>3</v>
      </c>
      <c r="G395" s="123">
        <v>13</v>
      </c>
      <c r="H395" s="122">
        <v>-56</v>
      </c>
      <c r="I395" s="124">
        <v>39</v>
      </c>
      <c r="J395" s="112" t="s">
        <v>56</v>
      </c>
      <c r="K395" s="125">
        <v>12.5</v>
      </c>
      <c r="L395" s="196"/>
      <c r="M395" s="110">
        <f t="shared" si="90"/>
        <v>-55.35</v>
      </c>
      <c r="N395" s="111">
        <f t="shared" si="91"/>
        <v>-17.57</v>
      </c>
      <c r="O395" s="112">
        <f t="shared" si="92"/>
        <v>3.2166666666666668</v>
      </c>
      <c r="P395" s="113">
        <f t="shared" ca="1" si="93"/>
        <v>46323.478448000002</v>
      </c>
      <c r="Q395" s="114">
        <f t="shared" ca="1" si="94"/>
        <v>46338.478448000002</v>
      </c>
      <c r="R395" s="114" t="b">
        <f t="shared" ref="R395:R458" ca="1" si="97">AND(Q395&gt;=DATE(YEAR(Q395),3,31)-WEEKDAY(DATE(YEAR(Q395),3,31),2),Q395&lt;DATE(YEAR(Q395),10,31)-WEEKDAY(DATE(YEAR(Q395),10,31),2))</f>
        <v>0</v>
      </c>
      <c r="S395" s="115">
        <f t="shared" ref="S395:S458" ca="1" si="98">IF(R395,15,0)</f>
        <v>0</v>
      </c>
      <c r="T395" s="126">
        <f t="shared" ref="T395:T458" ca="1" si="99">Q395+S395</f>
        <v>46338.478448000002</v>
      </c>
      <c r="U395" s="127" t="str">
        <f t="shared" si="96"/>
        <v>S</v>
      </c>
      <c r="V395" s="128">
        <f t="shared" si="95"/>
        <v>-17.57</v>
      </c>
      <c r="W395" s="129">
        <f t="shared" ref="W395:W458" si="100">IF(M395&lt;&gt;0,V395,"")</f>
        <v>-17.57</v>
      </c>
      <c r="X395" s="197"/>
      <c r="Y395" s="115">
        <f t="shared" ref="Y395:Y458" ca="1" si="101">INT(IF(AC$7&gt;T395,AC$7-T395,AC$7+365-T395)+0.5)+S395</f>
        <v>191</v>
      </c>
      <c r="Z395" s="118">
        <f t="shared" ref="Z395:Z458" ca="1" si="102">$AB$5-Y395/365</f>
        <v>0.47671232876712333</v>
      </c>
      <c r="AA395" s="116"/>
      <c r="AB395" s="117">
        <f t="shared" ref="AB395:AB458" si="103">MOD(O395-AB$10,24)/1.00273790935</f>
        <v>10.548644703486319</v>
      </c>
      <c r="AC395" s="118">
        <f t="shared" ref="AC395:AC458" si="104">(IF(M395&lt;&gt;0,MOD(AB395+AB$11,24)/24,""))</f>
        <v>0.52286019597859668</v>
      </c>
      <c r="AE395" s="55"/>
      <c r="AF395" s="72"/>
      <c r="AG395" s="72"/>
      <c r="AH395" s="66"/>
      <c r="AJ395" t="s">
        <v>241</v>
      </c>
    </row>
    <row r="396" spans="1:36" ht="16" hidden="1" thickBot="1" x14ac:dyDescent="0.25">
      <c r="A396" s="119" t="s">
        <v>242</v>
      </c>
      <c r="B396" s="120" t="s">
        <v>1272</v>
      </c>
      <c r="C396" s="108" t="str">
        <f t="shared" ref="C396:C459" si="105">CONCATENATE(A$9&amp;D396)</f>
        <v>/Applications/Stellarium.app/Contents/Resources/nebulae/default/n1269.png</v>
      </c>
      <c r="D396" s="121" t="s">
        <v>1826</v>
      </c>
      <c r="E396" s="109"/>
      <c r="F396" s="122">
        <v>3</v>
      </c>
      <c r="G396" s="123">
        <v>17</v>
      </c>
      <c r="H396" s="122">
        <v>-42</v>
      </c>
      <c r="I396" s="124">
        <v>46</v>
      </c>
      <c r="J396" s="112" t="s">
        <v>825</v>
      </c>
      <c r="K396" s="125">
        <v>13.2</v>
      </c>
      <c r="L396" s="196"/>
      <c r="M396" s="110">
        <f t="shared" ref="M396:M459" si="106">H396+I396/60</f>
        <v>-41.233333333333334</v>
      </c>
      <c r="N396" s="111">
        <f t="shared" ref="N396:N459" si="107">90-$B$6+M396</f>
        <v>-3.4533333333333331</v>
      </c>
      <c r="O396" s="112">
        <f t="shared" ref="O396:O459" si="108">F396+G396/60</f>
        <v>3.2833333333333332</v>
      </c>
      <c r="P396" s="113">
        <f t="shared" ref="P396:P459" ca="1" si="109">DATE(YEAR(TODAY()),3,21)+MOD(O396-12-$B$7/15,24)*15.2184</f>
        <v>46324.493007999998</v>
      </c>
      <c r="Q396" s="114">
        <f t="shared" ref="Q396:Q459" ca="1" si="110">DATE(YEAR(TODAY()),3,21)+MOD(O396-12-$B$7/15,24)*15.2184+15</f>
        <v>46339.493007999998</v>
      </c>
      <c r="R396" s="114" t="b">
        <f t="shared" ca="1" si="97"/>
        <v>0</v>
      </c>
      <c r="S396" s="115">
        <f t="shared" ca="1" si="98"/>
        <v>0</v>
      </c>
      <c r="T396" s="126">
        <f t="shared" ca="1" si="99"/>
        <v>46339.493007999998</v>
      </c>
      <c r="U396" s="127" t="str">
        <f t="shared" si="96"/>
        <v>S</v>
      </c>
      <c r="V396" s="128">
        <f t="shared" ref="V396:V459" si="111">IF(90-B$6+M396&gt;90,180-90+B$6-M396,90-B$6+M396)</f>
        <v>-3.4533333333333331</v>
      </c>
      <c r="W396" s="129">
        <f t="shared" si="100"/>
        <v>-3.4533333333333331</v>
      </c>
      <c r="X396" s="197"/>
      <c r="Y396" s="115">
        <f t="shared" ca="1" si="101"/>
        <v>190</v>
      </c>
      <c r="Z396" s="118">
        <f t="shared" ca="1" si="102"/>
        <v>0.47945205479452058</v>
      </c>
      <c r="AA396" s="116"/>
      <c r="AB396" s="117">
        <f t="shared" si="103"/>
        <v>10.615129341241644</v>
      </c>
      <c r="AC396" s="118">
        <f t="shared" si="104"/>
        <v>0.52563038921840188</v>
      </c>
      <c r="AE396" s="55"/>
      <c r="AF396" s="72"/>
      <c r="AG396" s="72"/>
      <c r="AH396" s="66"/>
      <c r="AJ396" t="s">
        <v>242</v>
      </c>
    </row>
    <row r="397" spans="1:36" ht="16" hidden="1" thickBot="1" x14ac:dyDescent="0.25">
      <c r="A397" s="119" t="s">
        <v>244</v>
      </c>
      <c r="B397" s="120" t="s">
        <v>1272</v>
      </c>
      <c r="C397" s="108" t="str">
        <f t="shared" si="105"/>
        <v>/Applications/Stellarium.app/Contents/Resources/nebulae/default/n1313.png</v>
      </c>
      <c r="D397" s="121" t="s">
        <v>1827</v>
      </c>
      <c r="E397" s="109"/>
      <c r="F397" s="122">
        <v>3</v>
      </c>
      <c r="G397" s="123">
        <v>19</v>
      </c>
      <c r="H397" s="122">
        <v>-67</v>
      </c>
      <c r="I397" s="124">
        <v>23</v>
      </c>
      <c r="J397" s="112" t="s">
        <v>827</v>
      </c>
      <c r="K397" s="125">
        <v>14</v>
      </c>
      <c r="L397" s="196"/>
      <c r="M397" s="110">
        <f t="shared" si="106"/>
        <v>-66.61666666666666</v>
      </c>
      <c r="N397" s="111">
        <f t="shared" si="107"/>
        <v>-28.836666666666659</v>
      </c>
      <c r="O397" s="112">
        <f t="shared" si="108"/>
        <v>3.3166666666666664</v>
      </c>
      <c r="P397" s="113">
        <f t="shared" ca="1" si="109"/>
        <v>46325.000288000003</v>
      </c>
      <c r="Q397" s="114">
        <f t="shared" ca="1" si="110"/>
        <v>46340.000288000003</v>
      </c>
      <c r="R397" s="114" t="b">
        <f t="shared" ca="1" si="97"/>
        <v>0</v>
      </c>
      <c r="S397" s="115">
        <f t="shared" ca="1" si="98"/>
        <v>0</v>
      </c>
      <c r="T397" s="126">
        <f t="shared" ca="1" si="99"/>
        <v>46340.000288000003</v>
      </c>
      <c r="U397" s="127" t="str">
        <f t="shared" si="96"/>
        <v>S</v>
      </c>
      <c r="V397" s="128">
        <f t="shared" si="111"/>
        <v>-28.836666666666659</v>
      </c>
      <c r="W397" s="129">
        <f t="shared" si="100"/>
        <v>-28.836666666666659</v>
      </c>
      <c r="X397" s="197"/>
      <c r="Y397" s="115">
        <f t="shared" ca="1" si="101"/>
        <v>189</v>
      </c>
      <c r="Z397" s="118">
        <f t="shared" ca="1" si="102"/>
        <v>0.48219178082191783</v>
      </c>
      <c r="AA397" s="116"/>
      <c r="AB397" s="117">
        <f t="shared" si="103"/>
        <v>10.648371660119306</v>
      </c>
      <c r="AC397" s="118">
        <f t="shared" si="104"/>
        <v>0.52701548583830438</v>
      </c>
      <c r="AE397" s="55"/>
      <c r="AF397" s="72"/>
      <c r="AG397" s="72"/>
      <c r="AH397" s="66"/>
      <c r="AJ397" t="s">
        <v>244</v>
      </c>
    </row>
    <row r="398" spans="1:36" ht="16" hidden="1" thickBot="1" x14ac:dyDescent="0.25">
      <c r="A398" s="119" t="s">
        <v>243</v>
      </c>
      <c r="B398" s="120" t="s">
        <v>1272</v>
      </c>
      <c r="C398" s="108" t="str">
        <f t="shared" si="105"/>
        <v>/Applications/Stellarium.app/Contents/Resources/nebulae/default/n1300.png</v>
      </c>
      <c r="D398" s="121" t="s">
        <v>1828</v>
      </c>
      <c r="E398" s="109"/>
      <c r="F398" s="122">
        <v>3</v>
      </c>
      <c r="G398" s="123">
        <v>20</v>
      </c>
      <c r="H398" s="122">
        <v>-20</v>
      </c>
      <c r="I398" s="124">
        <v>37</v>
      </c>
      <c r="J398" s="112" t="s">
        <v>826</v>
      </c>
      <c r="K398" s="125">
        <v>13.4</v>
      </c>
      <c r="L398" s="196"/>
      <c r="M398" s="110">
        <f t="shared" si="106"/>
        <v>-19.383333333333333</v>
      </c>
      <c r="N398" s="111">
        <f t="shared" si="107"/>
        <v>18.396666666666668</v>
      </c>
      <c r="O398" s="112">
        <f t="shared" si="108"/>
        <v>3.3333333333333335</v>
      </c>
      <c r="P398" s="113">
        <f t="shared" ca="1" si="109"/>
        <v>46325.253927999998</v>
      </c>
      <c r="Q398" s="114">
        <f t="shared" ca="1" si="110"/>
        <v>46340.253927999998</v>
      </c>
      <c r="R398" s="114" t="b">
        <f t="shared" ca="1" si="97"/>
        <v>0</v>
      </c>
      <c r="S398" s="115">
        <f t="shared" ca="1" si="98"/>
        <v>0</v>
      </c>
      <c r="T398" s="126">
        <f t="shared" ca="1" si="99"/>
        <v>46340.253927999998</v>
      </c>
      <c r="U398" s="127" t="str">
        <f t="shared" si="96"/>
        <v>S</v>
      </c>
      <c r="V398" s="128">
        <f t="shared" si="111"/>
        <v>18.396666666666668</v>
      </c>
      <c r="W398" s="129">
        <f t="shared" si="100"/>
        <v>18.396666666666668</v>
      </c>
      <c r="X398" s="197"/>
      <c r="Y398" s="115">
        <f t="shared" ca="1" si="101"/>
        <v>189</v>
      </c>
      <c r="Z398" s="118">
        <f t="shared" ca="1" si="102"/>
        <v>0.48219178082191783</v>
      </c>
      <c r="AA398" s="116"/>
      <c r="AB398" s="117">
        <f t="shared" si="103"/>
        <v>10.664992819558138</v>
      </c>
      <c r="AC398" s="118">
        <f t="shared" si="104"/>
        <v>0.52770803414825573</v>
      </c>
      <c r="AE398" s="55"/>
      <c r="AF398" s="72"/>
      <c r="AG398" s="72"/>
      <c r="AH398" s="66"/>
      <c r="AJ398" t="s">
        <v>243</v>
      </c>
    </row>
    <row r="399" spans="1:36" ht="16" hidden="1" thickBot="1" x14ac:dyDescent="0.25">
      <c r="A399" s="119" t="s">
        <v>718</v>
      </c>
      <c r="B399" s="120" t="s">
        <v>1442</v>
      </c>
      <c r="C399" s="108" t="str">
        <f t="shared" si="105"/>
        <v>/Applications/Stellarium.app/Contents/Resources/nebulae/default/perseus_cluster.png</v>
      </c>
      <c r="D399" s="121" t="s">
        <v>1829</v>
      </c>
      <c r="E399" s="109"/>
      <c r="F399" s="122">
        <v>3</v>
      </c>
      <c r="G399" s="123">
        <v>20</v>
      </c>
      <c r="H399" s="122">
        <v>41</v>
      </c>
      <c r="I399" s="124">
        <v>12</v>
      </c>
      <c r="J399" s="112" t="s">
        <v>1144</v>
      </c>
      <c r="K399" s="125">
        <v>13.2</v>
      </c>
      <c r="L399" s="196"/>
      <c r="M399" s="110">
        <f t="shared" si="106"/>
        <v>41.2</v>
      </c>
      <c r="N399" s="111">
        <f t="shared" si="107"/>
        <v>78.98</v>
      </c>
      <c r="O399" s="112">
        <f t="shared" si="108"/>
        <v>3.3333333333333335</v>
      </c>
      <c r="P399" s="113">
        <f t="shared" ca="1" si="109"/>
        <v>46325.253927999998</v>
      </c>
      <c r="Q399" s="114">
        <f t="shared" ca="1" si="110"/>
        <v>46340.253927999998</v>
      </c>
      <c r="R399" s="114" t="b">
        <f t="shared" ca="1" si="97"/>
        <v>0</v>
      </c>
      <c r="S399" s="115">
        <f t="shared" ca="1" si="98"/>
        <v>0</v>
      </c>
      <c r="T399" s="126">
        <f t="shared" ca="1" si="99"/>
        <v>46340.253927999998</v>
      </c>
      <c r="U399" s="127" t="str">
        <f t="shared" si="96"/>
        <v>S</v>
      </c>
      <c r="V399" s="128">
        <f t="shared" si="111"/>
        <v>78.98</v>
      </c>
      <c r="W399" s="129">
        <f t="shared" si="100"/>
        <v>78.98</v>
      </c>
      <c r="X399" s="197"/>
      <c r="Y399" s="115">
        <f t="shared" ca="1" si="101"/>
        <v>189</v>
      </c>
      <c r="Z399" s="118">
        <f t="shared" ca="1" si="102"/>
        <v>0.48219178082191783</v>
      </c>
      <c r="AA399" s="116"/>
      <c r="AB399" s="117">
        <f t="shared" si="103"/>
        <v>10.664992819558138</v>
      </c>
      <c r="AC399" s="118">
        <f t="shared" si="104"/>
        <v>0.52770803414825573</v>
      </c>
      <c r="AE399" s="55"/>
      <c r="AF399" s="72"/>
      <c r="AG399" s="72"/>
      <c r="AH399" s="66"/>
      <c r="AJ399" t="s">
        <v>718</v>
      </c>
    </row>
    <row r="400" spans="1:36" ht="16" hidden="1" thickBot="1" x14ac:dyDescent="0.25">
      <c r="A400" s="119" t="s">
        <v>245</v>
      </c>
      <c r="B400" s="120" t="s">
        <v>1230</v>
      </c>
      <c r="C400" s="108" t="str">
        <f t="shared" si="105"/>
        <v>/Applications/Stellarium.app/Contents/Resources/nebulae/default/n1316.png</v>
      </c>
      <c r="D400" s="121" t="s">
        <v>1830</v>
      </c>
      <c r="E400" s="109"/>
      <c r="F400" s="122">
        <v>3</v>
      </c>
      <c r="G400" s="123">
        <v>23</v>
      </c>
      <c r="H400" s="122">
        <v>-38</v>
      </c>
      <c r="I400" s="124">
        <v>35</v>
      </c>
      <c r="J400" s="112" t="s">
        <v>753</v>
      </c>
      <c r="K400" s="125">
        <v>12.8</v>
      </c>
      <c r="L400" s="196"/>
      <c r="M400" s="110">
        <f t="shared" si="106"/>
        <v>-37.416666666666664</v>
      </c>
      <c r="N400" s="111">
        <f t="shared" si="107"/>
        <v>0.36333333333333684</v>
      </c>
      <c r="O400" s="112">
        <f t="shared" si="108"/>
        <v>3.3833333333333333</v>
      </c>
      <c r="P400" s="113">
        <f t="shared" ca="1" si="109"/>
        <v>46326.014847999999</v>
      </c>
      <c r="Q400" s="114">
        <f t="shared" ca="1" si="110"/>
        <v>46341.014847999999</v>
      </c>
      <c r="R400" s="114" t="b">
        <f t="shared" ca="1" si="97"/>
        <v>0</v>
      </c>
      <c r="S400" s="115">
        <f t="shared" ca="1" si="98"/>
        <v>0</v>
      </c>
      <c r="T400" s="126">
        <f t="shared" ca="1" si="99"/>
        <v>46341.014847999999</v>
      </c>
      <c r="U400" s="127" t="str">
        <f t="shared" si="96"/>
        <v>S</v>
      </c>
      <c r="V400" s="128">
        <f t="shared" si="111"/>
        <v>0.36333333333333684</v>
      </c>
      <c r="W400" s="129">
        <f t="shared" si="100"/>
        <v>0.36333333333333684</v>
      </c>
      <c r="X400" s="197"/>
      <c r="Y400" s="115">
        <f t="shared" ca="1" si="101"/>
        <v>188</v>
      </c>
      <c r="Z400" s="118">
        <f t="shared" ca="1" si="102"/>
        <v>0.48493150684931507</v>
      </c>
      <c r="AA400" s="116"/>
      <c r="AB400" s="117">
        <f t="shared" si="103"/>
        <v>10.714856297874631</v>
      </c>
      <c r="AC400" s="118">
        <f t="shared" si="104"/>
        <v>0.52978567907810958</v>
      </c>
      <c r="AE400" s="55"/>
      <c r="AF400" s="72"/>
      <c r="AG400" s="72"/>
      <c r="AH400" s="66"/>
      <c r="AJ400" t="s">
        <v>245</v>
      </c>
    </row>
    <row r="401" spans="1:36" ht="16" hidden="1" thickBot="1" x14ac:dyDescent="0.25">
      <c r="A401" s="119" t="s">
        <v>246</v>
      </c>
      <c r="B401" s="120" t="s">
        <v>1276</v>
      </c>
      <c r="C401" s="108" t="str">
        <f t="shared" si="105"/>
        <v>/Applications/Stellarium.app/Contents/Resources/nebulae/default/n1333.png</v>
      </c>
      <c r="D401" s="121" t="s">
        <v>1831</v>
      </c>
      <c r="E401" s="109"/>
      <c r="F401" s="122">
        <v>3</v>
      </c>
      <c r="G401" s="123">
        <v>30</v>
      </c>
      <c r="H401" s="122">
        <v>31</v>
      </c>
      <c r="I401" s="124">
        <v>9</v>
      </c>
      <c r="J401" s="112" t="s">
        <v>828</v>
      </c>
      <c r="K401" s="125">
        <v>14.6</v>
      </c>
      <c r="L401" s="196"/>
      <c r="M401" s="110">
        <f t="shared" si="106"/>
        <v>31.15</v>
      </c>
      <c r="N401" s="111">
        <f t="shared" si="107"/>
        <v>68.930000000000007</v>
      </c>
      <c r="O401" s="112">
        <f t="shared" si="108"/>
        <v>3.5</v>
      </c>
      <c r="P401" s="113">
        <f t="shared" ca="1" si="109"/>
        <v>46327.790328000003</v>
      </c>
      <c r="Q401" s="114">
        <f t="shared" ca="1" si="110"/>
        <v>46342.790328000003</v>
      </c>
      <c r="R401" s="114" t="b">
        <f t="shared" ca="1" si="97"/>
        <v>0</v>
      </c>
      <c r="S401" s="115">
        <f t="shared" ca="1" si="98"/>
        <v>0</v>
      </c>
      <c r="T401" s="126">
        <f t="shared" ca="1" si="99"/>
        <v>46342.790328000003</v>
      </c>
      <c r="U401" s="127" t="str">
        <f t="shared" si="96"/>
        <v>S</v>
      </c>
      <c r="V401" s="128">
        <f t="shared" si="111"/>
        <v>68.930000000000007</v>
      </c>
      <c r="W401" s="129">
        <f t="shared" si="100"/>
        <v>68.930000000000007</v>
      </c>
      <c r="X401" s="197"/>
      <c r="Y401" s="115">
        <f t="shared" ca="1" si="101"/>
        <v>186</v>
      </c>
      <c r="Z401" s="118">
        <f t="shared" ca="1" si="102"/>
        <v>0.49041095890410957</v>
      </c>
      <c r="AA401" s="116"/>
      <c r="AB401" s="117">
        <f t="shared" si="103"/>
        <v>10.83120441394645</v>
      </c>
      <c r="AC401" s="118">
        <f t="shared" si="104"/>
        <v>0.53463351724776875</v>
      </c>
      <c r="AE401" s="55"/>
      <c r="AF401" s="72"/>
      <c r="AG401" s="72"/>
      <c r="AH401" s="66"/>
      <c r="AJ401" t="s">
        <v>246</v>
      </c>
    </row>
    <row r="402" spans="1:36" ht="16" hidden="1" thickBot="1" x14ac:dyDescent="0.25">
      <c r="A402" s="119" t="s">
        <v>247</v>
      </c>
      <c r="B402" s="120" t="s">
        <v>1277</v>
      </c>
      <c r="C402" s="108" t="str">
        <f t="shared" si="105"/>
        <v>/Applications/Stellarium.app/Contents/Resources/nebulae/default/n1360.png</v>
      </c>
      <c r="D402" s="121" t="s">
        <v>1832</v>
      </c>
      <c r="E402" s="109"/>
      <c r="F402" s="122">
        <v>3</v>
      </c>
      <c r="G402" s="123">
        <v>33</v>
      </c>
      <c r="H402" s="122">
        <v>-27</v>
      </c>
      <c r="I402" s="124">
        <v>59</v>
      </c>
      <c r="J402" s="112" t="s">
        <v>829</v>
      </c>
      <c r="K402" s="125">
        <v>14.2</v>
      </c>
      <c r="L402" s="196"/>
      <c r="M402" s="110">
        <f t="shared" si="106"/>
        <v>-26.016666666666666</v>
      </c>
      <c r="N402" s="111">
        <f t="shared" si="107"/>
        <v>11.763333333333335</v>
      </c>
      <c r="O402" s="112">
        <f t="shared" si="108"/>
        <v>3.55</v>
      </c>
      <c r="P402" s="113">
        <f t="shared" ca="1" si="109"/>
        <v>46328.551248000003</v>
      </c>
      <c r="Q402" s="114">
        <f t="shared" ca="1" si="110"/>
        <v>46343.551248000003</v>
      </c>
      <c r="R402" s="114" t="b">
        <f t="shared" ca="1" si="97"/>
        <v>0</v>
      </c>
      <c r="S402" s="115">
        <f t="shared" ca="1" si="98"/>
        <v>0</v>
      </c>
      <c r="T402" s="126">
        <f t="shared" ca="1" si="99"/>
        <v>46343.551248000003</v>
      </c>
      <c r="U402" s="127" t="str">
        <f t="shared" si="96"/>
        <v>S</v>
      </c>
      <c r="V402" s="128">
        <f t="shared" si="111"/>
        <v>11.763333333333335</v>
      </c>
      <c r="W402" s="129">
        <f t="shared" si="100"/>
        <v>11.763333333333335</v>
      </c>
      <c r="X402" s="197"/>
      <c r="Y402" s="115">
        <f t="shared" ca="1" si="101"/>
        <v>185</v>
      </c>
      <c r="Z402" s="118">
        <f t="shared" ca="1" si="102"/>
        <v>0.49315068493150682</v>
      </c>
      <c r="AA402" s="116"/>
      <c r="AB402" s="117">
        <f t="shared" si="103"/>
        <v>10.881067892262944</v>
      </c>
      <c r="AC402" s="118">
        <f t="shared" si="104"/>
        <v>0.53671116217762271</v>
      </c>
      <c r="AE402" s="55"/>
      <c r="AF402" s="72"/>
      <c r="AG402" s="72"/>
      <c r="AH402" s="66"/>
      <c r="AJ402" t="s">
        <v>247</v>
      </c>
    </row>
    <row r="403" spans="1:36" ht="16" hidden="1" thickBot="1" x14ac:dyDescent="0.25">
      <c r="A403" s="119" t="s">
        <v>690</v>
      </c>
      <c r="B403" s="120" t="s">
        <v>1276</v>
      </c>
      <c r="C403" s="108" t="str">
        <f t="shared" si="105"/>
        <v>/Applications/Stellarium.app/Contents/Resources/nebulae/default/vdb14.png</v>
      </c>
      <c r="D403" s="121" t="s">
        <v>1833</v>
      </c>
      <c r="E403" s="109"/>
      <c r="F403" s="122">
        <v>3</v>
      </c>
      <c r="G403" s="123">
        <v>33</v>
      </c>
      <c r="H403" s="122">
        <v>59</v>
      </c>
      <c r="I403" s="124">
        <v>20</v>
      </c>
      <c r="J403" s="112" t="s">
        <v>1168</v>
      </c>
      <c r="K403" s="125">
        <v>14.1</v>
      </c>
      <c r="L403" s="196"/>
      <c r="M403" s="110">
        <f t="shared" si="106"/>
        <v>59.333333333333336</v>
      </c>
      <c r="N403" s="111">
        <f t="shared" si="107"/>
        <v>97.113333333333344</v>
      </c>
      <c r="O403" s="112">
        <f t="shared" si="108"/>
        <v>3.55</v>
      </c>
      <c r="P403" s="113">
        <f t="shared" ca="1" si="109"/>
        <v>46328.551248000003</v>
      </c>
      <c r="Q403" s="114">
        <f t="shared" ca="1" si="110"/>
        <v>46343.551248000003</v>
      </c>
      <c r="R403" s="114" t="b">
        <f t="shared" ca="1" si="97"/>
        <v>0</v>
      </c>
      <c r="S403" s="115">
        <f t="shared" ca="1" si="98"/>
        <v>0</v>
      </c>
      <c r="T403" s="126">
        <f t="shared" ca="1" si="99"/>
        <v>46343.551248000003</v>
      </c>
      <c r="U403" s="127" t="str">
        <f t="shared" si="96"/>
        <v>N</v>
      </c>
      <c r="V403" s="128">
        <f t="shared" si="111"/>
        <v>82.886666666666656</v>
      </c>
      <c r="W403" s="129">
        <f t="shared" si="100"/>
        <v>82.886666666666656</v>
      </c>
      <c r="X403" s="197"/>
      <c r="Y403" s="115">
        <f t="shared" ca="1" si="101"/>
        <v>185</v>
      </c>
      <c r="Z403" s="118">
        <f t="shared" ca="1" si="102"/>
        <v>0.49315068493150682</v>
      </c>
      <c r="AA403" s="116"/>
      <c r="AB403" s="117">
        <f t="shared" si="103"/>
        <v>10.881067892262944</v>
      </c>
      <c r="AC403" s="118">
        <f t="shared" si="104"/>
        <v>0.53671116217762271</v>
      </c>
      <c r="AE403" s="55"/>
      <c r="AF403" s="72"/>
      <c r="AG403" s="72"/>
      <c r="AH403" s="66"/>
      <c r="AJ403" t="s">
        <v>690</v>
      </c>
    </row>
    <row r="404" spans="1:36" ht="16" hidden="1" thickBot="1" x14ac:dyDescent="0.25">
      <c r="A404" s="119" t="s">
        <v>691</v>
      </c>
      <c r="B404" s="120" t="s">
        <v>1276</v>
      </c>
      <c r="C404" s="108" t="str">
        <f t="shared" si="105"/>
        <v>/Applications/Stellarium.app/Contents/Resources/nebulae/default/vdb15.png</v>
      </c>
      <c r="D404" s="121" t="s">
        <v>1834</v>
      </c>
      <c r="E404" s="109"/>
      <c r="F404" s="122">
        <v>3</v>
      </c>
      <c r="G404" s="123">
        <v>33</v>
      </c>
      <c r="H404" s="122">
        <v>58</v>
      </c>
      <c r="I404" s="124">
        <v>23</v>
      </c>
      <c r="J404" s="112" t="s">
        <v>1168</v>
      </c>
      <c r="K404" s="125">
        <v>14.1</v>
      </c>
      <c r="L404" s="196"/>
      <c r="M404" s="110">
        <f t="shared" si="106"/>
        <v>58.383333333333333</v>
      </c>
      <c r="N404" s="111">
        <f t="shared" si="107"/>
        <v>96.163333333333327</v>
      </c>
      <c r="O404" s="112">
        <f t="shared" si="108"/>
        <v>3.55</v>
      </c>
      <c r="P404" s="113">
        <f t="shared" ca="1" si="109"/>
        <v>46328.551248000003</v>
      </c>
      <c r="Q404" s="114">
        <f t="shared" ca="1" si="110"/>
        <v>46343.551248000003</v>
      </c>
      <c r="R404" s="114" t="b">
        <f t="shared" ca="1" si="97"/>
        <v>0</v>
      </c>
      <c r="S404" s="115">
        <f t="shared" ca="1" si="98"/>
        <v>0</v>
      </c>
      <c r="T404" s="126">
        <f t="shared" ca="1" si="99"/>
        <v>46343.551248000003</v>
      </c>
      <c r="U404" s="127" t="str">
        <f t="shared" si="96"/>
        <v>N</v>
      </c>
      <c r="V404" s="128">
        <f t="shared" si="111"/>
        <v>83.836666666666673</v>
      </c>
      <c r="W404" s="129">
        <f t="shared" si="100"/>
        <v>83.836666666666673</v>
      </c>
      <c r="X404" s="197"/>
      <c r="Y404" s="115">
        <f t="shared" ca="1" si="101"/>
        <v>185</v>
      </c>
      <c r="Z404" s="118">
        <f t="shared" ca="1" si="102"/>
        <v>0.49315068493150682</v>
      </c>
      <c r="AA404" s="116"/>
      <c r="AB404" s="117">
        <f t="shared" si="103"/>
        <v>10.881067892262944</v>
      </c>
      <c r="AC404" s="118">
        <f t="shared" si="104"/>
        <v>0.53671116217762271</v>
      </c>
      <c r="AE404" s="55"/>
      <c r="AF404" s="72"/>
      <c r="AG404" s="72"/>
      <c r="AH404" s="66"/>
      <c r="AJ404" t="s">
        <v>691</v>
      </c>
    </row>
    <row r="405" spans="1:36" ht="16" hidden="1" thickBot="1" x14ac:dyDescent="0.25">
      <c r="A405" s="119" t="s">
        <v>248</v>
      </c>
      <c r="B405" s="120" t="s">
        <v>1272</v>
      </c>
      <c r="C405" s="108" t="str">
        <f t="shared" si="105"/>
        <v>/Applications/Stellarium.app/Contents/Resources/nebulae/default/n1365.png</v>
      </c>
      <c r="D405" s="121" t="s">
        <v>1835</v>
      </c>
      <c r="E405" s="109"/>
      <c r="F405" s="122">
        <v>3</v>
      </c>
      <c r="G405" s="123">
        <v>34</v>
      </c>
      <c r="H405" s="122">
        <v>-37</v>
      </c>
      <c r="I405" s="124">
        <v>44</v>
      </c>
      <c r="J405" s="112" t="s">
        <v>830</v>
      </c>
      <c r="K405" s="125">
        <v>12.4</v>
      </c>
      <c r="L405" s="196"/>
      <c r="M405" s="110">
        <f t="shared" si="106"/>
        <v>-36.266666666666666</v>
      </c>
      <c r="N405" s="111">
        <f t="shared" si="107"/>
        <v>1.5133333333333354</v>
      </c>
      <c r="O405" s="112">
        <f t="shared" si="108"/>
        <v>3.5666666666666664</v>
      </c>
      <c r="P405" s="113">
        <f t="shared" ca="1" si="109"/>
        <v>46328.804887999999</v>
      </c>
      <c r="Q405" s="114">
        <f t="shared" ca="1" si="110"/>
        <v>46343.804887999999</v>
      </c>
      <c r="R405" s="114" t="b">
        <f t="shared" ca="1" si="97"/>
        <v>0</v>
      </c>
      <c r="S405" s="115">
        <f t="shared" ca="1" si="98"/>
        <v>0</v>
      </c>
      <c r="T405" s="126">
        <f t="shared" ca="1" si="99"/>
        <v>46343.804887999999</v>
      </c>
      <c r="U405" s="127" t="str">
        <f t="shared" si="96"/>
        <v>S</v>
      </c>
      <c r="V405" s="128">
        <f t="shared" si="111"/>
        <v>1.5133333333333354</v>
      </c>
      <c r="W405" s="129">
        <f t="shared" si="100"/>
        <v>1.5133333333333354</v>
      </c>
      <c r="X405" s="197"/>
      <c r="Y405" s="115">
        <f t="shared" ca="1" si="101"/>
        <v>185</v>
      </c>
      <c r="Z405" s="118">
        <f t="shared" ca="1" si="102"/>
        <v>0.49315068493150682</v>
      </c>
      <c r="AA405" s="116"/>
      <c r="AB405" s="117">
        <f t="shared" si="103"/>
        <v>10.897689051701775</v>
      </c>
      <c r="AC405" s="118">
        <f t="shared" si="104"/>
        <v>0.53740371048757396</v>
      </c>
      <c r="AE405" s="55"/>
      <c r="AF405" s="72"/>
      <c r="AG405" s="72"/>
      <c r="AH405" s="66"/>
      <c r="AJ405" t="s">
        <v>248</v>
      </c>
    </row>
    <row r="406" spans="1:36" ht="16" hidden="1" thickBot="1" x14ac:dyDescent="0.25">
      <c r="A406" s="119" t="s">
        <v>249</v>
      </c>
      <c r="B406" s="120" t="s">
        <v>1230</v>
      </c>
      <c r="C406" s="108" t="str">
        <f t="shared" si="105"/>
        <v>/Applications/Stellarium.app/Contents/Resources/nebulae/default/n1398.png</v>
      </c>
      <c r="D406" s="121" t="s">
        <v>1836</v>
      </c>
      <c r="E406" s="109"/>
      <c r="F406" s="122">
        <v>3</v>
      </c>
      <c r="G406" s="123">
        <v>39</v>
      </c>
      <c r="H406" s="122">
        <v>-27</v>
      </c>
      <c r="I406" s="124">
        <v>32</v>
      </c>
      <c r="J406" s="112" t="s">
        <v>831</v>
      </c>
      <c r="K406" s="125">
        <v>13.9</v>
      </c>
      <c r="L406" s="196"/>
      <c r="M406" s="110">
        <f t="shared" si="106"/>
        <v>-26.466666666666665</v>
      </c>
      <c r="N406" s="111">
        <f t="shared" si="107"/>
        <v>11.313333333333336</v>
      </c>
      <c r="O406" s="112">
        <f t="shared" si="108"/>
        <v>3.65</v>
      </c>
      <c r="P406" s="113">
        <f t="shared" ca="1" si="109"/>
        <v>46330.073087999997</v>
      </c>
      <c r="Q406" s="114">
        <f t="shared" ca="1" si="110"/>
        <v>46345.073087999997</v>
      </c>
      <c r="R406" s="114" t="b">
        <f t="shared" ca="1" si="97"/>
        <v>0</v>
      </c>
      <c r="S406" s="115">
        <f t="shared" ca="1" si="98"/>
        <v>0</v>
      </c>
      <c r="T406" s="126">
        <f t="shared" ca="1" si="99"/>
        <v>46345.073087999997</v>
      </c>
      <c r="U406" s="127" t="str">
        <f t="shared" si="96"/>
        <v>S</v>
      </c>
      <c r="V406" s="128">
        <f t="shared" si="111"/>
        <v>11.313333333333336</v>
      </c>
      <c r="W406" s="129">
        <f t="shared" si="100"/>
        <v>11.313333333333336</v>
      </c>
      <c r="X406" s="197"/>
      <c r="Y406" s="115">
        <f t="shared" ca="1" si="101"/>
        <v>184</v>
      </c>
      <c r="Z406" s="118">
        <f t="shared" ca="1" si="102"/>
        <v>0.49589041095890407</v>
      </c>
      <c r="AA406" s="116"/>
      <c r="AB406" s="117">
        <f t="shared" si="103"/>
        <v>10.980794848895933</v>
      </c>
      <c r="AC406" s="118">
        <f t="shared" si="104"/>
        <v>0.54086645203733053</v>
      </c>
      <c r="AE406" s="55"/>
      <c r="AF406" s="72"/>
      <c r="AG406" s="72"/>
      <c r="AH406" s="66"/>
      <c r="AJ406" t="s">
        <v>249</v>
      </c>
    </row>
    <row r="407" spans="1:36" ht="16" hidden="1" thickBot="1" x14ac:dyDescent="0.25">
      <c r="A407" s="119" t="s">
        <v>250</v>
      </c>
      <c r="B407" s="120" t="s">
        <v>1230</v>
      </c>
      <c r="C407" s="108" t="str">
        <f t="shared" si="105"/>
        <v>/Applications/Stellarium.app/Contents/Resources/nebulae/default/n1407-dss.png</v>
      </c>
      <c r="D407" s="121" t="s">
        <v>1837</v>
      </c>
      <c r="E407" s="109"/>
      <c r="F407" s="122">
        <v>3</v>
      </c>
      <c r="G407" s="123">
        <v>40</v>
      </c>
      <c r="H407" s="122">
        <v>-19</v>
      </c>
      <c r="I407" s="124">
        <v>15</v>
      </c>
      <c r="J407" s="112" t="s">
        <v>832</v>
      </c>
      <c r="K407" s="125">
        <v>13.6</v>
      </c>
      <c r="L407" s="196"/>
      <c r="M407" s="110">
        <f t="shared" si="106"/>
        <v>-18.75</v>
      </c>
      <c r="N407" s="111">
        <f t="shared" si="107"/>
        <v>19.03</v>
      </c>
      <c r="O407" s="112">
        <f t="shared" si="108"/>
        <v>3.6666666666666665</v>
      </c>
      <c r="P407" s="113">
        <f t="shared" ca="1" si="109"/>
        <v>46330.326728</v>
      </c>
      <c r="Q407" s="114">
        <f t="shared" ca="1" si="110"/>
        <v>46345.326728</v>
      </c>
      <c r="R407" s="114" t="b">
        <f t="shared" ca="1" si="97"/>
        <v>0</v>
      </c>
      <c r="S407" s="115">
        <f t="shared" ca="1" si="98"/>
        <v>0</v>
      </c>
      <c r="T407" s="126">
        <f t="shared" ca="1" si="99"/>
        <v>46345.326728</v>
      </c>
      <c r="U407" s="127" t="str">
        <f t="shared" si="96"/>
        <v>S</v>
      </c>
      <c r="V407" s="128">
        <f t="shared" si="111"/>
        <v>19.03</v>
      </c>
      <c r="W407" s="129">
        <f t="shared" si="100"/>
        <v>19.03</v>
      </c>
      <c r="X407" s="197"/>
      <c r="Y407" s="115">
        <f t="shared" ca="1" si="101"/>
        <v>184</v>
      </c>
      <c r="Z407" s="118">
        <f t="shared" ca="1" si="102"/>
        <v>0.49589041095890407</v>
      </c>
      <c r="AA407" s="116"/>
      <c r="AB407" s="117">
        <f t="shared" si="103"/>
        <v>10.997416008334763</v>
      </c>
      <c r="AC407" s="118">
        <f t="shared" si="104"/>
        <v>0.54155900034728177</v>
      </c>
      <c r="AE407" s="55"/>
      <c r="AF407" s="72"/>
      <c r="AG407" s="72"/>
      <c r="AH407" s="66"/>
      <c r="AJ407" t="s">
        <v>250</v>
      </c>
    </row>
    <row r="408" spans="1:36" ht="16" hidden="1" thickBot="1" x14ac:dyDescent="0.25">
      <c r="A408" s="119" t="s">
        <v>251</v>
      </c>
      <c r="B408" s="120" t="s">
        <v>1272</v>
      </c>
      <c r="C408" s="108" t="str">
        <f t="shared" si="105"/>
        <v>/Applications/Stellarium.app/Contents/Resources/nebulae/default/n1433.png</v>
      </c>
      <c r="D408" s="121" t="s">
        <v>1838</v>
      </c>
      <c r="E408" s="109"/>
      <c r="F408" s="122">
        <v>3</v>
      </c>
      <c r="G408" s="123">
        <v>42</v>
      </c>
      <c r="H408" s="122">
        <v>-48</v>
      </c>
      <c r="I408" s="124">
        <v>42</v>
      </c>
      <c r="J408" s="112" t="s">
        <v>833</v>
      </c>
      <c r="K408" s="125">
        <v>13.4</v>
      </c>
      <c r="L408" s="196"/>
      <c r="M408" s="110">
        <f t="shared" si="106"/>
        <v>-47.3</v>
      </c>
      <c r="N408" s="111">
        <f t="shared" si="107"/>
        <v>-9.519999999999996</v>
      </c>
      <c r="O408" s="112">
        <f t="shared" si="108"/>
        <v>3.7</v>
      </c>
      <c r="P408" s="113">
        <f t="shared" ca="1" si="109"/>
        <v>46330.834007999998</v>
      </c>
      <c r="Q408" s="114">
        <f t="shared" ca="1" si="110"/>
        <v>46345.834007999998</v>
      </c>
      <c r="R408" s="114" t="b">
        <f t="shared" ca="1" si="97"/>
        <v>0</v>
      </c>
      <c r="S408" s="115">
        <f t="shared" ca="1" si="98"/>
        <v>0</v>
      </c>
      <c r="T408" s="126">
        <f t="shared" ca="1" si="99"/>
        <v>46345.834007999998</v>
      </c>
      <c r="U408" s="127" t="str">
        <f t="shared" si="96"/>
        <v>S</v>
      </c>
      <c r="V408" s="128">
        <f t="shared" si="111"/>
        <v>-9.519999999999996</v>
      </c>
      <c r="W408" s="129">
        <f t="shared" si="100"/>
        <v>-9.519999999999996</v>
      </c>
      <c r="X408" s="197"/>
      <c r="Y408" s="115">
        <f t="shared" ca="1" si="101"/>
        <v>183</v>
      </c>
      <c r="Z408" s="118">
        <f t="shared" ca="1" si="102"/>
        <v>0.49863013698630132</v>
      </c>
      <c r="AA408" s="116"/>
      <c r="AB408" s="117">
        <f t="shared" si="103"/>
        <v>11.030658327212425</v>
      </c>
      <c r="AC408" s="118">
        <f t="shared" si="104"/>
        <v>0.54294409696718438</v>
      </c>
      <c r="AE408" s="55"/>
      <c r="AF408" s="72"/>
      <c r="AG408" s="72"/>
      <c r="AH408" s="66"/>
      <c r="AJ408" t="s">
        <v>251</v>
      </c>
    </row>
    <row r="409" spans="1:36" ht="16" hidden="1" thickBot="1" x14ac:dyDescent="0.25">
      <c r="A409" s="119" t="s">
        <v>569</v>
      </c>
      <c r="B409" s="120" t="s">
        <v>1356</v>
      </c>
      <c r="C409" s="108" t="str">
        <f t="shared" si="105"/>
        <v>/Applications/Stellarium.app/Contents/Resources/nebulae/default/ic348.png</v>
      </c>
      <c r="D409" s="121" t="s">
        <v>1839</v>
      </c>
      <c r="E409" s="109"/>
      <c r="F409" s="122">
        <v>3</v>
      </c>
      <c r="G409" s="123">
        <v>48</v>
      </c>
      <c r="H409" s="122">
        <v>30</v>
      </c>
      <c r="I409" s="124">
        <v>25</v>
      </c>
      <c r="J409" s="112" t="s">
        <v>92</v>
      </c>
      <c r="K409" s="125">
        <v>13.6</v>
      </c>
      <c r="L409" s="196"/>
      <c r="M409" s="110">
        <f t="shared" si="106"/>
        <v>30.416666666666668</v>
      </c>
      <c r="N409" s="111">
        <f t="shared" si="107"/>
        <v>68.196666666666673</v>
      </c>
      <c r="O409" s="112">
        <f t="shared" si="108"/>
        <v>3.8</v>
      </c>
      <c r="P409" s="113">
        <f t="shared" ca="1" si="109"/>
        <v>46332.355847999999</v>
      </c>
      <c r="Q409" s="114">
        <f t="shared" ca="1" si="110"/>
        <v>46347.355847999999</v>
      </c>
      <c r="R409" s="114" t="b">
        <f t="shared" ca="1" si="97"/>
        <v>0</v>
      </c>
      <c r="S409" s="115">
        <f t="shared" ca="1" si="98"/>
        <v>0</v>
      </c>
      <c r="T409" s="126">
        <f t="shared" ca="1" si="99"/>
        <v>46347.355847999999</v>
      </c>
      <c r="U409" s="127" t="str">
        <f t="shared" si="96"/>
        <v>S</v>
      </c>
      <c r="V409" s="128">
        <f t="shared" si="111"/>
        <v>68.196666666666673</v>
      </c>
      <c r="W409" s="129">
        <f t="shared" si="100"/>
        <v>68.196666666666673</v>
      </c>
      <c r="X409" s="197"/>
      <c r="Y409" s="115">
        <f t="shared" ca="1" si="101"/>
        <v>182</v>
      </c>
      <c r="Z409" s="118">
        <f t="shared" ca="1" si="102"/>
        <v>0.50136986301369868</v>
      </c>
      <c r="AA409" s="116"/>
      <c r="AB409" s="117">
        <f t="shared" si="103"/>
        <v>11.130385283845413</v>
      </c>
      <c r="AC409" s="118">
        <f t="shared" si="104"/>
        <v>0.54709938682689219</v>
      </c>
      <c r="AE409" s="55"/>
      <c r="AF409" s="72"/>
      <c r="AG409" s="72"/>
      <c r="AH409" s="66"/>
      <c r="AJ409" t="s">
        <v>569</v>
      </c>
    </row>
    <row r="410" spans="1:36" ht="16" hidden="1" thickBot="1" x14ac:dyDescent="0.25">
      <c r="A410" s="119" t="s">
        <v>568</v>
      </c>
      <c r="B410" s="120" t="s">
        <v>1269</v>
      </c>
      <c r="C410" s="108" t="str">
        <f t="shared" si="105"/>
        <v>/Applications/Stellarium.app/Contents/Resources/nebulae/default/ic342.png</v>
      </c>
      <c r="D410" s="121" t="s">
        <v>1840</v>
      </c>
      <c r="E410" s="109"/>
      <c r="F410" s="122">
        <v>3</v>
      </c>
      <c r="G410" s="123">
        <v>49</v>
      </c>
      <c r="H410" s="122">
        <v>67</v>
      </c>
      <c r="I410" s="124">
        <v>47</v>
      </c>
      <c r="J410" s="112" t="s">
        <v>1090</v>
      </c>
      <c r="K410" s="125">
        <v>14.5</v>
      </c>
      <c r="L410" s="196"/>
      <c r="M410" s="110">
        <f t="shared" si="106"/>
        <v>67.783333333333331</v>
      </c>
      <c r="N410" s="111">
        <f t="shared" si="107"/>
        <v>105.56333333333333</v>
      </c>
      <c r="O410" s="112">
        <f t="shared" si="108"/>
        <v>3.8166666666666664</v>
      </c>
      <c r="P410" s="113">
        <f t="shared" ca="1" si="109"/>
        <v>46332.609488000002</v>
      </c>
      <c r="Q410" s="114">
        <f t="shared" ca="1" si="110"/>
        <v>46347.609488000002</v>
      </c>
      <c r="R410" s="114" t="b">
        <f t="shared" ca="1" si="97"/>
        <v>0</v>
      </c>
      <c r="S410" s="115">
        <f t="shared" ca="1" si="98"/>
        <v>0</v>
      </c>
      <c r="T410" s="126">
        <f t="shared" ca="1" si="99"/>
        <v>46347.609488000002</v>
      </c>
      <c r="U410" s="127" t="str">
        <f t="shared" si="96"/>
        <v>N</v>
      </c>
      <c r="V410" s="128">
        <f t="shared" si="111"/>
        <v>74.436666666666667</v>
      </c>
      <c r="W410" s="129">
        <f t="shared" si="100"/>
        <v>74.436666666666667</v>
      </c>
      <c r="X410" s="197"/>
      <c r="Y410" s="115">
        <f t="shared" ca="1" si="101"/>
        <v>181</v>
      </c>
      <c r="Z410" s="118">
        <f t="shared" ca="1" si="102"/>
        <v>0.50410958904109582</v>
      </c>
      <c r="AA410" s="116"/>
      <c r="AB410" s="117">
        <f t="shared" si="103"/>
        <v>11.147006443284244</v>
      </c>
      <c r="AC410" s="118">
        <f t="shared" si="104"/>
        <v>0.54779193513684354</v>
      </c>
      <c r="AE410" s="55"/>
      <c r="AF410" s="72"/>
      <c r="AG410" s="72"/>
      <c r="AH410" s="66"/>
      <c r="AJ410" t="s">
        <v>568</v>
      </c>
    </row>
    <row r="411" spans="1:36" ht="16" hidden="1" thickBot="1" x14ac:dyDescent="0.25">
      <c r="A411" s="119" t="s">
        <v>134</v>
      </c>
      <c r="B411" s="120" t="s">
        <v>1222</v>
      </c>
      <c r="C411" s="108" t="str">
        <f t="shared" si="105"/>
        <v>/Applications/Stellarium.app/Contents/Resources/nebulae/default/pleiades.png</v>
      </c>
      <c r="D411" s="121" t="s">
        <v>1841</v>
      </c>
      <c r="E411" s="109"/>
      <c r="F411" s="122">
        <v>3</v>
      </c>
      <c r="G411" s="123">
        <v>51</v>
      </c>
      <c r="H411" s="122">
        <v>23</v>
      </c>
      <c r="I411" s="124">
        <v>55</v>
      </c>
      <c r="J411" s="112" t="s">
        <v>745</v>
      </c>
      <c r="K411" s="125">
        <v>12.5</v>
      </c>
      <c r="L411" s="196"/>
      <c r="M411" s="110">
        <f t="shared" si="106"/>
        <v>23.916666666666668</v>
      </c>
      <c r="N411" s="111">
        <f t="shared" si="107"/>
        <v>61.696666666666673</v>
      </c>
      <c r="O411" s="112">
        <f t="shared" si="108"/>
        <v>3.85</v>
      </c>
      <c r="P411" s="113">
        <f t="shared" ca="1" si="109"/>
        <v>46333.116768</v>
      </c>
      <c r="Q411" s="114">
        <f t="shared" ca="1" si="110"/>
        <v>46348.116768</v>
      </c>
      <c r="R411" s="114" t="b">
        <f t="shared" ca="1" si="97"/>
        <v>0</v>
      </c>
      <c r="S411" s="115">
        <f t="shared" ca="1" si="98"/>
        <v>0</v>
      </c>
      <c r="T411" s="126">
        <f t="shared" ca="1" si="99"/>
        <v>46348.116768</v>
      </c>
      <c r="U411" s="127" t="str">
        <f t="shared" si="96"/>
        <v>S</v>
      </c>
      <c r="V411" s="128">
        <f t="shared" si="111"/>
        <v>61.696666666666673</v>
      </c>
      <c r="W411" s="129">
        <f t="shared" si="100"/>
        <v>61.696666666666673</v>
      </c>
      <c r="X411" s="197"/>
      <c r="Y411" s="115">
        <f t="shared" ca="1" si="101"/>
        <v>181</v>
      </c>
      <c r="Z411" s="118">
        <f t="shared" ca="1" si="102"/>
        <v>0.50410958904109582</v>
      </c>
      <c r="AA411" s="116"/>
      <c r="AB411" s="117">
        <f t="shared" si="103"/>
        <v>11.180248762161906</v>
      </c>
      <c r="AC411" s="118">
        <f t="shared" si="104"/>
        <v>0.54917703175674604</v>
      </c>
      <c r="AE411" s="55"/>
      <c r="AF411" s="72"/>
      <c r="AG411" s="72"/>
      <c r="AH411" s="66"/>
      <c r="AJ411" t="s">
        <v>134</v>
      </c>
    </row>
    <row r="412" spans="1:36" ht="16" hidden="1" thickBot="1" x14ac:dyDescent="0.25">
      <c r="A412" s="119" t="s">
        <v>252</v>
      </c>
      <c r="B412" s="120" t="s">
        <v>1278</v>
      </c>
      <c r="C412" s="108" t="str">
        <f t="shared" si="105"/>
        <v>/Applications/Stellarium.app/Contents/Resources/nebulae/default/n1491.png</v>
      </c>
      <c r="D412" s="121" t="s">
        <v>1842</v>
      </c>
      <c r="E412" s="109"/>
      <c r="F412" s="122">
        <v>4</v>
      </c>
      <c r="G412" s="123">
        <v>4</v>
      </c>
      <c r="H412" s="122">
        <v>51</v>
      </c>
      <c r="I412" s="124">
        <v>6</v>
      </c>
      <c r="J412" s="112" t="s">
        <v>755</v>
      </c>
      <c r="K412" s="125">
        <v>13.4</v>
      </c>
      <c r="L412" s="196"/>
      <c r="M412" s="110">
        <f t="shared" si="106"/>
        <v>51.1</v>
      </c>
      <c r="N412" s="111">
        <f t="shared" si="107"/>
        <v>88.88</v>
      </c>
      <c r="O412" s="112">
        <f t="shared" si="108"/>
        <v>4.0666666666666664</v>
      </c>
      <c r="P412" s="113">
        <f t="shared" ca="1" si="109"/>
        <v>46336.414087999998</v>
      </c>
      <c r="Q412" s="114">
        <f t="shared" ca="1" si="110"/>
        <v>46351.414087999998</v>
      </c>
      <c r="R412" s="114" t="b">
        <f t="shared" ca="1" si="97"/>
        <v>0</v>
      </c>
      <c r="S412" s="115">
        <f t="shared" ca="1" si="98"/>
        <v>0</v>
      </c>
      <c r="T412" s="126">
        <f t="shared" ca="1" si="99"/>
        <v>46351.414087999998</v>
      </c>
      <c r="U412" s="127" t="str">
        <f t="shared" si="96"/>
        <v>S</v>
      </c>
      <c r="V412" s="128">
        <f t="shared" si="111"/>
        <v>88.88</v>
      </c>
      <c r="W412" s="129">
        <f t="shared" si="100"/>
        <v>88.88</v>
      </c>
      <c r="X412" s="197"/>
      <c r="Y412" s="115">
        <f t="shared" ca="1" si="101"/>
        <v>178</v>
      </c>
      <c r="Z412" s="118">
        <f t="shared" ca="1" si="102"/>
        <v>0.51232876712328768</v>
      </c>
      <c r="AA412" s="116"/>
      <c r="AB412" s="117">
        <f t="shared" si="103"/>
        <v>11.396323834866713</v>
      </c>
      <c r="AC412" s="118">
        <f t="shared" si="104"/>
        <v>0.55818015978611302</v>
      </c>
      <c r="AE412" s="55"/>
      <c r="AF412" s="72"/>
      <c r="AG412" s="72"/>
      <c r="AH412" s="66"/>
      <c r="AJ412" t="s">
        <v>252</v>
      </c>
    </row>
    <row r="413" spans="1:36" ht="16" hidden="1" thickBot="1" x14ac:dyDescent="0.25">
      <c r="A413" s="119" t="s">
        <v>608</v>
      </c>
      <c r="B413" s="120" t="s">
        <v>1390</v>
      </c>
      <c r="C413" s="108" t="str">
        <f t="shared" si="105"/>
        <v>/Applications/Stellarium.app/Contents/Resources/nebulae/default/barnard207.png</v>
      </c>
      <c r="D413" s="121" t="s">
        <v>1843</v>
      </c>
      <c r="E413" s="109"/>
      <c r="F413" s="122">
        <v>4</v>
      </c>
      <c r="G413" s="123">
        <v>5</v>
      </c>
      <c r="H413" s="122">
        <v>26</v>
      </c>
      <c r="I413" s="124">
        <v>9</v>
      </c>
      <c r="J413" s="112" t="s">
        <v>746</v>
      </c>
      <c r="K413" s="125">
        <v>14.8</v>
      </c>
      <c r="L413" s="196"/>
      <c r="M413" s="110">
        <f t="shared" si="106"/>
        <v>26.15</v>
      </c>
      <c r="N413" s="111">
        <f t="shared" si="107"/>
        <v>63.93</v>
      </c>
      <c r="O413" s="112">
        <f t="shared" si="108"/>
        <v>4.083333333333333</v>
      </c>
      <c r="P413" s="113">
        <f t="shared" ca="1" si="109"/>
        <v>46336.667728</v>
      </c>
      <c r="Q413" s="114">
        <f t="shared" ca="1" si="110"/>
        <v>46351.667728</v>
      </c>
      <c r="R413" s="114" t="b">
        <f t="shared" ca="1" si="97"/>
        <v>0</v>
      </c>
      <c r="S413" s="115">
        <f t="shared" ca="1" si="98"/>
        <v>0</v>
      </c>
      <c r="T413" s="126">
        <f t="shared" ca="1" si="99"/>
        <v>46351.667728</v>
      </c>
      <c r="U413" s="127" t="str">
        <f t="shared" si="96"/>
        <v>S</v>
      </c>
      <c r="V413" s="128">
        <f t="shared" si="111"/>
        <v>63.93</v>
      </c>
      <c r="W413" s="129">
        <f t="shared" si="100"/>
        <v>63.93</v>
      </c>
      <c r="X413" s="197"/>
      <c r="Y413" s="115">
        <f t="shared" ca="1" si="101"/>
        <v>177</v>
      </c>
      <c r="Z413" s="118">
        <f t="shared" ca="1" si="102"/>
        <v>0.51506849315068493</v>
      </c>
      <c r="AA413" s="116"/>
      <c r="AB413" s="117">
        <f t="shared" si="103"/>
        <v>11.412944994305544</v>
      </c>
      <c r="AC413" s="118">
        <f t="shared" si="104"/>
        <v>0.55887270809606437</v>
      </c>
      <c r="AE413" s="55"/>
      <c r="AF413" s="72"/>
      <c r="AG413" s="72"/>
      <c r="AH413" s="66"/>
      <c r="AJ413" t="s">
        <v>608</v>
      </c>
    </row>
    <row r="414" spans="1:36" ht="16" hidden="1" thickBot="1" x14ac:dyDescent="0.25">
      <c r="A414" s="119" t="s">
        <v>254</v>
      </c>
      <c r="B414" s="120" t="s">
        <v>1277</v>
      </c>
      <c r="C414" s="108" t="str">
        <f t="shared" si="105"/>
        <v>/Applications/Stellarium.app/Contents/Resources/nebulae/default/n1501.png</v>
      </c>
      <c r="D414" s="121" t="s">
        <v>1844</v>
      </c>
      <c r="E414" s="109"/>
      <c r="F414" s="122">
        <v>4</v>
      </c>
      <c r="G414" s="123">
        <v>7</v>
      </c>
      <c r="H414" s="122">
        <v>60</v>
      </c>
      <c r="I414" s="124">
        <v>54</v>
      </c>
      <c r="J414" s="112" t="s">
        <v>835</v>
      </c>
      <c r="K414" s="125">
        <v>13</v>
      </c>
      <c r="L414" s="196"/>
      <c r="M414" s="110">
        <f t="shared" si="106"/>
        <v>60.9</v>
      </c>
      <c r="N414" s="111">
        <f t="shared" si="107"/>
        <v>98.68</v>
      </c>
      <c r="O414" s="112">
        <f t="shared" si="108"/>
        <v>4.1166666666666663</v>
      </c>
      <c r="P414" s="113">
        <f t="shared" ca="1" si="109"/>
        <v>46337.175007999998</v>
      </c>
      <c r="Q414" s="114">
        <f t="shared" ca="1" si="110"/>
        <v>46352.175007999998</v>
      </c>
      <c r="R414" s="114" t="b">
        <f t="shared" ca="1" si="97"/>
        <v>0</v>
      </c>
      <c r="S414" s="115">
        <f t="shared" ca="1" si="98"/>
        <v>0</v>
      </c>
      <c r="T414" s="126">
        <f t="shared" ca="1" si="99"/>
        <v>46352.175007999998</v>
      </c>
      <c r="U414" s="127" t="str">
        <f t="shared" si="96"/>
        <v>N</v>
      </c>
      <c r="V414" s="128">
        <f t="shared" si="111"/>
        <v>81.319999999999993</v>
      </c>
      <c r="W414" s="129">
        <f t="shared" si="100"/>
        <v>81.319999999999993</v>
      </c>
      <c r="X414" s="197"/>
      <c r="Y414" s="115">
        <f t="shared" ca="1" si="101"/>
        <v>177</v>
      </c>
      <c r="Z414" s="118">
        <f t="shared" ca="1" si="102"/>
        <v>0.51506849315068493</v>
      </c>
      <c r="AA414" s="116"/>
      <c r="AB414" s="117">
        <f t="shared" si="103"/>
        <v>11.446187313183207</v>
      </c>
      <c r="AC414" s="118">
        <f t="shared" si="104"/>
        <v>0.56025780471596698</v>
      </c>
      <c r="AE414" s="55"/>
      <c r="AF414" s="72"/>
      <c r="AG414" s="72"/>
      <c r="AH414" s="66"/>
      <c r="AJ414" t="s">
        <v>254</v>
      </c>
    </row>
    <row r="415" spans="1:36" ht="16" hidden="1" thickBot="1" x14ac:dyDescent="0.25">
      <c r="A415" s="119" t="s">
        <v>253</v>
      </c>
      <c r="B415" s="120" t="s">
        <v>1279</v>
      </c>
      <c r="C415" s="108" t="str">
        <f t="shared" si="105"/>
        <v>/Applications/Stellarium.app/Contents/Resources/nebulae/default/n1499.png</v>
      </c>
      <c r="D415" s="121" t="s">
        <v>1845</v>
      </c>
      <c r="E415" s="109"/>
      <c r="F415" s="122">
        <v>4</v>
      </c>
      <c r="G415" s="123">
        <v>8</v>
      </c>
      <c r="H415" s="122">
        <v>34</v>
      </c>
      <c r="I415" s="124">
        <v>35</v>
      </c>
      <c r="J415" s="112" t="s">
        <v>834</v>
      </c>
      <c r="K415" s="125">
        <v>14.2</v>
      </c>
      <c r="L415" s="196"/>
      <c r="M415" s="110">
        <f t="shared" si="106"/>
        <v>34.583333333333336</v>
      </c>
      <c r="N415" s="111">
        <f t="shared" si="107"/>
        <v>72.363333333333344</v>
      </c>
      <c r="O415" s="112">
        <f t="shared" si="108"/>
        <v>4.1333333333333337</v>
      </c>
      <c r="P415" s="113">
        <f t="shared" ca="1" si="109"/>
        <v>46337.428648000001</v>
      </c>
      <c r="Q415" s="114">
        <f t="shared" ca="1" si="110"/>
        <v>46352.428648000001</v>
      </c>
      <c r="R415" s="114" t="b">
        <f t="shared" ca="1" si="97"/>
        <v>0</v>
      </c>
      <c r="S415" s="115">
        <f t="shared" ca="1" si="98"/>
        <v>0</v>
      </c>
      <c r="T415" s="126">
        <f t="shared" ca="1" si="99"/>
        <v>46352.428648000001</v>
      </c>
      <c r="U415" s="127" t="str">
        <f t="shared" si="96"/>
        <v>S</v>
      </c>
      <c r="V415" s="128">
        <f t="shared" si="111"/>
        <v>72.363333333333344</v>
      </c>
      <c r="W415" s="129">
        <f t="shared" si="100"/>
        <v>72.363333333333344</v>
      </c>
      <c r="X415" s="197"/>
      <c r="Y415" s="115">
        <f t="shared" ca="1" si="101"/>
        <v>177</v>
      </c>
      <c r="Z415" s="118">
        <f t="shared" ca="1" si="102"/>
        <v>0.51506849315068493</v>
      </c>
      <c r="AA415" s="116"/>
      <c r="AB415" s="117">
        <f t="shared" si="103"/>
        <v>11.462808472622038</v>
      </c>
      <c r="AC415" s="118">
        <f t="shared" si="104"/>
        <v>0.56095035302591822</v>
      </c>
      <c r="AE415" s="55"/>
      <c r="AF415" s="72"/>
      <c r="AG415" s="72"/>
      <c r="AH415" s="66"/>
      <c r="AJ415" t="s">
        <v>253</v>
      </c>
    </row>
    <row r="416" spans="1:36" ht="16" hidden="1" thickBot="1" x14ac:dyDescent="0.25">
      <c r="A416" s="119" t="s">
        <v>256</v>
      </c>
      <c r="B416" s="120" t="s">
        <v>1277</v>
      </c>
      <c r="C416" s="108" t="str">
        <f t="shared" si="105"/>
        <v>/Applications/Stellarium.app/Contents/Resources/nebulae/default/n1514-vasey.png</v>
      </c>
      <c r="D416" s="121" t="s">
        <v>1846</v>
      </c>
      <c r="E416" s="109"/>
      <c r="F416" s="122">
        <v>4</v>
      </c>
      <c r="G416" s="123">
        <v>9</v>
      </c>
      <c r="H416" s="122">
        <v>30</v>
      </c>
      <c r="I416" s="124">
        <v>41</v>
      </c>
      <c r="J416" s="112" t="s">
        <v>791</v>
      </c>
      <c r="K416" s="125">
        <v>13.4</v>
      </c>
      <c r="L416" s="196"/>
      <c r="M416" s="110">
        <f t="shared" si="106"/>
        <v>30.683333333333334</v>
      </c>
      <c r="N416" s="111">
        <f t="shared" si="107"/>
        <v>68.463333333333338</v>
      </c>
      <c r="O416" s="112">
        <f t="shared" si="108"/>
        <v>4.1500000000000004</v>
      </c>
      <c r="P416" s="113">
        <f t="shared" ca="1" si="109"/>
        <v>46337.682288000004</v>
      </c>
      <c r="Q416" s="114">
        <f t="shared" ca="1" si="110"/>
        <v>46352.682288000004</v>
      </c>
      <c r="R416" s="114" t="b">
        <f t="shared" ca="1" si="97"/>
        <v>0</v>
      </c>
      <c r="S416" s="115">
        <f t="shared" ca="1" si="98"/>
        <v>0</v>
      </c>
      <c r="T416" s="126">
        <f t="shared" ca="1" si="99"/>
        <v>46352.682288000004</v>
      </c>
      <c r="U416" s="127" t="str">
        <f t="shared" si="96"/>
        <v>S</v>
      </c>
      <c r="V416" s="128">
        <f t="shared" si="111"/>
        <v>68.463333333333338</v>
      </c>
      <c r="W416" s="129">
        <f t="shared" si="100"/>
        <v>68.463333333333338</v>
      </c>
      <c r="X416" s="197"/>
      <c r="Y416" s="115">
        <f t="shared" ca="1" si="101"/>
        <v>176</v>
      </c>
      <c r="Z416" s="118">
        <f t="shared" ca="1" si="102"/>
        <v>0.51780821917808217</v>
      </c>
      <c r="AA416" s="116"/>
      <c r="AB416" s="117">
        <f t="shared" si="103"/>
        <v>11.479429632060869</v>
      </c>
      <c r="AC416" s="118">
        <f t="shared" si="104"/>
        <v>0.56164290133586958</v>
      </c>
      <c r="AE416" s="55"/>
      <c r="AF416" s="72"/>
      <c r="AG416" s="72"/>
      <c r="AH416" s="66"/>
      <c r="AJ416" t="s">
        <v>256</v>
      </c>
    </row>
    <row r="417" spans="1:36" ht="16" hidden="1" thickBot="1" x14ac:dyDescent="0.25">
      <c r="A417" s="119" t="s">
        <v>255</v>
      </c>
      <c r="B417" s="120" t="s">
        <v>1207</v>
      </c>
      <c r="C417" s="108" t="str">
        <f t="shared" si="105"/>
        <v>/Applications/Stellarium.app/Contents/Resources/nebulae/default/n1502.png</v>
      </c>
      <c r="D417" s="121" t="s">
        <v>1847</v>
      </c>
      <c r="E417" s="109"/>
      <c r="F417" s="122">
        <v>4</v>
      </c>
      <c r="G417" s="123">
        <v>10</v>
      </c>
      <c r="H417" s="122">
        <v>62</v>
      </c>
      <c r="I417" s="124">
        <v>7</v>
      </c>
      <c r="J417" s="112" t="s">
        <v>732</v>
      </c>
      <c r="K417" s="125">
        <v>13.9</v>
      </c>
      <c r="L417" s="196"/>
      <c r="M417" s="110">
        <f t="shared" si="106"/>
        <v>62.116666666666667</v>
      </c>
      <c r="N417" s="111">
        <f t="shared" si="107"/>
        <v>99.896666666666675</v>
      </c>
      <c r="O417" s="112">
        <f t="shared" si="108"/>
        <v>4.166666666666667</v>
      </c>
      <c r="P417" s="113">
        <f t="shared" ca="1" si="109"/>
        <v>46337.935927999999</v>
      </c>
      <c r="Q417" s="114">
        <f t="shared" ca="1" si="110"/>
        <v>46352.935927999999</v>
      </c>
      <c r="R417" s="114" t="b">
        <f t="shared" ca="1" si="97"/>
        <v>0</v>
      </c>
      <c r="S417" s="115">
        <f t="shared" ca="1" si="98"/>
        <v>0</v>
      </c>
      <c r="T417" s="126">
        <f t="shared" ca="1" si="99"/>
        <v>46352.935927999999</v>
      </c>
      <c r="U417" s="127" t="str">
        <f t="shared" si="96"/>
        <v>N</v>
      </c>
      <c r="V417" s="128">
        <f t="shared" si="111"/>
        <v>80.103333333333325</v>
      </c>
      <c r="W417" s="129">
        <f t="shared" si="100"/>
        <v>80.103333333333325</v>
      </c>
      <c r="X417" s="197"/>
      <c r="Y417" s="115">
        <f t="shared" ca="1" si="101"/>
        <v>176</v>
      </c>
      <c r="Z417" s="118">
        <f t="shared" ca="1" si="102"/>
        <v>0.51780821917808217</v>
      </c>
      <c r="AA417" s="116"/>
      <c r="AB417" s="117">
        <f t="shared" si="103"/>
        <v>11.496050791499702</v>
      </c>
      <c r="AC417" s="118">
        <f t="shared" si="104"/>
        <v>0.56233544964582094</v>
      </c>
      <c r="AE417" s="55"/>
      <c r="AF417" s="72"/>
      <c r="AG417" s="72"/>
      <c r="AH417" s="66"/>
      <c r="AJ417" t="s">
        <v>255</v>
      </c>
    </row>
    <row r="418" spans="1:36" ht="16" hidden="1" thickBot="1" x14ac:dyDescent="0.25">
      <c r="A418" s="119" t="s">
        <v>258</v>
      </c>
      <c r="B418" s="120" t="s">
        <v>1269</v>
      </c>
      <c r="C418" s="108" t="str">
        <f t="shared" si="105"/>
        <v>/Applications/Stellarium.app/Contents/Resources/nebulae/default/n1532-darkskies.png</v>
      </c>
      <c r="D418" s="121" t="s">
        <v>1848</v>
      </c>
      <c r="E418" s="109"/>
      <c r="F418" s="122">
        <v>4</v>
      </c>
      <c r="G418" s="123">
        <v>12</v>
      </c>
      <c r="H418" s="122">
        <v>-34</v>
      </c>
      <c r="I418" s="124">
        <v>57</v>
      </c>
      <c r="J418" s="112" t="s">
        <v>837</v>
      </c>
      <c r="K418" s="125">
        <v>14.5</v>
      </c>
      <c r="L418" s="196"/>
      <c r="M418" s="110">
        <f t="shared" si="106"/>
        <v>-33.049999999999997</v>
      </c>
      <c r="N418" s="111">
        <f t="shared" si="107"/>
        <v>4.730000000000004</v>
      </c>
      <c r="O418" s="112">
        <f t="shared" si="108"/>
        <v>4.2</v>
      </c>
      <c r="P418" s="113">
        <f t="shared" ca="1" si="109"/>
        <v>46338.443207999997</v>
      </c>
      <c r="Q418" s="114">
        <f t="shared" ca="1" si="110"/>
        <v>46353.443207999997</v>
      </c>
      <c r="R418" s="114" t="b">
        <f t="shared" ca="1" si="97"/>
        <v>0</v>
      </c>
      <c r="S418" s="115">
        <f t="shared" ca="1" si="98"/>
        <v>0</v>
      </c>
      <c r="T418" s="126">
        <f t="shared" ca="1" si="99"/>
        <v>46353.443207999997</v>
      </c>
      <c r="U418" s="127" t="str">
        <f t="shared" si="96"/>
        <v>S</v>
      </c>
      <c r="V418" s="128">
        <f t="shared" si="111"/>
        <v>4.730000000000004</v>
      </c>
      <c r="W418" s="129">
        <f t="shared" si="100"/>
        <v>4.730000000000004</v>
      </c>
      <c r="X418" s="197"/>
      <c r="Y418" s="115">
        <f t="shared" ca="1" si="101"/>
        <v>176</v>
      </c>
      <c r="Z418" s="118">
        <f t="shared" ca="1" si="102"/>
        <v>0.51780821917808217</v>
      </c>
      <c r="AA418" s="116"/>
      <c r="AB418" s="117">
        <f t="shared" si="103"/>
        <v>11.529293110377363</v>
      </c>
      <c r="AC418" s="118">
        <f t="shared" si="104"/>
        <v>0.56372054626572343</v>
      </c>
      <c r="AE418" s="55"/>
      <c r="AF418" s="72"/>
      <c r="AG418" s="72"/>
      <c r="AH418" s="66"/>
      <c r="AJ418" t="s">
        <v>258</v>
      </c>
    </row>
    <row r="419" spans="1:36" ht="16" hidden="1" thickBot="1" x14ac:dyDescent="0.25">
      <c r="A419" s="119" t="s">
        <v>259</v>
      </c>
      <c r="B419" s="120" t="s">
        <v>1277</v>
      </c>
      <c r="C419" s="108" t="str">
        <f t="shared" si="105"/>
        <v>/Applications/Stellarium.app/Contents/Resources/nebulae/default/n1535.png</v>
      </c>
      <c r="D419" s="121" t="s">
        <v>1849</v>
      </c>
      <c r="E419" s="109"/>
      <c r="F419" s="122">
        <v>4</v>
      </c>
      <c r="G419" s="123">
        <v>14</v>
      </c>
      <c r="H419" s="122">
        <v>-13</v>
      </c>
      <c r="I419" s="124">
        <v>13</v>
      </c>
      <c r="J419" s="112" t="s">
        <v>838</v>
      </c>
      <c r="K419" s="125">
        <v>12.1</v>
      </c>
      <c r="L419" s="196"/>
      <c r="M419" s="110">
        <f t="shared" si="106"/>
        <v>-12.783333333333333</v>
      </c>
      <c r="N419" s="111">
        <f t="shared" si="107"/>
        <v>24.99666666666667</v>
      </c>
      <c r="O419" s="112">
        <f t="shared" si="108"/>
        <v>4.2333333333333334</v>
      </c>
      <c r="P419" s="113">
        <f t="shared" ca="1" si="109"/>
        <v>46338.950488000002</v>
      </c>
      <c r="Q419" s="114">
        <f t="shared" ca="1" si="110"/>
        <v>46353.950488000002</v>
      </c>
      <c r="R419" s="114" t="b">
        <f t="shared" ca="1" si="97"/>
        <v>0</v>
      </c>
      <c r="S419" s="115">
        <f t="shared" ca="1" si="98"/>
        <v>0</v>
      </c>
      <c r="T419" s="126">
        <f t="shared" ca="1" si="99"/>
        <v>46353.950488000002</v>
      </c>
      <c r="U419" s="127" t="str">
        <f t="shared" si="96"/>
        <v>S</v>
      </c>
      <c r="V419" s="128">
        <f t="shared" si="111"/>
        <v>24.99666666666667</v>
      </c>
      <c r="W419" s="129">
        <f t="shared" si="100"/>
        <v>24.99666666666667</v>
      </c>
      <c r="X419" s="197"/>
      <c r="Y419" s="115">
        <f t="shared" ca="1" si="101"/>
        <v>175</v>
      </c>
      <c r="Z419" s="118">
        <f t="shared" ca="1" si="102"/>
        <v>0.52054794520547953</v>
      </c>
      <c r="AA419" s="116"/>
      <c r="AB419" s="117">
        <f t="shared" si="103"/>
        <v>11.562535429255027</v>
      </c>
      <c r="AC419" s="118">
        <f t="shared" si="104"/>
        <v>0.56510564288562615</v>
      </c>
      <c r="AE419" s="55"/>
      <c r="AF419" s="72"/>
      <c r="AG419" s="72"/>
      <c r="AH419" s="66"/>
      <c r="AJ419" t="s">
        <v>259</v>
      </c>
    </row>
    <row r="420" spans="1:36" ht="16" hidden="1" thickBot="1" x14ac:dyDescent="0.25">
      <c r="A420" s="119" t="s">
        <v>260</v>
      </c>
      <c r="B420" s="120" t="s">
        <v>1230</v>
      </c>
      <c r="C420" s="108" t="str">
        <f t="shared" si="105"/>
        <v>/Applications/Stellarium.app/Contents/Resources/nebulae/default/n1549-dss.png</v>
      </c>
      <c r="D420" s="121" t="s">
        <v>1850</v>
      </c>
      <c r="E420" s="109"/>
      <c r="F420" s="122">
        <v>4</v>
      </c>
      <c r="G420" s="123">
        <v>17</v>
      </c>
      <c r="H420" s="122">
        <v>-56</v>
      </c>
      <c r="I420" s="124">
        <v>8</v>
      </c>
      <c r="J420" s="112" t="s">
        <v>839</v>
      </c>
      <c r="K420" s="125">
        <v>13.4</v>
      </c>
      <c r="L420" s="196"/>
      <c r="M420" s="110">
        <f t="shared" si="106"/>
        <v>-55.866666666666667</v>
      </c>
      <c r="N420" s="111">
        <f t="shared" si="107"/>
        <v>-18.086666666666666</v>
      </c>
      <c r="O420" s="112">
        <f t="shared" si="108"/>
        <v>4.2833333333333332</v>
      </c>
      <c r="P420" s="113">
        <f t="shared" ca="1" si="109"/>
        <v>46339.711408000003</v>
      </c>
      <c r="Q420" s="114">
        <f t="shared" ca="1" si="110"/>
        <v>46354.711408000003</v>
      </c>
      <c r="R420" s="114" t="b">
        <f t="shared" ca="1" si="97"/>
        <v>0</v>
      </c>
      <c r="S420" s="115">
        <f t="shared" ca="1" si="98"/>
        <v>0</v>
      </c>
      <c r="T420" s="126">
        <f t="shared" ca="1" si="99"/>
        <v>46354.711408000003</v>
      </c>
      <c r="U420" s="127" t="str">
        <f t="shared" si="96"/>
        <v>S</v>
      </c>
      <c r="V420" s="128">
        <f t="shared" si="111"/>
        <v>-18.086666666666666</v>
      </c>
      <c r="W420" s="129">
        <f t="shared" si="100"/>
        <v>-18.086666666666666</v>
      </c>
      <c r="X420" s="197"/>
      <c r="Y420" s="115">
        <f t="shared" ca="1" si="101"/>
        <v>174</v>
      </c>
      <c r="Z420" s="118">
        <f t="shared" ca="1" si="102"/>
        <v>0.52328767123287667</v>
      </c>
      <c r="AA420" s="116"/>
      <c r="AB420" s="117">
        <f t="shared" si="103"/>
        <v>11.612398907571519</v>
      </c>
      <c r="AC420" s="118">
        <f t="shared" si="104"/>
        <v>0.56718328781548</v>
      </c>
      <c r="AE420" s="55"/>
      <c r="AF420" s="72"/>
      <c r="AG420" s="72"/>
      <c r="AH420" s="66"/>
      <c r="AJ420" t="s">
        <v>260</v>
      </c>
    </row>
    <row r="421" spans="1:36" ht="16" hidden="1" thickBot="1" x14ac:dyDescent="0.25">
      <c r="A421" s="119" t="s">
        <v>263</v>
      </c>
      <c r="B421" s="120" t="s">
        <v>1269</v>
      </c>
      <c r="C421" s="108" t="str">
        <f t="shared" si="105"/>
        <v>/Applications/Stellarium.app/Contents/Resources/nebulae/default/n1566.png</v>
      </c>
      <c r="D421" s="121" t="s">
        <v>1851</v>
      </c>
      <c r="E421" s="109"/>
      <c r="F421" s="122">
        <v>4</v>
      </c>
      <c r="G421" s="123">
        <v>20</v>
      </c>
      <c r="H421" s="122">
        <v>-56</v>
      </c>
      <c r="I421" s="124">
        <v>56</v>
      </c>
      <c r="J421" s="112" t="s">
        <v>842</v>
      </c>
      <c r="K421" s="125">
        <v>13.8</v>
      </c>
      <c r="L421" s="196"/>
      <c r="M421" s="110">
        <f t="shared" si="106"/>
        <v>-55.06666666666667</v>
      </c>
      <c r="N421" s="111">
        <f t="shared" si="107"/>
        <v>-17.286666666666669</v>
      </c>
      <c r="O421" s="112">
        <f t="shared" si="108"/>
        <v>4.333333333333333</v>
      </c>
      <c r="P421" s="113">
        <f t="shared" ca="1" si="109"/>
        <v>46340.472328000003</v>
      </c>
      <c r="Q421" s="114">
        <f t="shared" ca="1" si="110"/>
        <v>46355.472328000003</v>
      </c>
      <c r="R421" s="114" t="b">
        <f t="shared" ca="1" si="97"/>
        <v>0</v>
      </c>
      <c r="S421" s="115">
        <f t="shared" ca="1" si="98"/>
        <v>0</v>
      </c>
      <c r="T421" s="126">
        <f t="shared" ca="1" si="99"/>
        <v>46355.472328000003</v>
      </c>
      <c r="U421" s="127" t="str">
        <f t="shared" si="96"/>
        <v>S</v>
      </c>
      <c r="V421" s="128">
        <f t="shared" si="111"/>
        <v>-17.286666666666669</v>
      </c>
      <c r="W421" s="129">
        <f t="shared" si="100"/>
        <v>-17.286666666666669</v>
      </c>
      <c r="X421" s="197"/>
      <c r="Y421" s="115">
        <f t="shared" ca="1" si="101"/>
        <v>174</v>
      </c>
      <c r="Z421" s="118">
        <f t="shared" ca="1" si="102"/>
        <v>0.52328767123287667</v>
      </c>
      <c r="AA421" s="116"/>
      <c r="AB421" s="117">
        <f t="shared" si="103"/>
        <v>11.662262385888011</v>
      </c>
      <c r="AC421" s="118">
        <f t="shared" si="104"/>
        <v>0.56926093274533385</v>
      </c>
      <c r="AE421" s="55"/>
      <c r="AF421" s="72"/>
      <c r="AG421" s="72"/>
      <c r="AH421" s="66"/>
      <c r="AJ421" t="s">
        <v>263</v>
      </c>
    </row>
    <row r="422" spans="1:36" ht="16" hidden="1" thickBot="1" x14ac:dyDescent="0.25">
      <c r="A422" s="119" t="s">
        <v>689</v>
      </c>
      <c r="B422" s="120" t="s">
        <v>1276</v>
      </c>
      <c r="C422" s="108" t="str">
        <f t="shared" si="105"/>
        <v>/Applications/Stellarium.app/Contents/Resources/nebulae/default/lbn782.png</v>
      </c>
      <c r="D422" s="121" t="s">
        <v>1852</v>
      </c>
      <c r="E422" s="109"/>
      <c r="F422" s="122">
        <v>4</v>
      </c>
      <c r="G422" s="123">
        <v>21</v>
      </c>
      <c r="H422" s="122">
        <v>28</v>
      </c>
      <c r="I422" s="124">
        <v>9</v>
      </c>
      <c r="J422" s="112" t="s">
        <v>1129</v>
      </c>
      <c r="K422" s="125">
        <v>14.7</v>
      </c>
      <c r="L422" s="196"/>
      <c r="M422" s="110">
        <f t="shared" si="106"/>
        <v>28.15</v>
      </c>
      <c r="N422" s="111">
        <f t="shared" si="107"/>
        <v>65.930000000000007</v>
      </c>
      <c r="O422" s="112">
        <f t="shared" si="108"/>
        <v>4.3499999999999996</v>
      </c>
      <c r="P422" s="113">
        <f t="shared" ca="1" si="109"/>
        <v>46340.725967999999</v>
      </c>
      <c r="Q422" s="114">
        <f t="shared" ca="1" si="110"/>
        <v>46355.725967999999</v>
      </c>
      <c r="R422" s="114" t="b">
        <f t="shared" ca="1" si="97"/>
        <v>0</v>
      </c>
      <c r="S422" s="115">
        <f t="shared" ca="1" si="98"/>
        <v>0</v>
      </c>
      <c r="T422" s="126">
        <f t="shared" ca="1" si="99"/>
        <v>46355.725967999999</v>
      </c>
      <c r="U422" s="127" t="str">
        <f t="shared" si="96"/>
        <v>S</v>
      </c>
      <c r="V422" s="128">
        <f t="shared" si="111"/>
        <v>65.930000000000007</v>
      </c>
      <c r="W422" s="129">
        <f t="shared" si="100"/>
        <v>65.930000000000007</v>
      </c>
      <c r="X422" s="197"/>
      <c r="Y422" s="115">
        <f t="shared" ca="1" si="101"/>
        <v>173</v>
      </c>
      <c r="Z422" s="118">
        <f t="shared" ca="1" si="102"/>
        <v>0.52602739726027403</v>
      </c>
      <c r="AA422" s="116"/>
      <c r="AB422" s="117">
        <f t="shared" si="103"/>
        <v>11.678883545326844</v>
      </c>
      <c r="AC422" s="118">
        <f t="shared" si="104"/>
        <v>0.5699534810552852</v>
      </c>
      <c r="AE422" s="55"/>
      <c r="AF422" s="72"/>
      <c r="AG422" s="72"/>
      <c r="AH422" s="66"/>
      <c r="AJ422" t="s">
        <v>689</v>
      </c>
    </row>
    <row r="423" spans="1:36" ht="16" hidden="1" thickBot="1" x14ac:dyDescent="0.25">
      <c r="A423" s="119" t="s">
        <v>261</v>
      </c>
      <c r="B423" s="120" t="s">
        <v>1276</v>
      </c>
      <c r="C423" s="108" t="str">
        <f t="shared" si="105"/>
        <v>/Applications/Stellarium.app/Contents/Resources/nebulae/default/n1555.png</v>
      </c>
      <c r="D423" s="121" t="s">
        <v>1853</v>
      </c>
      <c r="E423" s="109"/>
      <c r="F423" s="122">
        <v>4</v>
      </c>
      <c r="G423" s="123">
        <v>22</v>
      </c>
      <c r="H423" s="122">
        <v>19</v>
      </c>
      <c r="I423" s="124">
        <v>34</v>
      </c>
      <c r="J423" s="112" t="s">
        <v>840</v>
      </c>
      <c r="K423" s="125">
        <v>14.5</v>
      </c>
      <c r="L423" s="196"/>
      <c r="M423" s="110">
        <f t="shared" si="106"/>
        <v>19.566666666666666</v>
      </c>
      <c r="N423" s="111">
        <f t="shared" si="107"/>
        <v>57.346666666666664</v>
      </c>
      <c r="O423" s="112">
        <f t="shared" si="108"/>
        <v>4.3666666666666663</v>
      </c>
      <c r="P423" s="113">
        <f t="shared" ca="1" si="109"/>
        <v>46340.979608000001</v>
      </c>
      <c r="Q423" s="114">
        <f t="shared" ca="1" si="110"/>
        <v>46355.979608000001</v>
      </c>
      <c r="R423" s="114" t="b">
        <f t="shared" ca="1" si="97"/>
        <v>0</v>
      </c>
      <c r="S423" s="115">
        <f t="shared" ca="1" si="98"/>
        <v>0</v>
      </c>
      <c r="T423" s="126">
        <f t="shared" ca="1" si="99"/>
        <v>46355.979608000001</v>
      </c>
      <c r="U423" s="127" t="str">
        <f t="shared" si="96"/>
        <v>S</v>
      </c>
      <c r="V423" s="128">
        <f t="shared" si="111"/>
        <v>57.346666666666664</v>
      </c>
      <c r="W423" s="129">
        <f t="shared" si="100"/>
        <v>57.346666666666664</v>
      </c>
      <c r="X423" s="197"/>
      <c r="Y423" s="115">
        <f t="shared" ca="1" si="101"/>
        <v>173</v>
      </c>
      <c r="Z423" s="118">
        <f t="shared" ca="1" si="102"/>
        <v>0.52602739726027403</v>
      </c>
      <c r="AA423" s="116"/>
      <c r="AB423" s="117">
        <f t="shared" si="103"/>
        <v>11.695504704765677</v>
      </c>
      <c r="AC423" s="118">
        <f t="shared" si="104"/>
        <v>0.57064602936523656</v>
      </c>
      <c r="AE423" s="55"/>
      <c r="AF423" s="72"/>
      <c r="AG423" s="72"/>
      <c r="AH423" s="66"/>
      <c r="AJ423" t="s">
        <v>261</v>
      </c>
    </row>
    <row r="424" spans="1:36" ht="16" hidden="1" thickBot="1" x14ac:dyDescent="0.25">
      <c r="A424" s="119" t="s">
        <v>257</v>
      </c>
      <c r="B424" s="120" t="s">
        <v>1272</v>
      </c>
      <c r="C424" s="108" t="str">
        <f t="shared" si="105"/>
        <v>/Applications/Stellarium.app/Contents/Resources/nebulae/default/n1530.png</v>
      </c>
      <c r="D424" s="121" t="s">
        <v>1854</v>
      </c>
      <c r="E424" s="109"/>
      <c r="F424" s="122">
        <v>4</v>
      </c>
      <c r="G424" s="123">
        <v>24</v>
      </c>
      <c r="H424" s="122">
        <v>75</v>
      </c>
      <c r="I424" s="124">
        <v>14</v>
      </c>
      <c r="J424" s="112" t="s">
        <v>836</v>
      </c>
      <c r="K424" s="125">
        <v>13.4</v>
      </c>
      <c r="L424" s="196"/>
      <c r="M424" s="110">
        <f t="shared" si="106"/>
        <v>75.233333333333334</v>
      </c>
      <c r="N424" s="111">
        <f t="shared" si="107"/>
        <v>113.01333333333334</v>
      </c>
      <c r="O424" s="112">
        <f t="shared" si="108"/>
        <v>4.4000000000000004</v>
      </c>
      <c r="P424" s="113">
        <f t="shared" ca="1" si="109"/>
        <v>46341.486887999999</v>
      </c>
      <c r="Q424" s="114">
        <f t="shared" ca="1" si="110"/>
        <v>46356.486887999999</v>
      </c>
      <c r="R424" s="114" t="b">
        <f t="shared" ca="1" si="97"/>
        <v>0</v>
      </c>
      <c r="S424" s="115">
        <f t="shared" ca="1" si="98"/>
        <v>0</v>
      </c>
      <c r="T424" s="126">
        <f t="shared" ca="1" si="99"/>
        <v>46356.486887999999</v>
      </c>
      <c r="U424" s="127" t="str">
        <f t="shared" si="96"/>
        <v>N</v>
      </c>
      <c r="V424" s="128">
        <f t="shared" si="111"/>
        <v>66.986666666666665</v>
      </c>
      <c r="W424" s="129">
        <f t="shared" si="100"/>
        <v>66.986666666666665</v>
      </c>
      <c r="X424" s="197"/>
      <c r="Y424" s="115">
        <f t="shared" ca="1" si="101"/>
        <v>173</v>
      </c>
      <c r="Z424" s="118">
        <f t="shared" ca="1" si="102"/>
        <v>0.52602739726027403</v>
      </c>
      <c r="AA424" s="116"/>
      <c r="AB424" s="117">
        <f t="shared" si="103"/>
        <v>11.728747023643338</v>
      </c>
      <c r="AC424" s="118">
        <f t="shared" si="104"/>
        <v>0.57203112598513906</v>
      </c>
      <c r="AE424" s="55"/>
      <c r="AF424" s="72"/>
      <c r="AG424" s="72"/>
      <c r="AH424" s="66"/>
      <c r="AJ424" t="s">
        <v>257</v>
      </c>
    </row>
    <row r="425" spans="1:36" ht="16" hidden="1" thickBot="1" x14ac:dyDescent="0.25">
      <c r="A425" s="119" t="s">
        <v>267</v>
      </c>
      <c r="B425" s="120" t="s">
        <v>1281</v>
      </c>
      <c r="C425" s="108" t="str">
        <f t="shared" si="105"/>
        <v>/Applications/Stellarium.app/Contents/Resources/nebulae/default/n1579.png</v>
      </c>
      <c r="D425" s="121" t="s">
        <v>1855</v>
      </c>
      <c r="E425" s="109"/>
      <c r="F425" s="122">
        <v>4</v>
      </c>
      <c r="G425" s="123">
        <v>31</v>
      </c>
      <c r="H425" s="122">
        <v>34</v>
      </c>
      <c r="I425" s="124">
        <v>58</v>
      </c>
      <c r="J425" s="112" t="s">
        <v>846</v>
      </c>
      <c r="K425" s="125">
        <v>13.2</v>
      </c>
      <c r="L425" s="196"/>
      <c r="M425" s="110">
        <f t="shared" si="106"/>
        <v>34.966666666666669</v>
      </c>
      <c r="N425" s="111">
        <f t="shared" si="107"/>
        <v>72.74666666666667</v>
      </c>
      <c r="O425" s="112">
        <f t="shared" si="108"/>
        <v>4.5166666666666666</v>
      </c>
      <c r="P425" s="113">
        <f t="shared" ca="1" si="109"/>
        <v>46343.262368000003</v>
      </c>
      <c r="Q425" s="114">
        <f t="shared" ca="1" si="110"/>
        <v>46358.262368000003</v>
      </c>
      <c r="R425" s="114" t="b">
        <f t="shared" ca="1" si="97"/>
        <v>0</v>
      </c>
      <c r="S425" s="115">
        <f t="shared" ca="1" si="98"/>
        <v>0</v>
      </c>
      <c r="T425" s="126">
        <f t="shared" ca="1" si="99"/>
        <v>46358.262368000003</v>
      </c>
      <c r="U425" s="127" t="str">
        <f t="shared" si="96"/>
        <v>S</v>
      </c>
      <c r="V425" s="128">
        <f t="shared" si="111"/>
        <v>72.74666666666667</v>
      </c>
      <c r="W425" s="129">
        <f t="shared" si="100"/>
        <v>72.74666666666667</v>
      </c>
      <c r="X425" s="197"/>
      <c r="Y425" s="115">
        <f t="shared" ca="1" si="101"/>
        <v>171</v>
      </c>
      <c r="Z425" s="118">
        <f t="shared" ca="1" si="102"/>
        <v>0.53150684931506853</v>
      </c>
      <c r="AA425" s="116"/>
      <c r="AB425" s="117">
        <f t="shared" si="103"/>
        <v>11.845095139715156</v>
      </c>
      <c r="AC425" s="118">
        <f t="shared" si="104"/>
        <v>0.57687896415479811</v>
      </c>
      <c r="AE425" s="55"/>
      <c r="AF425" s="72"/>
      <c r="AG425" s="72"/>
      <c r="AH425" s="66"/>
      <c r="AJ425" t="s">
        <v>267</v>
      </c>
    </row>
    <row r="426" spans="1:36" ht="16" hidden="1" thickBot="1" x14ac:dyDescent="0.25">
      <c r="A426" s="119" t="s">
        <v>264</v>
      </c>
      <c r="B426" s="120" t="s">
        <v>1230</v>
      </c>
      <c r="C426" s="108" t="str">
        <f t="shared" si="105"/>
        <v>/Applications/Stellarium.app/Contents/Resources/nebulae/default/n1569.png</v>
      </c>
      <c r="D426" s="121" t="s">
        <v>1856</v>
      </c>
      <c r="E426" s="109"/>
      <c r="F426" s="122">
        <v>4</v>
      </c>
      <c r="G426" s="123">
        <v>32</v>
      </c>
      <c r="H426" s="122">
        <v>64</v>
      </c>
      <c r="I426" s="124">
        <v>48</v>
      </c>
      <c r="J426" s="112" t="s">
        <v>843</v>
      </c>
      <c r="K426" s="125">
        <v>14</v>
      </c>
      <c r="L426" s="196"/>
      <c r="M426" s="110">
        <f t="shared" si="106"/>
        <v>64.8</v>
      </c>
      <c r="N426" s="111">
        <f t="shared" si="107"/>
        <v>102.58</v>
      </c>
      <c r="O426" s="112">
        <f t="shared" si="108"/>
        <v>4.5333333333333332</v>
      </c>
      <c r="P426" s="113">
        <f t="shared" ca="1" si="109"/>
        <v>46343.516007999999</v>
      </c>
      <c r="Q426" s="114">
        <f t="shared" ca="1" si="110"/>
        <v>46358.516007999999</v>
      </c>
      <c r="R426" s="114" t="b">
        <f t="shared" ca="1" si="97"/>
        <v>0</v>
      </c>
      <c r="S426" s="115">
        <f t="shared" ca="1" si="98"/>
        <v>0</v>
      </c>
      <c r="T426" s="126">
        <f t="shared" ca="1" si="99"/>
        <v>46358.516007999999</v>
      </c>
      <c r="U426" s="127" t="str">
        <f t="shared" si="96"/>
        <v>N</v>
      </c>
      <c r="V426" s="128">
        <f t="shared" si="111"/>
        <v>77.42</v>
      </c>
      <c r="W426" s="129">
        <f t="shared" si="100"/>
        <v>77.42</v>
      </c>
      <c r="X426" s="197"/>
      <c r="Y426" s="115">
        <f t="shared" ca="1" si="101"/>
        <v>170</v>
      </c>
      <c r="Z426" s="118">
        <f t="shared" ca="1" si="102"/>
        <v>0.53424657534246578</v>
      </c>
      <c r="AA426" s="116"/>
      <c r="AB426" s="117">
        <f t="shared" si="103"/>
        <v>11.861716299153988</v>
      </c>
      <c r="AC426" s="118">
        <f t="shared" si="104"/>
        <v>0.57757151246474947</v>
      </c>
      <c r="AE426" s="55"/>
      <c r="AF426" s="72"/>
      <c r="AG426" s="72"/>
      <c r="AH426" s="66"/>
      <c r="AJ426" t="s">
        <v>264</v>
      </c>
    </row>
    <row r="427" spans="1:36" ht="16" hidden="1" thickBot="1" x14ac:dyDescent="0.25">
      <c r="A427" s="119" t="s">
        <v>633</v>
      </c>
      <c r="B427" s="120" t="s">
        <v>1395</v>
      </c>
      <c r="C427" s="108" t="str">
        <f t="shared" si="105"/>
        <v>/Applications/Stellarium.app/Contents/Resources/nebulae/default/sh2-239.png</v>
      </c>
      <c r="D427" s="121" t="s">
        <v>1857</v>
      </c>
      <c r="E427" s="109"/>
      <c r="F427" s="122">
        <v>4</v>
      </c>
      <c r="G427" s="123">
        <v>32</v>
      </c>
      <c r="H427" s="122">
        <v>18</v>
      </c>
      <c r="I427" s="124">
        <v>1</v>
      </c>
      <c r="J427" s="112" t="s">
        <v>1135</v>
      </c>
      <c r="K427" s="125">
        <v>14.8</v>
      </c>
      <c r="L427" s="196"/>
      <c r="M427" s="110">
        <f t="shared" si="106"/>
        <v>18.016666666666666</v>
      </c>
      <c r="N427" s="111">
        <f t="shared" si="107"/>
        <v>55.796666666666667</v>
      </c>
      <c r="O427" s="112">
        <f t="shared" si="108"/>
        <v>4.5333333333333332</v>
      </c>
      <c r="P427" s="113">
        <f t="shared" ca="1" si="109"/>
        <v>46343.516007999999</v>
      </c>
      <c r="Q427" s="114">
        <f t="shared" ca="1" si="110"/>
        <v>46358.516007999999</v>
      </c>
      <c r="R427" s="114" t="b">
        <f t="shared" ca="1" si="97"/>
        <v>0</v>
      </c>
      <c r="S427" s="115">
        <f t="shared" ca="1" si="98"/>
        <v>0</v>
      </c>
      <c r="T427" s="126">
        <f t="shared" ca="1" si="99"/>
        <v>46358.516007999999</v>
      </c>
      <c r="U427" s="127" t="str">
        <f t="shared" si="96"/>
        <v>S</v>
      </c>
      <c r="V427" s="128">
        <f t="shared" si="111"/>
        <v>55.796666666666667</v>
      </c>
      <c r="W427" s="129">
        <f t="shared" si="100"/>
        <v>55.796666666666667</v>
      </c>
      <c r="X427" s="197"/>
      <c r="Y427" s="115">
        <f t="shared" ca="1" si="101"/>
        <v>170</v>
      </c>
      <c r="Z427" s="118">
        <f t="shared" ca="1" si="102"/>
        <v>0.53424657534246578</v>
      </c>
      <c r="AA427" s="116"/>
      <c r="AB427" s="117">
        <f t="shared" si="103"/>
        <v>11.861716299153988</v>
      </c>
      <c r="AC427" s="118">
        <f t="shared" si="104"/>
        <v>0.57757151246474947</v>
      </c>
      <c r="AE427" s="55"/>
      <c r="AF427" s="72"/>
      <c r="AG427" s="72"/>
      <c r="AH427" s="66"/>
      <c r="AJ427" t="s">
        <v>633</v>
      </c>
    </row>
    <row r="428" spans="1:36" ht="16" hidden="1" thickBot="1" x14ac:dyDescent="0.25">
      <c r="A428" s="119" t="s">
        <v>262</v>
      </c>
      <c r="B428" s="120" t="s">
        <v>1269</v>
      </c>
      <c r="C428" s="108" t="str">
        <f t="shared" si="105"/>
        <v>/Applications/Stellarium.app/Contents/Resources/nebulae/default/n1560-dss.png</v>
      </c>
      <c r="D428" s="121" t="s">
        <v>1858</v>
      </c>
      <c r="E428" s="109"/>
      <c r="F428" s="122">
        <v>4</v>
      </c>
      <c r="G428" s="123">
        <v>33</v>
      </c>
      <c r="H428" s="122">
        <v>71</v>
      </c>
      <c r="I428" s="124">
        <v>47</v>
      </c>
      <c r="J428" s="112" t="s">
        <v>841</v>
      </c>
      <c r="K428" s="125">
        <v>14.7</v>
      </c>
      <c r="L428" s="196"/>
      <c r="M428" s="110">
        <f t="shared" si="106"/>
        <v>71.783333333333331</v>
      </c>
      <c r="N428" s="111">
        <f t="shared" si="107"/>
        <v>109.56333333333333</v>
      </c>
      <c r="O428" s="112">
        <f t="shared" si="108"/>
        <v>4.55</v>
      </c>
      <c r="P428" s="113">
        <f t="shared" ca="1" si="109"/>
        <v>46343.769648000001</v>
      </c>
      <c r="Q428" s="114">
        <f t="shared" ca="1" si="110"/>
        <v>46358.769648000001</v>
      </c>
      <c r="R428" s="114" t="b">
        <f t="shared" ca="1" si="97"/>
        <v>0</v>
      </c>
      <c r="S428" s="115">
        <f t="shared" ca="1" si="98"/>
        <v>0</v>
      </c>
      <c r="T428" s="126">
        <f t="shared" ca="1" si="99"/>
        <v>46358.769648000001</v>
      </c>
      <c r="U428" s="127" t="str">
        <f t="shared" si="96"/>
        <v>N</v>
      </c>
      <c r="V428" s="128">
        <f t="shared" si="111"/>
        <v>70.436666666666667</v>
      </c>
      <c r="W428" s="129">
        <f t="shared" si="100"/>
        <v>70.436666666666667</v>
      </c>
      <c r="X428" s="197"/>
      <c r="Y428" s="115">
        <f t="shared" ca="1" si="101"/>
        <v>170</v>
      </c>
      <c r="Z428" s="118">
        <f t="shared" ca="1" si="102"/>
        <v>0.53424657534246578</v>
      </c>
      <c r="AA428" s="116"/>
      <c r="AB428" s="117">
        <f t="shared" si="103"/>
        <v>11.878337458592821</v>
      </c>
      <c r="AC428" s="118">
        <f t="shared" si="104"/>
        <v>0.57826406077470083</v>
      </c>
      <c r="AE428" s="55"/>
      <c r="AF428" s="72"/>
      <c r="AG428" s="72"/>
      <c r="AH428" s="66"/>
      <c r="AJ428" t="s">
        <v>262</v>
      </c>
    </row>
    <row r="429" spans="1:36" ht="16" hidden="1" thickBot="1" x14ac:dyDescent="0.25">
      <c r="A429" s="119" t="s">
        <v>265</v>
      </c>
      <c r="B429" s="120" t="s">
        <v>1280</v>
      </c>
      <c r="C429" s="108" t="str">
        <f t="shared" si="105"/>
        <v>/Applications/Stellarium.app/Contents/Resources/nebulae/default/n1624.png</v>
      </c>
      <c r="D429" s="121" t="s">
        <v>1859</v>
      </c>
      <c r="E429" s="109"/>
      <c r="F429" s="122">
        <v>4</v>
      </c>
      <c r="G429" s="123">
        <v>41</v>
      </c>
      <c r="H429" s="122">
        <v>50</v>
      </c>
      <c r="I429" s="124">
        <v>23</v>
      </c>
      <c r="J429" s="112" t="s">
        <v>844</v>
      </c>
      <c r="K429" s="125">
        <v>14</v>
      </c>
      <c r="L429" s="196"/>
      <c r="M429" s="110">
        <f t="shared" si="106"/>
        <v>50.383333333333333</v>
      </c>
      <c r="N429" s="111">
        <f t="shared" si="107"/>
        <v>88.163333333333327</v>
      </c>
      <c r="O429" s="112">
        <f t="shared" si="108"/>
        <v>4.6833333333333336</v>
      </c>
      <c r="P429" s="113">
        <f t="shared" ca="1" si="109"/>
        <v>46345.798768000001</v>
      </c>
      <c r="Q429" s="114">
        <f t="shared" ca="1" si="110"/>
        <v>46360.798768000001</v>
      </c>
      <c r="R429" s="114" t="b">
        <f t="shared" ca="1" si="97"/>
        <v>0</v>
      </c>
      <c r="S429" s="115">
        <f t="shared" ca="1" si="98"/>
        <v>0</v>
      </c>
      <c r="T429" s="126">
        <f t="shared" ca="1" si="99"/>
        <v>46360.798768000001</v>
      </c>
      <c r="U429" s="127" t="str">
        <f t="shared" si="96"/>
        <v>S</v>
      </c>
      <c r="V429" s="128">
        <f t="shared" si="111"/>
        <v>88.163333333333327</v>
      </c>
      <c r="W429" s="129">
        <f t="shared" si="100"/>
        <v>88.163333333333327</v>
      </c>
      <c r="X429" s="197"/>
      <c r="Y429" s="115">
        <f t="shared" ca="1" si="101"/>
        <v>168</v>
      </c>
      <c r="Z429" s="118">
        <f t="shared" ca="1" si="102"/>
        <v>0.53972602739726028</v>
      </c>
      <c r="AA429" s="116"/>
      <c r="AB429" s="117">
        <f t="shared" si="103"/>
        <v>12.011306734103469</v>
      </c>
      <c r="AC429" s="118">
        <f t="shared" si="104"/>
        <v>0.58380444725431124</v>
      </c>
      <c r="AE429" s="55"/>
      <c r="AF429" s="72"/>
      <c r="AG429" s="72"/>
      <c r="AH429" s="66"/>
      <c r="AJ429" t="s">
        <v>265</v>
      </c>
    </row>
    <row r="430" spans="1:36" ht="16" hidden="1" thickBot="1" x14ac:dyDescent="0.25">
      <c r="A430" s="119" t="s">
        <v>603</v>
      </c>
      <c r="B430" s="120" t="s">
        <v>1385</v>
      </c>
      <c r="C430" s="108" t="str">
        <f t="shared" si="105"/>
        <v>/Applications/Stellarium.app/Contents/Resources/nebulae/default/barnard22.png</v>
      </c>
      <c r="D430" s="121" t="s">
        <v>1860</v>
      </c>
      <c r="E430" s="109"/>
      <c r="F430" s="122">
        <v>4</v>
      </c>
      <c r="G430" s="123">
        <v>43</v>
      </c>
      <c r="H430" s="122">
        <v>24</v>
      </c>
      <c r="I430" s="124">
        <v>53</v>
      </c>
      <c r="J430" s="112" t="s">
        <v>1114</v>
      </c>
      <c r="K430" s="125">
        <v>14.6</v>
      </c>
      <c r="L430" s="196"/>
      <c r="M430" s="110">
        <f t="shared" si="106"/>
        <v>24.883333333333333</v>
      </c>
      <c r="N430" s="111">
        <f t="shared" si="107"/>
        <v>62.663333333333334</v>
      </c>
      <c r="O430" s="112">
        <f t="shared" si="108"/>
        <v>4.7166666666666668</v>
      </c>
      <c r="P430" s="113">
        <f t="shared" ca="1" si="109"/>
        <v>46346.306047999999</v>
      </c>
      <c r="Q430" s="114">
        <f t="shared" ca="1" si="110"/>
        <v>46361.306047999999</v>
      </c>
      <c r="R430" s="114" t="b">
        <f t="shared" ca="1" si="97"/>
        <v>0</v>
      </c>
      <c r="S430" s="115">
        <f t="shared" ca="1" si="98"/>
        <v>0</v>
      </c>
      <c r="T430" s="126">
        <f t="shared" ca="1" si="99"/>
        <v>46361.306047999999</v>
      </c>
      <c r="U430" s="127" t="str">
        <f t="shared" si="96"/>
        <v>S</v>
      </c>
      <c r="V430" s="128">
        <f t="shared" si="111"/>
        <v>62.663333333333334</v>
      </c>
      <c r="W430" s="129">
        <f t="shared" si="100"/>
        <v>62.663333333333334</v>
      </c>
      <c r="X430" s="197"/>
      <c r="Y430" s="115">
        <f t="shared" ca="1" si="101"/>
        <v>168</v>
      </c>
      <c r="Z430" s="118">
        <f t="shared" ca="1" si="102"/>
        <v>0.53972602739726028</v>
      </c>
      <c r="AA430" s="116"/>
      <c r="AB430" s="117">
        <f t="shared" si="103"/>
        <v>12.044549052981132</v>
      </c>
      <c r="AC430" s="118">
        <f t="shared" si="104"/>
        <v>0.58518954387421385</v>
      </c>
      <c r="AE430" s="55"/>
      <c r="AF430" s="72"/>
      <c r="AG430" s="72"/>
      <c r="AH430" s="66"/>
      <c r="AJ430" t="s">
        <v>603</v>
      </c>
    </row>
    <row r="431" spans="1:36" ht="16" hidden="1" thickBot="1" x14ac:dyDescent="0.25">
      <c r="A431" s="119" t="s">
        <v>268</v>
      </c>
      <c r="B431" s="120" t="s">
        <v>1272</v>
      </c>
      <c r="C431" s="108" t="str">
        <f t="shared" si="105"/>
        <v>/Applications/Stellarium.app/Contents/Resources/nebulae/default/n1672.png</v>
      </c>
      <c r="D431" s="121" t="s">
        <v>1861</v>
      </c>
      <c r="E431" s="109"/>
      <c r="F431" s="122">
        <v>4</v>
      </c>
      <c r="G431" s="123">
        <v>46</v>
      </c>
      <c r="H431" s="122">
        <v>-60</v>
      </c>
      <c r="I431" s="124">
        <v>39</v>
      </c>
      <c r="J431" s="112" t="s">
        <v>847</v>
      </c>
      <c r="K431" s="125">
        <v>13.3</v>
      </c>
      <c r="L431" s="196"/>
      <c r="M431" s="110">
        <f t="shared" si="106"/>
        <v>-59.35</v>
      </c>
      <c r="N431" s="111">
        <f t="shared" si="107"/>
        <v>-21.57</v>
      </c>
      <c r="O431" s="112">
        <f t="shared" si="108"/>
        <v>4.7666666666666666</v>
      </c>
      <c r="P431" s="113">
        <f t="shared" ca="1" si="109"/>
        <v>46347.066967999999</v>
      </c>
      <c r="Q431" s="114">
        <f t="shared" ca="1" si="110"/>
        <v>46362.066967999999</v>
      </c>
      <c r="R431" s="114" t="b">
        <f t="shared" ca="1" si="97"/>
        <v>0</v>
      </c>
      <c r="S431" s="115">
        <f t="shared" ca="1" si="98"/>
        <v>0</v>
      </c>
      <c r="T431" s="126">
        <f t="shared" ca="1" si="99"/>
        <v>46362.066967999999</v>
      </c>
      <c r="U431" s="127" t="str">
        <f t="shared" si="96"/>
        <v>S</v>
      </c>
      <c r="V431" s="128">
        <f t="shared" si="111"/>
        <v>-21.57</v>
      </c>
      <c r="W431" s="129">
        <f t="shared" si="100"/>
        <v>-21.57</v>
      </c>
      <c r="X431" s="197"/>
      <c r="Y431" s="115">
        <f t="shared" ca="1" si="101"/>
        <v>167</v>
      </c>
      <c r="Z431" s="118">
        <f t="shared" ca="1" si="102"/>
        <v>0.54246575342465753</v>
      </c>
      <c r="AA431" s="116"/>
      <c r="AB431" s="117">
        <f t="shared" si="103"/>
        <v>12.094412531297625</v>
      </c>
      <c r="AC431" s="118">
        <f t="shared" si="104"/>
        <v>0.5872671888040677</v>
      </c>
      <c r="AE431" s="55"/>
      <c r="AF431" s="72"/>
      <c r="AG431" s="72"/>
      <c r="AH431" s="66"/>
      <c r="AJ431" t="s">
        <v>268</v>
      </c>
    </row>
    <row r="432" spans="1:36" ht="16" hidden="1" thickBot="1" x14ac:dyDescent="0.25">
      <c r="A432" s="119" t="s">
        <v>87</v>
      </c>
      <c r="B432" s="120" t="s">
        <v>1405</v>
      </c>
      <c r="C432" s="108" t="str">
        <f t="shared" si="105"/>
        <v>/Applications/Stellarium.app/Contents/Resources/nebulae/default/sh2-216.png</v>
      </c>
      <c r="D432" s="121" t="s">
        <v>1862</v>
      </c>
      <c r="E432" s="109"/>
      <c r="F432" s="122">
        <v>4</v>
      </c>
      <c r="G432" s="123">
        <v>47</v>
      </c>
      <c r="H432" s="122">
        <v>45</v>
      </c>
      <c r="I432" s="124">
        <v>24</v>
      </c>
      <c r="J432" s="112" t="s">
        <v>1063</v>
      </c>
      <c r="K432" s="125">
        <v>15</v>
      </c>
      <c r="L432" s="196"/>
      <c r="M432" s="110">
        <f t="shared" si="106"/>
        <v>45.4</v>
      </c>
      <c r="N432" s="111">
        <f t="shared" si="107"/>
        <v>83.18</v>
      </c>
      <c r="O432" s="112">
        <f t="shared" si="108"/>
        <v>4.7833333333333332</v>
      </c>
      <c r="P432" s="113">
        <f t="shared" ca="1" si="109"/>
        <v>46347.320608000002</v>
      </c>
      <c r="Q432" s="114">
        <f t="shared" ca="1" si="110"/>
        <v>46362.320608000002</v>
      </c>
      <c r="R432" s="114" t="b">
        <f t="shared" ca="1" si="97"/>
        <v>0</v>
      </c>
      <c r="S432" s="115">
        <f t="shared" ca="1" si="98"/>
        <v>0</v>
      </c>
      <c r="T432" s="126">
        <f t="shared" ca="1" si="99"/>
        <v>46362.320608000002</v>
      </c>
      <c r="U432" s="127" t="str">
        <f t="shared" si="96"/>
        <v>S</v>
      </c>
      <c r="V432" s="128">
        <f t="shared" si="111"/>
        <v>83.18</v>
      </c>
      <c r="W432" s="129">
        <f t="shared" si="100"/>
        <v>83.18</v>
      </c>
      <c r="X432" s="197"/>
      <c r="Y432" s="115">
        <f t="shared" ca="1" si="101"/>
        <v>167</v>
      </c>
      <c r="Z432" s="118">
        <f t="shared" ca="1" si="102"/>
        <v>0.54246575342465753</v>
      </c>
      <c r="AA432" s="116"/>
      <c r="AB432" s="117">
        <f t="shared" si="103"/>
        <v>12.111033690736457</v>
      </c>
      <c r="AC432" s="118">
        <f t="shared" si="104"/>
        <v>0.58795973711401905</v>
      </c>
      <c r="AE432" s="55"/>
      <c r="AF432" s="72"/>
      <c r="AG432" s="72"/>
      <c r="AH432" s="66"/>
      <c r="AJ432" t="s">
        <v>87</v>
      </c>
    </row>
    <row r="433" spans="1:36" ht="16" hidden="1" thickBot="1" x14ac:dyDescent="0.25">
      <c r="A433" s="119" t="s">
        <v>270</v>
      </c>
      <c r="B433" s="120" t="s">
        <v>1230</v>
      </c>
      <c r="C433" s="108" t="str">
        <f t="shared" si="105"/>
        <v>/Applications/Stellarium.app/Contents/Resources/nebulae/default/n1792.png</v>
      </c>
      <c r="D433" s="121" t="s">
        <v>1863</v>
      </c>
      <c r="E433" s="109"/>
      <c r="F433" s="122">
        <v>5</v>
      </c>
      <c r="G433" s="123">
        <v>5</v>
      </c>
      <c r="H433" s="122">
        <v>-39</v>
      </c>
      <c r="I433" s="124">
        <v>57</v>
      </c>
      <c r="J433" s="112" t="s">
        <v>849</v>
      </c>
      <c r="K433" s="125">
        <v>14.5</v>
      </c>
      <c r="L433" s="196"/>
      <c r="M433" s="110">
        <f t="shared" si="106"/>
        <v>-38.049999999999997</v>
      </c>
      <c r="N433" s="111">
        <f t="shared" si="107"/>
        <v>-0.26999999999999602</v>
      </c>
      <c r="O433" s="112">
        <f t="shared" si="108"/>
        <v>5.083333333333333</v>
      </c>
      <c r="P433" s="113">
        <f t="shared" ca="1" si="109"/>
        <v>46351.886127999998</v>
      </c>
      <c r="Q433" s="114">
        <f t="shared" ca="1" si="110"/>
        <v>46366.886127999998</v>
      </c>
      <c r="R433" s="114" t="b">
        <f t="shared" ca="1" si="97"/>
        <v>0</v>
      </c>
      <c r="S433" s="115">
        <f t="shared" ca="1" si="98"/>
        <v>0</v>
      </c>
      <c r="T433" s="126">
        <f t="shared" ca="1" si="99"/>
        <v>46366.886127999998</v>
      </c>
      <c r="U433" s="127" t="str">
        <f t="shared" si="96"/>
        <v>S</v>
      </c>
      <c r="V433" s="128">
        <f t="shared" si="111"/>
        <v>-0.26999999999999602</v>
      </c>
      <c r="W433" s="129">
        <f t="shared" si="100"/>
        <v>-0.26999999999999602</v>
      </c>
      <c r="X433" s="197"/>
      <c r="Y433" s="115">
        <f t="shared" ca="1" si="101"/>
        <v>162</v>
      </c>
      <c r="Z433" s="118">
        <f t="shared" ca="1" si="102"/>
        <v>0.55616438356164388</v>
      </c>
      <c r="AA433" s="116"/>
      <c r="AB433" s="117">
        <f t="shared" si="103"/>
        <v>12.410214560635419</v>
      </c>
      <c r="AC433" s="118">
        <f t="shared" si="104"/>
        <v>0.60042560669314249</v>
      </c>
      <c r="AE433" s="55"/>
      <c r="AF433" s="72"/>
      <c r="AG433" s="72"/>
      <c r="AH433" s="66"/>
      <c r="AJ433" t="s">
        <v>270</v>
      </c>
    </row>
    <row r="434" spans="1:36" ht="16" hidden="1" thickBot="1" x14ac:dyDescent="0.25">
      <c r="A434" s="119" t="s">
        <v>269</v>
      </c>
      <c r="B434" s="120" t="s">
        <v>1282</v>
      </c>
      <c r="C434" s="108" t="str">
        <f t="shared" si="105"/>
        <v>/Applications/Stellarium.app/Contents/Resources/nebulae/default/n1788.png</v>
      </c>
      <c r="D434" s="121" t="s">
        <v>1864</v>
      </c>
      <c r="E434" s="109"/>
      <c r="F434" s="122">
        <v>5</v>
      </c>
      <c r="G434" s="123">
        <v>8</v>
      </c>
      <c r="H434" s="122">
        <v>-5</v>
      </c>
      <c r="I434" s="124">
        <v>42</v>
      </c>
      <c r="J434" s="112" t="s">
        <v>848</v>
      </c>
      <c r="K434" s="125">
        <v>14.5</v>
      </c>
      <c r="L434" s="196"/>
      <c r="M434" s="110">
        <f t="shared" si="106"/>
        <v>-4.3</v>
      </c>
      <c r="N434" s="111">
        <f t="shared" si="107"/>
        <v>33.480000000000004</v>
      </c>
      <c r="O434" s="112">
        <f t="shared" si="108"/>
        <v>5.1333333333333337</v>
      </c>
      <c r="P434" s="113">
        <f t="shared" ca="1" si="109"/>
        <v>46352.647047999999</v>
      </c>
      <c r="Q434" s="114">
        <f t="shared" ca="1" si="110"/>
        <v>46367.647047999999</v>
      </c>
      <c r="R434" s="114" t="b">
        <f t="shared" ca="1" si="97"/>
        <v>0</v>
      </c>
      <c r="S434" s="115">
        <f t="shared" ca="1" si="98"/>
        <v>0</v>
      </c>
      <c r="T434" s="126">
        <f t="shared" ca="1" si="99"/>
        <v>46367.647047999999</v>
      </c>
      <c r="U434" s="127" t="str">
        <f t="shared" si="96"/>
        <v>S</v>
      </c>
      <c r="V434" s="128">
        <f t="shared" si="111"/>
        <v>33.480000000000004</v>
      </c>
      <c r="W434" s="129">
        <f t="shared" si="100"/>
        <v>33.480000000000004</v>
      </c>
      <c r="X434" s="197"/>
      <c r="Y434" s="115">
        <f t="shared" ca="1" si="101"/>
        <v>161</v>
      </c>
      <c r="Z434" s="118">
        <f t="shared" ca="1" si="102"/>
        <v>0.55890410958904102</v>
      </c>
      <c r="AA434" s="116"/>
      <c r="AB434" s="117">
        <f t="shared" si="103"/>
        <v>12.460078038951913</v>
      </c>
      <c r="AC434" s="118">
        <f t="shared" si="104"/>
        <v>0.60250325162299634</v>
      </c>
      <c r="AE434" s="55"/>
      <c r="AF434" s="72"/>
      <c r="AG434" s="72"/>
      <c r="AH434" s="66"/>
      <c r="AJ434" t="s">
        <v>269</v>
      </c>
    </row>
    <row r="435" spans="1:36" ht="16" hidden="1" thickBot="1" x14ac:dyDescent="0.25">
      <c r="A435" s="119" t="s">
        <v>271</v>
      </c>
      <c r="B435" s="120" t="s">
        <v>1272</v>
      </c>
      <c r="C435" s="108" t="str">
        <f t="shared" si="105"/>
        <v>/Applications/Stellarium.app/Contents/Resources/nebulae/default/n1808.png</v>
      </c>
      <c r="D435" s="121" t="s">
        <v>1865</v>
      </c>
      <c r="E435" s="109"/>
      <c r="F435" s="122">
        <v>5</v>
      </c>
      <c r="G435" s="123">
        <v>8</v>
      </c>
      <c r="H435" s="122">
        <v>-38</v>
      </c>
      <c r="I435" s="124">
        <v>22</v>
      </c>
      <c r="J435" s="112" t="s">
        <v>850</v>
      </c>
      <c r="K435" s="125">
        <v>13.8</v>
      </c>
      <c r="L435" s="196"/>
      <c r="M435" s="110">
        <f t="shared" si="106"/>
        <v>-37.633333333333333</v>
      </c>
      <c r="N435" s="111">
        <f t="shared" si="107"/>
        <v>0.14666666666666828</v>
      </c>
      <c r="O435" s="112">
        <f t="shared" si="108"/>
        <v>5.1333333333333337</v>
      </c>
      <c r="P435" s="113">
        <f t="shared" ca="1" si="109"/>
        <v>46352.647047999999</v>
      </c>
      <c r="Q435" s="114">
        <f t="shared" ca="1" si="110"/>
        <v>46367.647047999999</v>
      </c>
      <c r="R435" s="114" t="b">
        <f t="shared" ca="1" si="97"/>
        <v>0</v>
      </c>
      <c r="S435" s="115">
        <f t="shared" ca="1" si="98"/>
        <v>0</v>
      </c>
      <c r="T435" s="126">
        <f t="shared" ca="1" si="99"/>
        <v>46367.647047999999</v>
      </c>
      <c r="U435" s="127" t="str">
        <f t="shared" si="96"/>
        <v>S</v>
      </c>
      <c r="V435" s="128">
        <f t="shared" si="111"/>
        <v>0.14666666666666828</v>
      </c>
      <c r="W435" s="129">
        <f t="shared" si="100"/>
        <v>0.14666666666666828</v>
      </c>
      <c r="X435" s="197"/>
      <c r="Y435" s="115">
        <f t="shared" ca="1" si="101"/>
        <v>161</v>
      </c>
      <c r="Z435" s="118">
        <f t="shared" ca="1" si="102"/>
        <v>0.55890410958904102</v>
      </c>
      <c r="AA435" s="116"/>
      <c r="AB435" s="117">
        <f t="shared" si="103"/>
        <v>12.460078038951913</v>
      </c>
      <c r="AC435" s="118">
        <f t="shared" si="104"/>
        <v>0.60250325162299634</v>
      </c>
      <c r="AE435" s="55"/>
      <c r="AF435" s="72"/>
      <c r="AG435" s="72"/>
      <c r="AH435" s="66"/>
      <c r="AJ435" t="s">
        <v>271</v>
      </c>
    </row>
    <row r="436" spans="1:36" ht="16" hidden="1" thickBot="1" x14ac:dyDescent="0.25">
      <c r="A436" s="119" t="s">
        <v>582</v>
      </c>
      <c r="B436" s="120" t="s">
        <v>1368</v>
      </c>
      <c r="C436" s="108" t="str">
        <f t="shared" si="105"/>
        <v>/Applications/Stellarium.app/Contents/Resources/nebulae/default/ic2118-1.png</v>
      </c>
      <c r="D436" s="121" t="s">
        <v>1866</v>
      </c>
      <c r="E436" s="109"/>
      <c r="F436" s="122">
        <v>5</v>
      </c>
      <c r="G436" s="123">
        <v>8</v>
      </c>
      <c r="H436" s="122">
        <v>-9</v>
      </c>
      <c r="I436" s="124">
        <v>12</v>
      </c>
      <c r="J436" s="112" t="s">
        <v>1101</v>
      </c>
      <c r="K436" s="125">
        <v>13.6</v>
      </c>
      <c r="L436" s="196"/>
      <c r="M436" s="110">
        <f t="shared" si="106"/>
        <v>-8.8000000000000007</v>
      </c>
      <c r="N436" s="111">
        <f t="shared" si="107"/>
        <v>28.98</v>
      </c>
      <c r="O436" s="112">
        <f t="shared" si="108"/>
        <v>5.1333333333333337</v>
      </c>
      <c r="P436" s="113">
        <f t="shared" ca="1" si="109"/>
        <v>46352.647047999999</v>
      </c>
      <c r="Q436" s="114">
        <f t="shared" ca="1" si="110"/>
        <v>46367.647047999999</v>
      </c>
      <c r="R436" s="114" t="b">
        <f t="shared" ca="1" si="97"/>
        <v>0</v>
      </c>
      <c r="S436" s="115">
        <f t="shared" ca="1" si="98"/>
        <v>0</v>
      </c>
      <c r="T436" s="126">
        <f t="shared" ca="1" si="99"/>
        <v>46367.647047999999</v>
      </c>
      <c r="U436" s="127" t="str">
        <f t="shared" ref="U436:U499" si="112">IF(N436&lt;90,"S","N")</f>
        <v>S</v>
      </c>
      <c r="V436" s="128">
        <f t="shared" si="111"/>
        <v>28.98</v>
      </c>
      <c r="W436" s="129">
        <f t="shared" si="100"/>
        <v>28.98</v>
      </c>
      <c r="X436" s="197"/>
      <c r="Y436" s="115">
        <f t="shared" ca="1" si="101"/>
        <v>161</v>
      </c>
      <c r="Z436" s="118">
        <f t="shared" ca="1" si="102"/>
        <v>0.55890410958904102</v>
      </c>
      <c r="AA436" s="116"/>
      <c r="AB436" s="117">
        <f t="shared" si="103"/>
        <v>12.460078038951913</v>
      </c>
      <c r="AC436" s="118">
        <f t="shared" si="104"/>
        <v>0.60250325162299634</v>
      </c>
      <c r="AE436" s="55"/>
      <c r="AF436" s="72"/>
      <c r="AG436" s="72"/>
      <c r="AH436" s="66"/>
      <c r="AJ436" t="s">
        <v>582</v>
      </c>
    </row>
    <row r="437" spans="1:36" ht="16" hidden="1" thickBot="1" x14ac:dyDescent="0.25">
      <c r="A437" s="119" t="s">
        <v>582</v>
      </c>
      <c r="B437" s="120" t="s">
        <v>1368</v>
      </c>
      <c r="C437" s="108" t="str">
        <f t="shared" si="105"/>
        <v>/Applications/Stellarium.app/Contents/Resources/nebulae/default/ic2118-2.png</v>
      </c>
      <c r="D437" s="121" t="s">
        <v>1867</v>
      </c>
      <c r="E437" s="109"/>
      <c r="F437" s="122">
        <v>5</v>
      </c>
      <c r="G437" s="123">
        <v>8</v>
      </c>
      <c r="H437" s="122">
        <v>-12</v>
      </c>
      <c r="I437" s="124">
        <v>12</v>
      </c>
      <c r="J437" s="112" t="s">
        <v>1101</v>
      </c>
      <c r="K437" s="125">
        <v>13.6</v>
      </c>
      <c r="L437" s="196"/>
      <c r="M437" s="110">
        <f t="shared" si="106"/>
        <v>-11.8</v>
      </c>
      <c r="N437" s="111">
        <f t="shared" si="107"/>
        <v>25.98</v>
      </c>
      <c r="O437" s="112">
        <f t="shared" si="108"/>
        <v>5.1333333333333337</v>
      </c>
      <c r="P437" s="113">
        <f t="shared" ca="1" si="109"/>
        <v>46352.647047999999</v>
      </c>
      <c r="Q437" s="114">
        <f t="shared" ca="1" si="110"/>
        <v>46367.647047999999</v>
      </c>
      <c r="R437" s="114" t="b">
        <f t="shared" ca="1" si="97"/>
        <v>0</v>
      </c>
      <c r="S437" s="115">
        <f t="shared" ca="1" si="98"/>
        <v>0</v>
      </c>
      <c r="T437" s="126">
        <f t="shared" ca="1" si="99"/>
        <v>46367.647047999999</v>
      </c>
      <c r="U437" s="127" t="str">
        <f t="shared" si="112"/>
        <v>S</v>
      </c>
      <c r="V437" s="128">
        <f t="shared" si="111"/>
        <v>25.98</v>
      </c>
      <c r="W437" s="129">
        <f t="shared" si="100"/>
        <v>25.98</v>
      </c>
      <c r="X437" s="197"/>
      <c r="Y437" s="115">
        <f t="shared" ca="1" si="101"/>
        <v>161</v>
      </c>
      <c r="Z437" s="118">
        <f t="shared" ca="1" si="102"/>
        <v>0.55890410958904102</v>
      </c>
      <c r="AA437" s="116"/>
      <c r="AB437" s="117">
        <f t="shared" si="103"/>
        <v>12.460078038951913</v>
      </c>
      <c r="AC437" s="118">
        <f t="shared" si="104"/>
        <v>0.60250325162299634</v>
      </c>
      <c r="AE437" s="55"/>
      <c r="AF437" s="72"/>
      <c r="AG437" s="72"/>
      <c r="AH437" s="66"/>
      <c r="AJ437" t="s">
        <v>582</v>
      </c>
    </row>
    <row r="438" spans="1:36" ht="16" hidden="1" thickBot="1" x14ac:dyDescent="0.25">
      <c r="A438" s="119" t="s">
        <v>272</v>
      </c>
      <c r="B438" s="120" t="s">
        <v>1191</v>
      </c>
      <c r="C438" s="108" t="str">
        <f t="shared" si="105"/>
        <v>/Applications/Stellarium.app/Contents/Resources/nebulae/default/n1851.png</v>
      </c>
      <c r="D438" s="121" t="s">
        <v>1868</v>
      </c>
      <c r="E438" s="109"/>
      <c r="F438" s="122">
        <v>5</v>
      </c>
      <c r="G438" s="123">
        <v>14</v>
      </c>
      <c r="H438" s="122">
        <v>-41</v>
      </c>
      <c r="I438" s="124">
        <v>51</v>
      </c>
      <c r="J438" s="112" t="s">
        <v>851</v>
      </c>
      <c r="K438" s="125">
        <v>11.5</v>
      </c>
      <c r="L438" s="196"/>
      <c r="M438" s="110">
        <f t="shared" si="106"/>
        <v>-40.15</v>
      </c>
      <c r="N438" s="111">
        <f t="shared" si="107"/>
        <v>-2.3699999999999974</v>
      </c>
      <c r="O438" s="112">
        <f t="shared" si="108"/>
        <v>5.2333333333333334</v>
      </c>
      <c r="P438" s="113">
        <f t="shared" ca="1" si="109"/>
        <v>46354.168888</v>
      </c>
      <c r="Q438" s="114">
        <f t="shared" ca="1" si="110"/>
        <v>46369.168888</v>
      </c>
      <c r="R438" s="114" t="b">
        <f t="shared" ca="1" si="97"/>
        <v>0</v>
      </c>
      <c r="S438" s="115">
        <f t="shared" ca="1" si="98"/>
        <v>0</v>
      </c>
      <c r="T438" s="126">
        <f t="shared" ca="1" si="99"/>
        <v>46369.168888</v>
      </c>
      <c r="U438" s="127" t="str">
        <f t="shared" si="112"/>
        <v>S</v>
      </c>
      <c r="V438" s="128">
        <f t="shared" si="111"/>
        <v>-2.3699999999999974</v>
      </c>
      <c r="W438" s="129">
        <f t="shared" si="100"/>
        <v>-2.3699999999999974</v>
      </c>
      <c r="X438" s="197"/>
      <c r="Y438" s="115">
        <f t="shared" ca="1" si="101"/>
        <v>160</v>
      </c>
      <c r="Z438" s="118">
        <f t="shared" ca="1" si="102"/>
        <v>0.56164383561643838</v>
      </c>
      <c r="AA438" s="116"/>
      <c r="AB438" s="117">
        <f t="shared" si="103"/>
        <v>12.559804995584901</v>
      </c>
      <c r="AC438" s="118">
        <f t="shared" si="104"/>
        <v>0.60665854148270426</v>
      </c>
      <c r="AE438" s="55"/>
      <c r="AF438" s="72"/>
      <c r="AG438" s="72"/>
      <c r="AH438" s="66"/>
      <c r="AJ438" t="s">
        <v>272</v>
      </c>
    </row>
    <row r="439" spans="1:36" ht="16" hidden="1" thickBot="1" x14ac:dyDescent="0.25">
      <c r="A439" s="119" t="s">
        <v>570</v>
      </c>
      <c r="B439" s="120" t="s">
        <v>1357</v>
      </c>
      <c r="C439" s="108" t="str">
        <f t="shared" si="105"/>
        <v>/Applications/Stellarium.app/Contents/Resources/nebulae/default/ic405.png</v>
      </c>
      <c r="D439" s="121" t="s">
        <v>1869</v>
      </c>
      <c r="E439" s="109"/>
      <c r="F439" s="122">
        <v>5</v>
      </c>
      <c r="G439" s="123">
        <v>21</v>
      </c>
      <c r="H439" s="122">
        <v>32</v>
      </c>
      <c r="I439" s="124">
        <v>53</v>
      </c>
      <c r="J439" s="112" t="s">
        <v>1091</v>
      </c>
      <c r="K439" s="125">
        <v>13.6</v>
      </c>
      <c r="L439" s="196"/>
      <c r="M439" s="110">
        <f t="shared" si="106"/>
        <v>32.883333333333333</v>
      </c>
      <c r="N439" s="111">
        <f t="shared" si="107"/>
        <v>70.663333333333327</v>
      </c>
      <c r="O439" s="112">
        <f t="shared" si="108"/>
        <v>5.35</v>
      </c>
      <c r="P439" s="113">
        <f t="shared" ca="1" si="109"/>
        <v>46355.944367999997</v>
      </c>
      <c r="Q439" s="114">
        <f t="shared" ca="1" si="110"/>
        <v>46370.944367999997</v>
      </c>
      <c r="R439" s="114" t="b">
        <f t="shared" ca="1" si="97"/>
        <v>0</v>
      </c>
      <c r="S439" s="115">
        <f t="shared" ca="1" si="98"/>
        <v>0</v>
      </c>
      <c r="T439" s="126">
        <f t="shared" ca="1" si="99"/>
        <v>46370.944367999997</v>
      </c>
      <c r="U439" s="127" t="str">
        <f t="shared" si="112"/>
        <v>S</v>
      </c>
      <c r="V439" s="128">
        <f t="shared" si="111"/>
        <v>70.663333333333327</v>
      </c>
      <c r="W439" s="129">
        <f t="shared" si="100"/>
        <v>70.663333333333327</v>
      </c>
      <c r="X439" s="197"/>
      <c r="Y439" s="115">
        <f t="shared" ca="1" si="101"/>
        <v>158</v>
      </c>
      <c r="Z439" s="118">
        <f t="shared" ca="1" si="102"/>
        <v>0.56712328767123288</v>
      </c>
      <c r="AA439" s="116"/>
      <c r="AB439" s="117">
        <f t="shared" si="103"/>
        <v>12.676153111656719</v>
      </c>
      <c r="AC439" s="118">
        <f t="shared" si="104"/>
        <v>0.61150637965236332</v>
      </c>
      <c r="AE439" s="55"/>
      <c r="AF439" s="72"/>
      <c r="AG439" s="72"/>
      <c r="AH439" s="66"/>
      <c r="AJ439" t="s">
        <v>570</v>
      </c>
    </row>
    <row r="440" spans="1:36" ht="16" hidden="1" thickBot="1" x14ac:dyDescent="0.25">
      <c r="A440" s="119" t="s">
        <v>637</v>
      </c>
      <c r="B440" s="120" t="s">
        <v>1395</v>
      </c>
      <c r="C440" s="108" t="str">
        <f t="shared" si="105"/>
        <v>/Applications/Stellarium.app/Contents/Resources/nebulae/default/sh2-263.png</v>
      </c>
      <c r="D440" s="121" t="s">
        <v>1870</v>
      </c>
      <c r="E440" s="109"/>
      <c r="F440" s="122">
        <v>5</v>
      </c>
      <c r="G440" s="123">
        <v>23</v>
      </c>
      <c r="H440" s="122">
        <v>7</v>
      </c>
      <c r="I440" s="124">
        <v>56</v>
      </c>
      <c r="J440" s="112" t="s">
        <v>727</v>
      </c>
      <c r="K440" s="125">
        <v>14.8</v>
      </c>
      <c r="L440" s="196"/>
      <c r="M440" s="110">
        <f t="shared" si="106"/>
        <v>7.9333333333333336</v>
      </c>
      <c r="N440" s="111">
        <f t="shared" si="107"/>
        <v>45.713333333333338</v>
      </c>
      <c r="O440" s="112">
        <f t="shared" si="108"/>
        <v>5.3833333333333337</v>
      </c>
      <c r="P440" s="113">
        <f t="shared" ca="1" si="109"/>
        <v>46356.451648000002</v>
      </c>
      <c r="Q440" s="114">
        <f t="shared" ca="1" si="110"/>
        <v>46371.451648000002</v>
      </c>
      <c r="R440" s="114" t="b">
        <f t="shared" ca="1" si="97"/>
        <v>0</v>
      </c>
      <c r="S440" s="115">
        <f t="shared" ca="1" si="98"/>
        <v>0</v>
      </c>
      <c r="T440" s="126">
        <f t="shared" ca="1" si="99"/>
        <v>46371.451648000002</v>
      </c>
      <c r="U440" s="127" t="str">
        <f t="shared" si="112"/>
        <v>S</v>
      </c>
      <c r="V440" s="128">
        <f t="shared" si="111"/>
        <v>45.713333333333338</v>
      </c>
      <c r="W440" s="129">
        <f t="shared" si="100"/>
        <v>45.713333333333338</v>
      </c>
      <c r="X440" s="197"/>
      <c r="Y440" s="115">
        <f t="shared" ca="1" si="101"/>
        <v>158</v>
      </c>
      <c r="Z440" s="118">
        <f t="shared" ca="1" si="102"/>
        <v>0.56712328767123288</v>
      </c>
      <c r="AA440" s="116"/>
      <c r="AB440" s="117">
        <f t="shared" si="103"/>
        <v>12.709395430534382</v>
      </c>
      <c r="AC440" s="118">
        <f t="shared" si="104"/>
        <v>0.61289147627226592</v>
      </c>
      <c r="AE440" s="55"/>
      <c r="AF440" s="72"/>
      <c r="AG440" s="72"/>
      <c r="AH440" s="66"/>
      <c r="AJ440" t="s">
        <v>637</v>
      </c>
    </row>
    <row r="441" spans="1:36" ht="16" hidden="1" thickBot="1" x14ac:dyDescent="0.25">
      <c r="A441" s="119" t="s">
        <v>168</v>
      </c>
      <c r="B441" s="120" t="s">
        <v>1191</v>
      </c>
      <c r="C441" s="108" t="str">
        <f t="shared" si="105"/>
        <v>/Applications/Stellarium.app/Contents/Resources/nebulae/default/m79.png</v>
      </c>
      <c r="D441" s="121" t="s">
        <v>1871</v>
      </c>
      <c r="E441" s="109"/>
      <c r="F441" s="122">
        <v>5</v>
      </c>
      <c r="G441" s="123">
        <v>24</v>
      </c>
      <c r="H441" s="122">
        <v>-25</v>
      </c>
      <c r="I441" s="124">
        <v>22</v>
      </c>
      <c r="J441" s="112" t="s">
        <v>766</v>
      </c>
      <c r="K441" s="125">
        <v>13.9</v>
      </c>
      <c r="L441" s="196"/>
      <c r="M441" s="110">
        <f t="shared" si="106"/>
        <v>-24.633333333333333</v>
      </c>
      <c r="N441" s="111">
        <f t="shared" si="107"/>
        <v>13.146666666666668</v>
      </c>
      <c r="O441" s="112">
        <f t="shared" si="108"/>
        <v>5.4</v>
      </c>
      <c r="P441" s="113">
        <f t="shared" ca="1" si="109"/>
        <v>46356.705287999997</v>
      </c>
      <c r="Q441" s="114">
        <f t="shared" ca="1" si="110"/>
        <v>46371.705287999997</v>
      </c>
      <c r="R441" s="114" t="b">
        <f t="shared" ca="1" si="97"/>
        <v>0</v>
      </c>
      <c r="S441" s="115">
        <f t="shared" ca="1" si="98"/>
        <v>0</v>
      </c>
      <c r="T441" s="126">
        <f t="shared" ca="1" si="99"/>
        <v>46371.705287999997</v>
      </c>
      <c r="U441" s="127" t="str">
        <f t="shared" si="112"/>
        <v>S</v>
      </c>
      <c r="V441" s="128">
        <f t="shared" si="111"/>
        <v>13.146666666666668</v>
      </c>
      <c r="W441" s="129">
        <f t="shared" si="100"/>
        <v>13.146666666666668</v>
      </c>
      <c r="X441" s="197"/>
      <c r="Y441" s="115">
        <f t="shared" ca="1" si="101"/>
        <v>157</v>
      </c>
      <c r="Z441" s="118">
        <f t="shared" ca="1" si="102"/>
        <v>0.56986301369863013</v>
      </c>
      <c r="AA441" s="116"/>
      <c r="AB441" s="117">
        <f t="shared" si="103"/>
        <v>12.726016589973213</v>
      </c>
      <c r="AC441" s="118">
        <f t="shared" si="104"/>
        <v>0.61358402458221717</v>
      </c>
      <c r="AE441" s="55"/>
      <c r="AF441" s="72"/>
      <c r="AG441" s="72"/>
      <c r="AH441" s="66"/>
      <c r="AJ441" t="s">
        <v>168</v>
      </c>
    </row>
    <row r="442" spans="1:36" ht="16" hidden="1" thickBot="1" x14ac:dyDescent="0.25">
      <c r="A442" s="119" t="s">
        <v>572</v>
      </c>
      <c r="B442" s="120" t="s">
        <v>1359</v>
      </c>
      <c r="C442" s="108" t="str">
        <f t="shared" si="105"/>
        <v>/Applications/Stellarium.app/Contents/Resources/nebulae/default/ic418.png</v>
      </c>
      <c r="D442" s="121" t="s">
        <v>1872</v>
      </c>
      <c r="E442" s="109"/>
      <c r="F442" s="122">
        <v>5</v>
      </c>
      <c r="G442" s="123">
        <v>27</v>
      </c>
      <c r="H442" s="122">
        <v>-13</v>
      </c>
      <c r="I442" s="124">
        <v>17</v>
      </c>
      <c r="J442" s="112" t="s">
        <v>1092</v>
      </c>
      <c r="K442" s="125">
        <v>12.5</v>
      </c>
      <c r="L442" s="196"/>
      <c r="M442" s="110">
        <f t="shared" si="106"/>
        <v>-12.716666666666667</v>
      </c>
      <c r="N442" s="111">
        <f t="shared" si="107"/>
        <v>25.063333333333333</v>
      </c>
      <c r="O442" s="112">
        <f t="shared" si="108"/>
        <v>5.45</v>
      </c>
      <c r="P442" s="113">
        <f t="shared" ca="1" si="109"/>
        <v>46357.466207999998</v>
      </c>
      <c r="Q442" s="114">
        <f t="shared" ca="1" si="110"/>
        <v>46372.466207999998</v>
      </c>
      <c r="R442" s="114" t="b">
        <f t="shared" ca="1" si="97"/>
        <v>0</v>
      </c>
      <c r="S442" s="115">
        <f t="shared" ca="1" si="98"/>
        <v>0</v>
      </c>
      <c r="T442" s="126">
        <f t="shared" ca="1" si="99"/>
        <v>46372.466207999998</v>
      </c>
      <c r="U442" s="127" t="str">
        <f t="shared" si="112"/>
        <v>S</v>
      </c>
      <c r="V442" s="128">
        <f t="shared" si="111"/>
        <v>25.063333333333333</v>
      </c>
      <c r="W442" s="129">
        <f t="shared" si="100"/>
        <v>25.063333333333333</v>
      </c>
      <c r="X442" s="197"/>
      <c r="Y442" s="115">
        <f t="shared" ca="1" si="101"/>
        <v>157</v>
      </c>
      <c r="Z442" s="118">
        <f t="shared" ca="1" si="102"/>
        <v>0.56986301369863013</v>
      </c>
      <c r="AA442" s="116"/>
      <c r="AB442" s="117">
        <f t="shared" si="103"/>
        <v>12.775880068289705</v>
      </c>
      <c r="AC442" s="118">
        <f t="shared" si="104"/>
        <v>0.61566166951207102</v>
      </c>
      <c r="AE442" s="55"/>
      <c r="AF442" s="72"/>
      <c r="AG442" s="72"/>
      <c r="AH442" s="66"/>
      <c r="AJ442" t="s">
        <v>572</v>
      </c>
    </row>
    <row r="443" spans="1:36" ht="16" hidden="1" thickBot="1" x14ac:dyDescent="0.25">
      <c r="A443" s="119" t="s">
        <v>129</v>
      </c>
      <c r="B443" s="120" t="s">
        <v>1218</v>
      </c>
      <c r="C443" s="108" t="str">
        <f t="shared" si="105"/>
        <v>/Applications/Stellarium.app/Contents/Resources/nebulae/default/m38.png</v>
      </c>
      <c r="D443" s="121" t="s">
        <v>1873</v>
      </c>
      <c r="E443" s="109"/>
      <c r="F443" s="122">
        <v>5</v>
      </c>
      <c r="G443" s="123">
        <v>29</v>
      </c>
      <c r="H443" s="122">
        <v>35</v>
      </c>
      <c r="I443" s="124">
        <v>46</v>
      </c>
      <c r="J443" s="112" t="s">
        <v>740</v>
      </c>
      <c r="K443" s="125">
        <v>13.5</v>
      </c>
      <c r="L443" s="196"/>
      <c r="M443" s="110">
        <f t="shared" si="106"/>
        <v>35.766666666666666</v>
      </c>
      <c r="N443" s="111">
        <f t="shared" si="107"/>
        <v>73.546666666666667</v>
      </c>
      <c r="O443" s="112">
        <f t="shared" si="108"/>
        <v>5.4833333333333334</v>
      </c>
      <c r="P443" s="113">
        <f t="shared" ca="1" si="109"/>
        <v>46357.973488000003</v>
      </c>
      <c r="Q443" s="114">
        <f t="shared" ca="1" si="110"/>
        <v>46372.973488000003</v>
      </c>
      <c r="R443" s="114" t="b">
        <f t="shared" ca="1" si="97"/>
        <v>0</v>
      </c>
      <c r="S443" s="115">
        <f t="shared" ca="1" si="98"/>
        <v>0</v>
      </c>
      <c r="T443" s="126">
        <f t="shared" ca="1" si="99"/>
        <v>46372.973488000003</v>
      </c>
      <c r="U443" s="127" t="str">
        <f t="shared" si="112"/>
        <v>S</v>
      </c>
      <c r="V443" s="128">
        <f t="shared" si="111"/>
        <v>73.546666666666667</v>
      </c>
      <c r="W443" s="129">
        <f t="shared" si="100"/>
        <v>73.546666666666667</v>
      </c>
      <c r="X443" s="197"/>
      <c r="Y443" s="115">
        <f t="shared" ca="1" si="101"/>
        <v>156</v>
      </c>
      <c r="Z443" s="118">
        <f t="shared" ca="1" si="102"/>
        <v>0.57260273972602738</v>
      </c>
      <c r="AA443" s="116"/>
      <c r="AB443" s="117">
        <f t="shared" si="103"/>
        <v>12.809122387167371</v>
      </c>
      <c r="AC443" s="118">
        <f t="shared" si="104"/>
        <v>0.61704676613197373</v>
      </c>
      <c r="AE443" s="55"/>
      <c r="AF443" s="72"/>
      <c r="AG443" s="72"/>
      <c r="AH443" s="66"/>
      <c r="AJ443" t="s">
        <v>129</v>
      </c>
    </row>
    <row r="444" spans="1:36" ht="16" hidden="1" thickBot="1" x14ac:dyDescent="0.25">
      <c r="A444" s="119" t="s">
        <v>274</v>
      </c>
      <c r="B444" s="120" t="s">
        <v>1191</v>
      </c>
      <c r="C444" s="108" t="str">
        <f t="shared" si="105"/>
        <v>/Applications/Stellarium.app/Contents/Resources/nebulae/default/n1978.png</v>
      </c>
      <c r="D444" s="121" t="s">
        <v>1874</v>
      </c>
      <c r="E444" s="109"/>
      <c r="F444" s="122">
        <v>5</v>
      </c>
      <c r="G444" s="123">
        <v>29</v>
      </c>
      <c r="H444" s="122">
        <v>-67</v>
      </c>
      <c r="I444" s="124">
        <v>42</v>
      </c>
      <c r="J444" s="112" t="s">
        <v>853</v>
      </c>
      <c r="K444" s="125">
        <v>12.8</v>
      </c>
      <c r="L444" s="196"/>
      <c r="M444" s="110">
        <f t="shared" si="106"/>
        <v>-66.3</v>
      </c>
      <c r="N444" s="111">
        <f t="shared" si="107"/>
        <v>-28.519999999999996</v>
      </c>
      <c r="O444" s="112">
        <f t="shared" si="108"/>
        <v>5.4833333333333334</v>
      </c>
      <c r="P444" s="113">
        <f t="shared" ca="1" si="109"/>
        <v>46357.973488000003</v>
      </c>
      <c r="Q444" s="114">
        <f t="shared" ca="1" si="110"/>
        <v>46372.973488000003</v>
      </c>
      <c r="R444" s="114" t="b">
        <f t="shared" ca="1" si="97"/>
        <v>0</v>
      </c>
      <c r="S444" s="115">
        <f t="shared" ca="1" si="98"/>
        <v>0</v>
      </c>
      <c r="T444" s="126">
        <f t="shared" ca="1" si="99"/>
        <v>46372.973488000003</v>
      </c>
      <c r="U444" s="127" t="str">
        <f t="shared" si="112"/>
        <v>S</v>
      </c>
      <c r="V444" s="128">
        <f t="shared" si="111"/>
        <v>-28.519999999999996</v>
      </c>
      <c r="W444" s="129">
        <f t="shared" si="100"/>
        <v>-28.519999999999996</v>
      </c>
      <c r="X444" s="197"/>
      <c r="Y444" s="115">
        <f t="shared" ca="1" si="101"/>
        <v>156</v>
      </c>
      <c r="Z444" s="118">
        <f t="shared" ca="1" si="102"/>
        <v>0.57260273972602738</v>
      </c>
      <c r="AA444" s="116"/>
      <c r="AB444" s="117">
        <f t="shared" si="103"/>
        <v>12.809122387167371</v>
      </c>
      <c r="AC444" s="118">
        <f t="shared" si="104"/>
        <v>0.61704676613197373</v>
      </c>
      <c r="AE444" s="55"/>
      <c r="AF444" s="72"/>
      <c r="AG444" s="72"/>
      <c r="AH444" s="66"/>
      <c r="AJ444" t="s">
        <v>274</v>
      </c>
    </row>
    <row r="445" spans="1:36" ht="16" hidden="1" thickBot="1" x14ac:dyDescent="0.25">
      <c r="A445" s="119" t="s">
        <v>571</v>
      </c>
      <c r="B445" s="120" t="s">
        <v>1358</v>
      </c>
      <c r="C445" s="108" t="str">
        <f t="shared" si="105"/>
        <v>/Applications/Stellarium.app/Contents/Resources/nebulae/default/ic410.png</v>
      </c>
      <c r="D445" s="121" t="s">
        <v>1875</v>
      </c>
      <c r="E445" s="109"/>
      <c r="F445" s="122">
        <v>5</v>
      </c>
      <c r="G445" s="123">
        <v>30</v>
      </c>
      <c r="H445" s="122">
        <v>32</v>
      </c>
      <c r="I445" s="124">
        <v>52</v>
      </c>
      <c r="J445" s="112" t="s">
        <v>723</v>
      </c>
      <c r="K445" s="125">
        <v>13.6</v>
      </c>
      <c r="L445" s="196"/>
      <c r="M445" s="110">
        <f t="shared" si="106"/>
        <v>32.866666666666667</v>
      </c>
      <c r="N445" s="111">
        <f t="shared" si="107"/>
        <v>70.646666666666675</v>
      </c>
      <c r="O445" s="112">
        <f t="shared" si="108"/>
        <v>5.5</v>
      </c>
      <c r="P445" s="113">
        <f t="shared" ca="1" si="109"/>
        <v>46358.227127999999</v>
      </c>
      <c r="Q445" s="114">
        <f t="shared" ca="1" si="110"/>
        <v>46373.227127999999</v>
      </c>
      <c r="R445" s="114" t="b">
        <f t="shared" ca="1" si="97"/>
        <v>0</v>
      </c>
      <c r="S445" s="115">
        <f t="shared" ca="1" si="98"/>
        <v>0</v>
      </c>
      <c r="T445" s="126">
        <f t="shared" ca="1" si="99"/>
        <v>46373.227127999999</v>
      </c>
      <c r="U445" s="127" t="str">
        <f t="shared" si="112"/>
        <v>S</v>
      </c>
      <c r="V445" s="128">
        <f t="shared" si="111"/>
        <v>70.646666666666675</v>
      </c>
      <c r="W445" s="129">
        <f t="shared" si="100"/>
        <v>70.646666666666675</v>
      </c>
      <c r="X445" s="197"/>
      <c r="Y445" s="115">
        <f t="shared" ca="1" si="101"/>
        <v>156</v>
      </c>
      <c r="Z445" s="118">
        <f t="shared" ca="1" si="102"/>
        <v>0.57260273972602738</v>
      </c>
      <c r="AA445" s="116"/>
      <c r="AB445" s="117">
        <f t="shared" si="103"/>
        <v>12.825743546606201</v>
      </c>
      <c r="AC445" s="118">
        <f t="shared" si="104"/>
        <v>0.61773931444192509</v>
      </c>
      <c r="AE445" s="55"/>
      <c r="AF445" s="72"/>
      <c r="AG445" s="72"/>
      <c r="AH445" s="66"/>
      <c r="AJ445" t="s">
        <v>571</v>
      </c>
    </row>
    <row r="446" spans="1:36" ht="16" hidden="1" thickBot="1" x14ac:dyDescent="0.25">
      <c r="A446" s="119" t="s">
        <v>273</v>
      </c>
      <c r="B446" s="120" t="s">
        <v>1271</v>
      </c>
      <c r="C446" s="108" t="str">
        <f t="shared" si="105"/>
        <v>/Applications/Stellarium.app/Contents/Resources/nebulae/default/n1931.png</v>
      </c>
      <c r="D446" s="121" t="s">
        <v>1876</v>
      </c>
      <c r="E446" s="109"/>
      <c r="F446" s="122">
        <v>5</v>
      </c>
      <c r="G446" s="123">
        <v>32</v>
      </c>
      <c r="H446" s="122">
        <v>34</v>
      </c>
      <c r="I446" s="124">
        <v>2</v>
      </c>
      <c r="J446" s="112" t="s">
        <v>852</v>
      </c>
      <c r="K446" s="125">
        <v>14.3</v>
      </c>
      <c r="L446" s="196"/>
      <c r="M446" s="110">
        <f t="shared" si="106"/>
        <v>34.033333333333331</v>
      </c>
      <c r="N446" s="111">
        <f t="shared" si="107"/>
        <v>71.813333333333333</v>
      </c>
      <c r="O446" s="112">
        <f t="shared" si="108"/>
        <v>5.5333333333333332</v>
      </c>
      <c r="P446" s="113">
        <f t="shared" ca="1" si="109"/>
        <v>46358.734407999997</v>
      </c>
      <c r="Q446" s="114">
        <f t="shared" ca="1" si="110"/>
        <v>46373.734407999997</v>
      </c>
      <c r="R446" s="114" t="b">
        <f t="shared" ca="1" si="97"/>
        <v>0</v>
      </c>
      <c r="S446" s="115">
        <f t="shared" ca="1" si="98"/>
        <v>0</v>
      </c>
      <c r="T446" s="126">
        <f t="shared" ca="1" si="99"/>
        <v>46373.734407999997</v>
      </c>
      <c r="U446" s="127" t="str">
        <f t="shared" si="112"/>
        <v>S</v>
      </c>
      <c r="V446" s="128">
        <f t="shared" si="111"/>
        <v>71.813333333333333</v>
      </c>
      <c r="W446" s="129">
        <f t="shared" si="100"/>
        <v>71.813333333333333</v>
      </c>
      <c r="X446" s="197"/>
      <c r="Y446" s="115">
        <f t="shared" ca="1" si="101"/>
        <v>155</v>
      </c>
      <c r="Z446" s="118">
        <f t="shared" ca="1" si="102"/>
        <v>0.57534246575342474</v>
      </c>
      <c r="AA446" s="116"/>
      <c r="AB446" s="117">
        <f t="shared" si="103"/>
        <v>12.858985865483863</v>
      </c>
      <c r="AC446" s="118">
        <f t="shared" si="104"/>
        <v>0.61912441106182758</v>
      </c>
      <c r="AE446" s="55"/>
      <c r="AF446" s="72"/>
      <c r="AG446" s="72"/>
      <c r="AH446" s="66"/>
      <c r="AJ446" t="s">
        <v>273</v>
      </c>
    </row>
    <row r="447" spans="1:36" ht="16" hidden="1" thickBot="1" x14ac:dyDescent="0.25">
      <c r="A447" s="119" t="s">
        <v>93</v>
      </c>
      <c r="B447" s="120" t="s">
        <v>1190</v>
      </c>
      <c r="C447" s="108" t="str">
        <f t="shared" si="105"/>
        <v>/Applications/Stellarium.app/Contents/Resources/nebulae/default/m1dumont.png</v>
      </c>
      <c r="D447" s="121" t="s">
        <v>1877</v>
      </c>
      <c r="E447" s="109"/>
      <c r="F447" s="122">
        <v>5</v>
      </c>
      <c r="G447" s="123">
        <v>34</v>
      </c>
      <c r="H447" s="122">
        <v>21</v>
      </c>
      <c r="I447" s="124">
        <v>56</v>
      </c>
      <c r="J447" s="112" t="s">
        <v>719</v>
      </c>
      <c r="K447" s="125">
        <v>13.1</v>
      </c>
      <c r="L447" s="196"/>
      <c r="M447" s="110">
        <f t="shared" si="106"/>
        <v>21.933333333333334</v>
      </c>
      <c r="N447" s="111">
        <f t="shared" si="107"/>
        <v>59.713333333333338</v>
      </c>
      <c r="O447" s="112">
        <f t="shared" si="108"/>
        <v>5.5666666666666664</v>
      </c>
      <c r="P447" s="113">
        <f t="shared" ca="1" si="109"/>
        <v>46359.241688000002</v>
      </c>
      <c r="Q447" s="114">
        <f t="shared" ca="1" si="110"/>
        <v>46374.241688000002</v>
      </c>
      <c r="R447" s="114" t="b">
        <f t="shared" ca="1" si="97"/>
        <v>0</v>
      </c>
      <c r="S447" s="115">
        <f t="shared" ca="1" si="98"/>
        <v>0</v>
      </c>
      <c r="T447" s="126">
        <f t="shared" ca="1" si="99"/>
        <v>46374.241688000002</v>
      </c>
      <c r="U447" s="127" t="str">
        <f t="shared" si="112"/>
        <v>S</v>
      </c>
      <c r="V447" s="128">
        <f t="shared" si="111"/>
        <v>59.713333333333338</v>
      </c>
      <c r="W447" s="129">
        <f t="shared" si="100"/>
        <v>59.713333333333338</v>
      </c>
      <c r="X447" s="197"/>
      <c r="Y447" s="115">
        <f t="shared" ca="1" si="101"/>
        <v>155</v>
      </c>
      <c r="Z447" s="118">
        <f t="shared" ca="1" si="102"/>
        <v>0.57534246575342474</v>
      </c>
      <c r="AA447" s="116"/>
      <c r="AB447" s="117">
        <f t="shared" si="103"/>
        <v>12.892228184361526</v>
      </c>
      <c r="AC447" s="118">
        <f t="shared" si="104"/>
        <v>0.6205095076817303</v>
      </c>
      <c r="AE447" s="55"/>
      <c r="AF447" s="72"/>
      <c r="AG447" s="72"/>
      <c r="AH447" s="66"/>
      <c r="AJ447" t="s">
        <v>93</v>
      </c>
    </row>
    <row r="448" spans="1:36" ht="16" hidden="1" thickBot="1" x14ac:dyDescent="0.25">
      <c r="A448" s="119" t="s">
        <v>127</v>
      </c>
      <c r="B448" s="120" t="s">
        <v>1216</v>
      </c>
      <c r="C448" s="108" t="str">
        <f t="shared" si="105"/>
        <v>/Applications/Stellarium.app/Contents/Resources/nebulae/default/m36.png</v>
      </c>
      <c r="D448" s="121" t="s">
        <v>1878</v>
      </c>
      <c r="E448" s="109"/>
      <c r="F448" s="122">
        <v>5</v>
      </c>
      <c r="G448" s="123">
        <v>36</v>
      </c>
      <c r="H448" s="122">
        <v>34</v>
      </c>
      <c r="I448" s="124">
        <v>1</v>
      </c>
      <c r="J448" s="112" t="s">
        <v>92</v>
      </c>
      <c r="K448" s="125">
        <v>12.2</v>
      </c>
      <c r="L448" s="196"/>
      <c r="M448" s="110">
        <f t="shared" si="106"/>
        <v>34.016666666666666</v>
      </c>
      <c r="N448" s="111">
        <f t="shared" si="107"/>
        <v>71.796666666666667</v>
      </c>
      <c r="O448" s="112">
        <f t="shared" si="108"/>
        <v>5.6</v>
      </c>
      <c r="P448" s="113">
        <f t="shared" ca="1" si="109"/>
        <v>46359.748968</v>
      </c>
      <c r="Q448" s="114">
        <f t="shared" ca="1" si="110"/>
        <v>46374.748968</v>
      </c>
      <c r="R448" s="114" t="b">
        <f t="shared" ca="1" si="97"/>
        <v>0</v>
      </c>
      <c r="S448" s="115">
        <f t="shared" ca="1" si="98"/>
        <v>0</v>
      </c>
      <c r="T448" s="126">
        <f t="shared" ca="1" si="99"/>
        <v>46374.748968</v>
      </c>
      <c r="U448" s="127" t="str">
        <f t="shared" si="112"/>
        <v>S</v>
      </c>
      <c r="V448" s="128">
        <f t="shared" si="111"/>
        <v>71.796666666666667</v>
      </c>
      <c r="W448" s="129">
        <f t="shared" si="100"/>
        <v>71.796666666666667</v>
      </c>
      <c r="X448" s="197"/>
      <c r="Y448" s="115">
        <f t="shared" ca="1" si="101"/>
        <v>154</v>
      </c>
      <c r="Z448" s="118">
        <f t="shared" ca="1" si="102"/>
        <v>0.57808219178082187</v>
      </c>
      <c r="AA448" s="116"/>
      <c r="AB448" s="117">
        <f t="shared" si="103"/>
        <v>12.925470503239188</v>
      </c>
      <c r="AC448" s="118">
        <f t="shared" si="104"/>
        <v>0.62189460430163279</v>
      </c>
      <c r="AE448" s="55"/>
      <c r="AF448" s="72"/>
      <c r="AG448" s="72"/>
      <c r="AH448" s="66"/>
      <c r="AJ448" t="s">
        <v>127</v>
      </c>
    </row>
    <row r="449" spans="1:36" ht="16" hidden="1" thickBot="1" x14ac:dyDescent="0.25">
      <c r="A449" s="119" t="s">
        <v>573</v>
      </c>
      <c r="B449" s="120" t="s">
        <v>1360</v>
      </c>
      <c r="C449" s="108" t="str">
        <f t="shared" si="105"/>
        <v>/Applications/Stellarium.app/Contents/Resources/nebulae/default/ic423.png</v>
      </c>
      <c r="D449" s="121" t="s">
        <v>1879</v>
      </c>
      <c r="E449" s="109"/>
      <c r="F449" s="122">
        <v>5</v>
      </c>
      <c r="G449" s="123">
        <v>39</v>
      </c>
      <c r="H449" s="122">
        <v>-3</v>
      </c>
      <c r="I449" s="124">
        <v>38</v>
      </c>
      <c r="J449" s="112" t="s">
        <v>990</v>
      </c>
      <c r="K449" s="125">
        <v>14</v>
      </c>
      <c r="L449" s="196"/>
      <c r="M449" s="110">
        <f t="shared" si="106"/>
        <v>-2.3666666666666667</v>
      </c>
      <c r="N449" s="111">
        <f t="shared" si="107"/>
        <v>35.413333333333334</v>
      </c>
      <c r="O449" s="112">
        <f t="shared" si="108"/>
        <v>5.65</v>
      </c>
      <c r="P449" s="113">
        <f t="shared" ca="1" si="109"/>
        <v>46360.509888000001</v>
      </c>
      <c r="Q449" s="114">
        <f t="shared" ca="1" si="110"/>
        <v>46375.509888000001</v>
      </c>
      <c r="R449" s="114" t="b">
        <f t="shared" ca="1" si="97"/>
        <v>0</v>
      </c>
      <c r="S449" s="115">
        <f t="shared" ca="1" si="98"/>
        <v>0</v>
      </c>
      <c r="T449" s="126">
        <f t="shared" ca="1" si="99"/>
        <v>46375.509888000001</v>
      </c>
      <c r="U449" s="127" t="str">
        <f t="shared" si="112"/>
        <v>S</v>
      </c>
      <c r="V449" s="128">
        <f t="shared" si="111"/>
        <v>35.413333333333334</v>
      </c>
      <c r="W449" s="129">
        <f t="shared" si="100"/>
        <v>35.413333333333334</v>
      </c>
      <c r="X449" s="197"/>
      <c r="Y449" s="115">
        <f t="shared" ca="1" si="101"/>
        <v>153</v>
      </c>
      <c r="Z449" s="118">
        <f t="shared" ca="1" si="102"/>
        <v>0.58082191780821923</v>
      </c>
      <c r="AA449" s="116"/>
      <c r="AB449" s="117">
        <f t="shared" si="103"/>
        <v>12.975333981555682</v>
      </c>
      <c r="AC449" s="118">
        <f t="shared" si="104"/>
        <v>0.62397224923148675</v>
      </c>
      <c r="AE449" s="55"/>
      <c r="AF449" s="72"/>
      <c r="AG449" s="72"/>
      <c r="AH449" s="66"/>
      <c r="AJ449" t="s">
        <v>573</v>
      </c>
    </row>
    <row r="450" spans="1:36" ht="16" hidden="1" thickBot="1" x14ac:dyDescent="0.25">
      <c r="A450" s="119" t="s">
        <v>275</v>
      </c>
      <c r="B450" s="120" t="s">
        <v>1277</v>
      </c>
      <c r="C450" s="108" t="str">
        <f t="shared" si="105"/>
        <v>/Applications/Stellarium.app/Contents/Resources/nebulae/default/n2022.png</v>
      </c>
      <c r="D450" s="121" t="s">
        <v>1880</v>
      </c>
      <c r="E450" s="109"/>
      <c r="F450" s="122">
        <v>5</v>
      </c>
      <c r="G450" s="123">
        <v>42</v>
      </c>
      <c r="H450" s="122">
        <v>9</v>
      </c>
      <c r="I450" s="124">
        <v>4</v>
      </c>
      <c r="J450" s="112" t="s">
        <v>854</v>
      </c>
      <c r="K450" s="125">
        <v>13.5</v>
      </c>
      <c r="L450" s="196"/>
      <c r="M450" s="110">
        <f t="shared" si="106"/>
        <v>9.0666666666666664</v>
      </c>
      <c r="N450" s="111">
        <f t="shared" si="107"/>
        <v>46.846666666666664</v>
      </c>
      <c r="O450" s="112">
        <f t="shared" si="108"/>
        <v>5.7</v>
      </c>
      <c r="P450" s="113">
        <f t="shared" ca="1" si="109"/>
        <v>46361.270808000001</v>
      </c>
      <c r="Q450" s="114">
        <f t="shared" ca="1" si="110"/>
        <v>46376.270808000001</v>
      </c>
      <c r="R450" s="114" t="b">
        <f t="shared" ca="1" si="97"/>
        <v>0</v>
      </c>
      <c r="S450" s="115">
        <f t="shared" ca="1" si="98"/>
        <v>0</v>
      </c>
      <c r="T450" s="126">
        <f t="shared" ca="1" si="99"/>
        <v>46376.270808000001</v>
      </c>
      <c r="U450" s="127" t="str">
        <f t="shared" si="112"/>
        <v>S</v>
      </c>
      <c r="V450" s="128">
        <f t="shared" si="111"/>
        <v>46.846666666666664</v>
      </c>
      <c r="W450" s="129">
        <f t="shared" si="100"/>
        <v>46.846666666666664</v>
      </c>
      <c r="X450" s="197"/>
      <c r="Y450" s="115">
        <f t="shared" ca="1" si="101"/>
        <v>153</v>
      </c>
      <c r="Z450" s="118">
        <f t="shared" ca="1" si="102"/>
        <v>0.58082191780821923</v>
      </c>
      <c r="AA450" s="116"/>
      <c r="AB450" s="117">
        <f t="shared" si="103"/>
        <v>13.025197459872174</v>
      </c>
      <c r="AC450" s="118">
        <f t="shared" si="104"/>
        <v>0.6260498941613406</v>
      </c>
      <c r="AE450" s="55"/>
      <c r="AF450" s="72"/>
      <c r="AG450" s="72"/>
      <c r="AH450" s="66"/>
      <c r="AJ450" t="s">
        <v>275</v>
      </c>
    </row>
    <row r="451" spans="1:36" ht="16" hidden="1" thickBot="1" x14ac:dyDescent="0.25">
      <c r="A451" s="119" t="s">
        <v>266</v>
      </c>
      <c r="B451" s="120" t="s">
        <v>1230</v>
      </c>
      <c r="C451" s="108" t="str">
        <f t="shared" si="105"/>
        <v>/Applications/Stellarium.app/Contents/Resources/nebulae/default/n1961-vasey.png</v>
      </c>
      <c r="D451" s="121" t="s">
        <v>1881</v>
      </c>
      <c r="E451" s="109"/>
      <c r="F451" s="122">
        <v>5</v>
      </c>
      <c r="G451" s="123">
        <v>43</v>
      </c>
      <c r="H451" s="122">
        <v>69</v>
      </c>
      <c r="I451" s="124">
        <v>17</v>
      </c>
      <c r="J451" s="112" t="s">
        <v>845</v>
      </c>
      <c r="K451" s="125">
        <v>13.4</v>
      </c>
      <c r="L451" s="196"/>
      <c r="M451" s="110">
        <f t="shared" si="106"/>
        <v>69.283333333333331</v>
      </c>
      <c r="N451" s="111">
        <f t="shared" si="107"/>
        <v>107.06333333333333</v>
      </c>
      <c r="O451" s="112">
        <f t="shared" si="108"/>
        <v>5.7166666666666668</v>
      </c>
      <c r="P451" s="113">
        <f t="shared" ca="1" si="109"/>
        <v>46361.524447999996</v>
      </c>
      <c r="Q451" s="114">
        <f t="shared" ca="1" si="110"/>
        <v>46376.524447999996</v>
      </c>
      <c r="R451" s="114" t="b">
        <f t="shared" ca="1" si="97"/>
        <v>0</v>
      </c>
      <c r="S451" s="115">
        <f t="shared" ca="1" si="98"/>
        <v>0</v>
      </c>
      <c r="T451" s="126">
        <f t="shared" ca="1" si="99"/>
        <v>46376.524447999996</v>
      </c>
      <c r="U451" s="127" t="str">
        <f t="shared" si="112"/>
        <v>N</v>
      </c>
      <c r="V451" s="128">
        <f t="shared" si="111"/>
        <v>72.936666666666667</v>
      </c>
      <c r="W451" s="129">
        <f t="shared" si="100"/>
        <v>72.936666666666667</v>
      </c>
      <c r="X451" s="197"/>
      <c r="Y451" s="115">
        <f t="shared" ca="1" si="101"/>
        <v>152</v>
      </c>
      <c r="Z451" s="118">
        <f t="shared" ca="1" si="102"/>
        <v>0.58356164383561637</v>
      </c>
      <c r="AA451" s="116"/>
      <c r="AB451" s="117">
        <f t="shared" si="103"/>
        <v>13.041818619311007</v>
      </c>
      <c r="AC451" s="118">
        <f t="shared" si="104"/>
        <v>0.62674244247129196</v>
      </c>
      <c r="AE451" s="55"/>
      <c r="AF451" s="72"/>
      <c r="AG451" s="72"/>
      <c r="AH451" s="66"/>
      <c r="AJ451" t="s">
        <v>266</v>
      </c>
    </row>
    <row r="452" spans="1:36" ht="16" hidden="1" thickBot="1" x14ac:dyDescent="0.25">
      <c r="A452" s="119" t="s">
        <v>574</v>
      </c>
      <c r="B452" s="120" t="s">
        <v>1361</v>
      </c>
      <c r="C452" s="108" t="str">
        <f t="shared" si="105"/>
        <v>/Applications/Stellarium.app/Contents/Resources/nebulae/default/ic434.png</v>
      </c>
      <c r="D452" s="121" t="s">
        <v>1882</v>
      </c>
      <c r="E452" s="109"/>
      <c r="F452" s="122">
        <v>5</v>
      </c>
      <c r="G452" s="123">
        <v>43</v>
      </c>
      <c r="H452" s="122">
        <v>-4</v>
      </c>
      <c r="I452" s="124">
        <v>15</v>
      </c>
      <c r="J452" s="112" t="s">
        <v>1093</v>
      </c>
      <c r="K452" s="125">
        <v>14</v>
      </c>
      <c r="L452" s="196"/>
      <c r="M452" s="110">
        <f t="shared" si="106"/>
        <v>-3.75</v>
      </c>
      <c r="N452" s="111">
        <f t="shared" si="107"/>
        <v>34.03</v>
      </c>
      <c r="O452" s="112">
        <f t="shared" si="108"/>
        <v>5.7166666666666668</v>
      </c>
      <c r="P452" s="113">
        <f t="shared" ca="1" si="109"/>
        <v>46361.524447999996</v>
      </c>
      <c r="Q452" s="114">
        <f t="shared" ca="1" si="110"/>
        <v>46376.524447999996</v>
      </c>
      <c r="R452" s="114" t="b">
        <f t="shared" ca="1" si="97"/>
        <v>0</v>
      </c>
      <c r="S452" s="115">
        <f t="shared" ca="1" si="98"/>
        <v>0</v>
      </c>
      <c r="T452" s="126">
        <f t="shared" ca="1" si="99"/>
        <v>46376.524447999996</v>
      </c>
      <c r="U452" s="127" t="str">
        <f t="shared" si="112"/>
        <v>S</v>
      </c>
      <c r="V452" s="128">
        <f t="shared" si="111"/>
        <v>34.03</v>
      </c>
      <c r="W452" s="129">
        <f t="shared" si="100"/>
        <v>34.03</v>
      </c>
      <c r="X452" s="197"/>
      <c r="Y452" s="115">
        <f t="shared" ca="1" si="101"/>
        <v>152</v>
      </c>
      <c r="Z452" s="118">
        <f t="shared" ca="1" si="102"/>
        <v>0.58356164383561637</v>
      </c>
      <c r="AA452" s="116"/>
      <c r="AB452" s="117">
        <f t="shared" si="103"/>
        <v>13.041818619311007</v>
      </c>
      <c r="AC452" s="118">
        <f t="shared" si="104"/>
        <v>0.62674244247129196</v>
      </c>
      <c r="AE452" s="55"/>
      <c r="AF452" s="72"/>
      <c r="AG452" s="72"/>
      <c r="AH452" s="66"/>
      <c r="AJ452" t="s">
        <v>574</v>
      </c>
    </row>
    <row r="453" spans="1:36" ht="16" hidden="1" thickBot="1" x14ac:dyDescent="0.25">
      <c r="A453" s="119" t="s">
        <v>632</v>
      </c>
      <c r="B453" s="120" t="s">
        <v>1406</v>
      </c>
      <c r="C453" s="108" t="str">
        <f t="shared" si="105"/>
        <v>/Applications/Stellarium.app/Contents/Resources/nebulae/default/sh2-235.png</v>
      </c>
      <c r="D453" s="121" t="s">
        <v>1883</v>
      </c>
      <c r="E453" s="109"/>
      <c r="F453" s="122">
        <v>5</v>
      </c>
      <c r="G453" s="123">
        <v>43</v>
      </c>
      <c r="H453" s="122">
        <v>35</v>
      </c>
      <c r="I453" s="124">
        <v>23</v>
      </c>
      <c r="J453" s="112" t="s">
        <v>1113</v>
      </c>
      <c r="K453" s="125">
        <v>14.2</v>
      </c>
      <c r="L453" s="196"/>
      <c r="M453" s="110">
        <f t="shared" si="106"/>
        <v>35.383333333333333</v>
      </c>
      <c r="N453" s="111">
        <f t="shared" si="107"/>
        <v>73.163333333333327</v>
      </c>
      <c r="O453" s="112">
        <f t="shared" si="108"/>
        <v>5.7166666666666668</v>
      </c>
      <c r="P453" s="113">
        <f t="shared" ca="1" si="109"/>
        <v>46361.524447999996</v>
      </c>
      <c r="Q453" s="114">
        <f t="shared" ca="1" si="110"/>
        <v>46376.524447999996</v>
      </c>
      <c r="R453" s="114" t="b">
        <f t="shared" ca="1" si="97"/>
        <v>0</v>
      </c>
      <c r="S453" s="115">
        <f t="shared" ca="1" si="98"/>
        <v>0</v>
      </c>
      <c r="T453" s="126">
        <f t="shared" ca="1" si="99"/>
        <v>46376.524447999996</v>
      </c>
      <c r="U453" s="127" t="str">
        <f t="shared" si="112"/>
        <v>S</v>
      </c>
      <c r="V453" s="128">
        <f t="shared" si="111"/>
        <v>73.163333333333327</v>
      </c>
      <c r="W453" s="129">
        <f t="shared" si="100"/>
        <v>73.163333333333327</v>
      </c>
      <c r="X453" s="197"/>
      <c r="Y453" s="115">
        <f t="shared" ca="1" si="101"/>
        <v>152</v>
      </c>
      <c r="Z453" s="118">
        <f t="shared" ca="1" si="102"/>
        <v>0.58356164383561637</v>
      </c>
      <c r="AA453" s="116"/>
      <c r="AB453" s="117">
        <f t="shared" si="103"/>
        <v>13.041818619311007</v>
      </c>
      <c r="AC453" s="118">
        <f t="shared" si="104"/>
        <v>0.62674244247129196</v>
      </c>
      <c r="AE453" s="55"/>
      <c r="AF453" s="72"/>
      <c r="AG453" s="72"/>
      <c r="AH453" s="66"/>
      <c r="AJ453" t="s">
        <v>632</v>
      </c>
    </row>
    <row r="454" spans="1:36" ht="16" hidden="1" thickBot="1" x14ac:dyDescent="0.25">
      <c r="A454" s="119" t="s">
        <v>132</v>
      </c>
      <c r="B454" s="120" t="s">
        <v>1220</v>
      </c>
      <c r="C454" s="108" t="str">
        <f t="shared" si="105"/>
        <v>/Applications/Stellarium.app/Contents/Resources/nebulae/default/m42.png</v>
      </c>
      <c r="D454" s="121" t="s">
        <v>1884</v>
      </c>
      <c r="E454" s="109"/>
      <c r="F454" s="122">
        <v>5</v>
      </c>
      <c r="G454" s="123">
        <v>44</v>
      </c>
      <c r="H454" s="122">
        <v>-8</v>
      </c>
      <c r="I454" s="124">
        <v>52</v>
      </c>
      <c r="J454" s="112" t="s">
        <v>743</v>
      </c>
      <c r="K454" s="125">
        <v>12.5</v>
      </c>
      <c r="L454" s="196"/>
      <c r="M454" s="110">
        <f t="shared" si="106"/>
        <v>-7.1333333333333329</v>
      </c>
      <c r="N454" s="111">
        <f t="shared" si="107"/>
        <v>30.646666666666668</v>
      </c>
      <c r="O454" s="112">
        <f t="shared" si="108"/>
        <v>5.7333333333333334</v>
      </c>
      <c r="P454" s="113">
        <f t="shared" ca="1" si="109"/>
        <v>46361.778087999999</v>
      </c>
      <c r="Q454" s="114">
        <f t="shared" ca="1" si="110"/>
        <v>46376.778087999999</v>
      </c>
      <c r="R454" s="114" t="b">
        <f t="shared" ca="1" si="97"/>
        <v>0</v>
      </c>
      <c r="S454" s="115">
        <f t="shared" ca="1" si="98"/>
        <v>0</v>
      </c>
      <c r="T454" s="126">
        <f t="shared" ca="1" si="99"/>
        <v>46376.778087999999</v>
      </c>
      <c r="U454" s="127" t="str">
        <f t="shared" si="112"/>
        <v>S</v>
      </c>
      <c r="V454" s="128">
        <f t="shared" si="111"/>
        <v>30.646666666666668</v>
      </c>
      <c r="W454" s="129">
        <f t="shared" si="100"/>
        <v>30.646666666666668</v>
      </c>
      <c r="X454" s="197"/>
      <c r="Y454" s="115">
        <f t="shared" ca="1" si="101"/>
        <v>152</v>
      </c>
      <c r="Z454" s="118">
        <f t="shared" ca="1" si="102"/>
        <v>0.58356164383561637</v>
      </c>
      <c r="AA454" s="116"/>
      <c r="AB454" s="117">
        <f t="shared" si="103"/>
        <v>13.05843977874984</v>
      </c>
      <c r="AC454" s="118">
        <f t="shared" si="104"/>
        <v>0.62743499078124332</v>
      </c>
      <c r="AE454" s="55"/>
      <c r="AF454" s="72"/>
      <c r="AG454" s="72"/>
      <c r="AH454" s="66"/>
      <c r="AJ454" t="s">
        <v>132</v>
      </c>
    </row>
    <row r="455" spans="1:36" ht="16" hidden="1" thickBot="1" x14ac:dyDescent="0.25">
      <c r="A455" s="119" t="s">
        <v>167</v>
      </c>
      <c r="B455" s="120" t="s">
        <v>1240</v>
      </c>
      <c r="C455" s="108" t="str">
        <f t="shared" si="105"/>
        <v>/Applications/Stellarium.app/Contents/Resources/nebulae/default/m78.png</v>
      </c>
      <c r="D455" s="121" t="s">
        <v>1885</v>
      </c>
      <c r="E455" s="109"/>
      <c r="F455" s="122">
        <v>5</v>
      </c>
      <c r="G455" s="123">
        <v>49</v>
      </c>
      <c r="H455" s="122">
        <v>-1</v>
      </c>
      <c r="I455" s="124">
        <v>24</v>
      </c>
      <c r="J455" s="112" t="s">
        <v>765</v>
      </c>
      <c r="K455" s="125">
        <v>13.6</v>
      </c>
      <c r="L455" s="196"/>
      <c r="M455" s="110">
        <f t="shared" si="106"/>
        <v>-0.6</v>
      </c>
      <c r="N455" s="111">
        <f t="shared" si="107"/>
        <v>37.18</v>
      </c>
      <c r="O455" s="112">
        <f t="shared" si="108"/>
        <v>5.8166666666666664</v>
      </c>
      <c r="P455" s="113">
        <f t="shared" ca="1" si="109"/>
        <v>46363.046287999998</v>
      </c>
      <c r="Q455" s="114">
        <f t="shared" ca="1" si="110"/>
        <v>46378.046287999998</v>
      </c>
      <c r="R455" s="114" t="b">
        <f t="shared" ca="1" si="97"/>
        <v>0</v>
      </c>
      <c r="S455" s="115">
        <f t="shared" ca="1" si="98"/>
        <v>0</v>
      </c>
      <c r="T455" s="126">
        <f t="shared" ca="1" si="99"/>
        <v>46378.046287999998</v>
      </c>
      <c r="U455" s="127" t="str">
        <f t="shared" si="112"/>
        <v>S</v>
      </c>
      <c r="V455" s="128">
        <f t="shared" si="111"/>
        <v>37.18</v>
      </c>
      <c r="W455" s="129">
        <f t="shared" si="100"/>
        <v>37.18</v>
      </c>
      <c r="X455" s="197"/>
      <c r="Y455" s="115">
        <f t="shared" ca="1" si="101"/>
        <v>151</v>
      </c>
      <c r="Z455" s="118">
        <f t="shared" ca="1" si="102"/>
        <v>0.58630136986301373</v>
      </c>
      <c r="AA455" s="116"/>
      <c r="AB455" s="117">
        <f t="shared" si="103"/>
        <v>13.141545575943994</v>
      </c>
      <c r="AC455" s="118">
        <f t="shared" si="104"/>
        <v>0.63089773233099977</v>
      </c>
      <c r="AE455" s="55"/>
      <c r="AF455" s="72"/>
      <c r="AG455" s="72"/>
      <c r="AH455" s="66"/>
      <c r="AJ455" t="s">
        <v>167</v>
      </c>
    </row>
    <row r="456" spans="1:36" ht="16" hidden="1" thickBot="1" x14ac:dyDescent="0.25">
      <c r="A456" s="119" t="s">
        <v>634</v>
      </c>
      <c r="B456" s="120" t="s">
        <v>1407</v>
      </c>
      <c r="C456" s="108" t="str">
        <f t="shared" si="105"/>
        <v>/Applications/Stellarium.app/Contents/Resources/nebulae/default/sh2-240.png</v>
      </c>
      <c r="D456" s="121" t="s">
        <v>1886</v>
      </c>
      <c r="E456" s="109"/>
      <c r="F456" s="122">
        <v>5</v>
      </c>
      <c r="G456" s="123">
        <v>49</v>
      </c>
      <c r="H456" s="122">
        <v>25</v>
      </c>
      <c r="I456" s="124">
        <v>22</v>
      </c>
      <c r="J456" s="112" t="s">
        <v>1136</v>
      </c>
      <c r="K456" s="125">
        <v>15</v>
      </c>
      <c r="L456" s="196"/>
      <c r="M456" s="110">
        <f t="shared" si="106"/>
        <v>25.366666666666667</v>
      </c>
      <c r="N456" s="111">
        <f t="shared" si="107"/>
        <v>63.146666666666668</v>
      </c>
      <c r="O456" s="112">
        <f t="shared" si="108"/>
        <v>5.8166666666666664</v>
      </c>
      <c r="P456" s="113">
        <f t="shared" ca="1" si="109"/>
        <v>46363.046287999998</v>
      </c>
      <c r="Q456" s="114">
        <f t="shared" ca="1" si="110"/>
        <v>46378.046287999998</v>
      </c>
      <c r="R456" s="114" t="b">
        <f t="shared" ca="1" si="97"/>
        <v>0</v>
      </c>
      <c r="S456" s="115">
        <f t="shared" ca="1" si="98"/>
        <v>0</v>
      </c>
      <c r="T456" s="126">
        <f t="shared" ca="1" si="99"/>
        <v>46378.046287999998</v>
      </c>
      <c r="U456" s="127" t="str">
        <f t="shared" si="112"/>
        <v>S</v>
      </c>
      <c r="V456" s="128">
        <f t="shared" si="111"/>
        <v>63.146666666666668</v>
      </c>
      <c r="W456" s="129">
        <f t="shared" si="100"/>
        <v>63.146666666666668</v>
      </c>
      <c r="X456" s="197"/>
      <c r="Y456" s="115">
        <f t="shared" ca="1" si="101"/>
        <v>151</v>
      </c>
      <c r="Z456" s="118">
        <f t="shared" ca="1" si="102"/>
        <v>0.58630136986301373</v>
      </c>
      <c r="AA456" s="116"/>
      <c r="AB456" s="117">
        <f t="shared" si="103"/>
        <v>13.141545575943994</v>
      </c>
      <c r="AC456" s="118">
        <f t="shared" si="104"/>
        <v>0.63089773233099977</v>
      </c>
      <c r="AE456" s="55"/>
      <c r="AF456" s="72"/>
      <c r="AG456" s="72"/>
      <c r="AH456" s="66"/>
      <c r="AJ456" t="s">
        <v>634</v>
      </c>
    </row>
    <row r="457" spans="1:36" ht="16" hidden="1" thickBot="1" x14ac:dyDescent="0.25">
      <c r="A457" s="119" t="s">
        <v>128</v>
      </c>
      <c r="B457" s="120" t="s">
        <v>1217</v>
      </c>
      <c r="C457" s="108" t="str">
        <f t="shared" si="105"/>
        <v>/Applications/Stellarium.app/Contents/Resources/nebulae/default/m37.png</v>
      </c>
      <c r="D457" s="121" t="s">
        <v>1887</v>
      </c>
      <c r="E457" s="109"/>
      <c r="F457" s="122">
        <v>5</v>
      </c>
      <c r="G457" s="123">
        <v>52</v>
      </c>
      <c r="H457" s="122">
        <v>32</v>
      </c>
      <c r="I457" s="124">
        <v>27</v>
      </c>
      <c r="J457" s="112" t="s">
        <v>740</v>
      </c>
      <c r="K457" s="125">
        <v>12.7</v>
      </c>
      <c r="L457" s="196"/>
      <c r="M457" s="110">
        <f t="shared" si="106"/>
        <v>32.450000000000003</v>
      </c>
      <c r="N457" s="111">
        <f t="shared" si="107"/>
        <v>70.23</v>
      </c>
      <c r="O457" s="112">
        <f t="shared" si="108"/>
        <v>5.8666666666666671</v>
      </c>
      <c r="P457" s="113">
        <f t="shared" ca="1" si="109"/>
        <v>46363.807207999998</v>
      </c>
      <c r="Q457" s="114">
        <f t="shared" ca="1" si="110"/>
        <v>46378.807207999998</v>
      </c>
      <c r="R457" s="114" t="b">
        <f t="shared" ca="1" si="97"/>
        <v>0</v>
      </c>
      <c r="S457" s="115">
        <f t="shared" ca="1" si="98"/>
        <v>0</v>
      </c>
      <c r="T457" s="126">
        <f t="shared" ca="1" si="99"/>
        <v>46378.807207999998</v>
      </c>
      <c r="U457" s="127" t="str">
        <f t="shared" si="112"/>
        <v>S</v>
      </c>
      <c r="V457" s="128">
        <f t="shared" si="111"/>
        <v>70.23</v>
      </c>
      <c r="W457" s="129">
        <f t="shared" si="100"/>
        <v>70.23</v>
      </c>
      <c r="X457" s="197"/>
      <c r="Y457" s="115">
        <f t="shared" ca="1" si="101"/>
        <v>150</v>
      </c>
      <c r="Z457" s="118">
        <f t="shared" ca="1" si="102"/>
        <v>0.58904109589041098</v>
      </c>
      <c r="AA457" s="116"/>
      <c r="AB457" s="117">
        <f t="shared" si="103"/>
        <v>13.191409054260488</v>
      </c>
      <c r="AC457" s="118">
        <f t="shared" si="104"/>
        <v>0.63297537726085362</v>
      </c>
      <c r="AE457" s="55"/>
      <c r="AF457" s="72"/>
      <c r="AG457" s="72"/>
      <c r="AH457" s="66"/>
      <c r="AJ457" t="s">
        <v>128</v>
      </c>
    </row>
    <row r="458" spans="1:36" ht="16" hidden="1" thickBot="1" x14ac:dyDescent="0.25">
      <c r="A458" s="119" t="s">
        <v>638</v>
      </c>
      <c r="B458" s="120" t="s">
        <v>1395</v>
      </c>
      <c r="C458" s="108" t="str">
        <f t="shared" si="105"/>
        <v>/Applications/Stellarium.app/Contents/Resources/nebulae/default/sh2-264.png</v>
      </c>
      <c r="D458" s="121" t="s">
        <v>1888</v>
      </c>
      <c r="E458" s="109"/>
      <c r="F458" s="122">
        <v>5</v>
      </c>
      <c r="G458" s="123">
        <v>53</v>
      </c>
      <c r="H458" s="122">
        <v>5</v>
      </c>
      <c r="I458" s="124">
        <v>41</v>
      </c>
      <c r="J458" s="112" t="s">
        <v>1138</v>
      </c>
      <c r="K458" s="125">
        <v>14.2</v>
      </c>
      <c r="L458" s="196"/>
      <c r="M458" s="110">
        <f t="shared" si="106"/>
        <v>5.6833333333333336</v>
      </c>
      <c r="N458" s="111">
        <f t="shared" si="107"/>
        <v>43.463333333333338</v>
      </c>
      <c r="O458" s="112">
        <f t="shared" si="108"/>
        <v>5.8833333333333329</v>
      </c>
      <c r="P458" s="113">
        <f t="shared" ca="1" si="109"/>
        <v>46364.060848000001</v>
      </c>
      <c r="Q458" s="114">
        <f t="shared" ca="1" si="110"/>
        <v>46379.060848000001</v>
      </c>
      <c r="R458" s="114" t="b">
        <f t="shared" ca="1" si="97"/>
        <v>0</v>
      </c>
      <c r="S458" s="115">
        <f t="shared" ca="1" si="98"/>
        <v>0</v>
      </c>
      <c r="T458" s="126">
        <f t="shared" ca="1" si="99"/>
        <v>46379.060848000001</v>
      </c>
      <c r="U458" s="127" t="str">
        <f t="shared" si="112"/>
        <v>S</v>
      </c>
      <c r="V458" s="128">
        <f t="shared" si="111"/>
        <v>43.463333333333338</v>
      </c>
      <c r="W458" s="129">
        <f t="shared" si="100"/>
        <v>43.463333333333338</v>
      </c>
      <c r="X458" s="197"/>
      <c r="Y458" s="115">
        <f t="shared" ca="1" si="101"/>
        <v>150</v>
      </c>
      <c r="Z458" s="118">
        <f t="shared" ca="1" si="102"/>
        <v>0.58904109589041098</v>
      </c>
      <c r="AA458" s="116"/>
      <c r="AB458" s="117">
        <f t="shared" si="103"/>
        <v>13.208030213699319</v>
      </c>
      <c r="AC458" s="118">
        <f t="shared" si="104"/>
        <v>0.63366792557080498</v>
      </c>
      <c r="AE458" s="55"/>
      <c r="AF458" s="72"/>
      <c r="AG458" s="72"/>
      <c r="AH458" s="66"/>
      <c r="AJ458" t="s">
        <v>638</v>
      </c>
    </row>
    <row r="459" spans="1:36" ht="16" hidden="1" thickBot="1" x14ac:dyDescent="0.25">
      <c r="A459" s="119" t="s">
        <v>660</v>
      </c>
      <c r="B459" s="120" t="s">
        <v>1413</v>
      </c>
      <c r="C459" s="108" t="str">
        <f t="shared" si="105"/>
        <v>/Applications/Stellarium.app/Contents/Resources/nebulae/default/ldn1622.png</v>
      </c>
      <c r="D459" s="121" t="s">
        <v>1889</v>
      </c>
      <c r="E459" s="109"/>
      <c r="F459" s="122">
        <v>5</v>
      </c>
      <c r="G459" s="123">
        <v>58</v>
      </c>
      <c r="H459" s="122">
        <v>1</v>
      </c>
      <c r="I459" s="124">
        <v>22</v>
      </c>
      <c r="J459" s="112" t="s">
        <v>1147</v>
      </c>
      <c r="K459" s="125">
        <v>14.6</v>
      </c>
      <c r="L459" s="196"/>
      <c r="M459" s="110">
        <f t="shared" si="106"/>
        <v>1.3666666666666667</v>
      </c>
      <c r="N459" s="111">
        <f t="shared" si="107"/>
        <v>39.146666666666668</v>
      </c>
      <c r="O459" s="112">
        <f t="shared" si="108"/>
        <v>5.9666666666666668</v>
      </c>
      <c r="P459" s="113">
        <f t="shared" ca="1" si="109"/>
        <v>46365.329048</v>
      </c>
      <c r="Q459" s="114">
        <f t="shared" ca="1" si="110"/>
        <v>46380.329048</v>
      </c>
      <c r="R459" s="114" t="b">
        <f t="shared" ref="R459:R522" ca="1" si="113">AND(Q459&gt;=DATE(YEAR(Q459),3,31)-WEEKDAY(DATE(YEAR(Q459),3,31),2),Q459&lt;DATE(YEAR(Q459),10,31)-WEEKDAY(DATE(YEAR(Q459),10,31),2))</f>
        <v>0</v>
      </c>
      <c r="S459" s="115">
        <f t="shared" ref="S459:S522" ca="1" si="114">IF(R459,15,0)</f>
        <v>0</v>
      </c>
      <c r="T459" s="126">
        <f t="shared" ref="T459:T522" ca="1" si="115">Q459+S459</f>
        <v>46380.329048</v>
      </c>
      <c r="U459" s="127" t="str">
        <f t="shared" si="112"/>
        <v>S</v>
      </c>
      <c r="V459" s="128">
        <f t="shared" si="111"/>
        <v>39.146666666666668</v>
      </c>
      <c r="W459" s="129">
        <f t="shared" ref="W459:W522" si="116">IF(M459&lt;&gt;0,V459,"")</f>
        <v>39.146666666666668</v>
      </c>
      <c r="X459" s="197"/>
      <c r="Y459" s="115">
        <f t="shared" ref="Y459:Y522" ca="1" si="117">INT(IF(AC$7&gt;T459,AC$7-T459,AC$7+365-T459)+0.5)+S459</f>
        <v>149</v>
      </c>
      <c r="Z459" s="118">
        <f t="shared" ref="Z459:Z522" ca="1" si="118">$AB$5-Y459/365</f>
        <v>0.59178082191780823</v>
      </c>
      <c r="AA459" s="116"/>
      <c r="AB459" s="117">
        <f t="shared" ref="AB459:AB522" si="119">MOD(O459-AB$10,24)/1.00273790935</f>
        <v>13.291136010893476</v>
      </c>
      <c r="AC459" s="118">
        <f t="shared" ref="AC459:AC522" si="120">(IF(M459&lt;&gt;0,MOD(AB459+AB$11,24)/24,""))</f>
        <v>0.63713066712056154</v>
      </c>
      <c r="AE459" s="55"/>
      <c r="AF459" s="72"/>
      <c r="AG459" s="72"/>
      <c r="AH459" s="66"/>
      <c r="AJ459" t="s">
        <v>660</v>
      </c>
    </row>
    <row r="460" spans="1:36" ht="16" hidden="1" thickBot="1" x14ac:dyDescent="0.25">
      <c r="A460" s="119" t="s">
        <v>277</v>
      </c>
      <c r="B460" s="120" t="s">
        <v>1207</v>
      </c>
      <c r="C460" s="108" t="str">
        <f t="shared" ref="C460:C523" si="121">CONCATENATE(A$9&amp;D460)</f>
        <v>/Applications/Stellarium.app/Contents/Resources/nebulae/default/n2158.png</v>
      </c>
      <c r="D460" s="121" t="s">
        <v>1890</v>
      </c>
      <c r="E460" s="109"/>
      <c r="F460" s="122">
        <v>6</v>
      </c>
      <c r="G460" s="123">
        <v>7</v>
      </c>
      <c r="H460" s="122">
        <v>24</v>
      </c>
      <c r="I460" s="124">
        <v>0</v>
      </c>
      <c r="J460" s="112" t="s">
        <v>844</v>
      </c>
      <c r="K460" s="125">
        <v>13.4</v>
      </c>
      <c r="L460" s="196"/>
      <c r="M460" s="110">
        <f t="shared" ref="M460:M523" si="122">H460+I460/60</f>
        <v>24</v>
      </c>
      <c r="N460" s="111">
        <f t="shared" ref="N460:N523" si="123">90-$B$6+M460</f>
        <v>61.78</v>
      </c>
      <c r="O460" s="112">
        <f t="shared" ref="O460:O523" si="124">F460+G460/60</f>
        <v>6.1166666666666663</v>
      </c>
      <c r="P460" s="113">
        <f t="shared" ref="P460:P523" ca="1" si="125">DATE(YEAR(TODAY()),3,21)+MOD(O460-12-$B$7/15,24)*15.2184</f>
        <v>46367.611808000001</v>
      </c>
      <c r="Q460" s="114">
        <f t="shared" ref="Q460:Q523" ca="1" si="126">DATE(YEAR(TODAY()),3,21)+MOD(O460-12-$B$7/15,24)*15.2184+15</f>
        <v>46382.611808000001</v>
      </c>
      <c r="R460" s="114" t="b">
        <f t="shared" ca="1" si="113"/>
        <v>0</v>
      </c>
      <c r="S460" s="115">
        <f t="shared" ca="1" si="114"/>
        <v>0</v>
      </c>
      <c r="T460" s="126">
        <f t="shared" ca="1" si="115"/>
        <v>46382.611808000001</v>
      </c>
      <c r="U460" s="127" t="str">
        <f t="shared" si="112"/>
        <v>S</v>
      </c>
      <c r="V460" s="128">
        <f t="shared" ref="V460:V523" si="127">IF(90-B$6+M460&gt;90,180-90+B$6-M460,90-B$6+M460)</f>
        <v>61.78</v>
      </c>
      <c r="W460" s="129">
        <f t="shared" si="116"/>
        <v>61.78</v>
      </c>
      <c r="X460" s="197"/>
      <c r="Y460" s="115">
        <f t="shared" ca="1" si="117"/>
        <v>146</v>
      </c>
      <c r="Z460" s="118">
        <f t="shared" ca="1" si="118"/>
        <v>0.6</v>
      </c>
      <c r="AA460" s="116"/>
      <c r="AB460" s="117">
        <f t="shared" si="119"/>
        <v>13.440726445842957</v>
      </c>
      <c r="AC460" s="118">
        <f t="shared" si="120"/>
        <v>0.64336360191012321</v>
      </c>
      <c r="AE460" s="55"/>
      <c r="AF460" s="72"/>
      <c r="AG460" s="72"/>
      <c r="AH460" s="66"/>
      <c r="AJ460" t="s">
        <v>277</v>
      </c>
    </row>
    <row r="461" spans="1:36" ht="16" hidden="1" thickBot="1" x14ac:dyDescent="0.25">
      <c r="A461" s="119" t="s">
        <v>126</v>
      </c>
      <c r="B461" s="120" t="s">
        <v>1215</v>
      </c>
      <c r="C461" s="108" t="str">
        <f t="shared" si="121"/>
        <v>/Applications/Stellarium.app/Contents/Resources/nebulae/default/m35.png</v>
      </c>
      <c r="D461" s="121" t="s">
        <v>1891</v>
      </c>
      <c r="E461" s="109"/>
      <c r="F461" s="122">
        <v>6</v>
      </c>
      <c r="G461" s="123">
        <v>9</v>
      </c>
      <c r="H461" s="122">
        <v>24</v>
      </c>
      <c r="I461" s="124">
        <v>13</v>
      </c>
      <c r="J461" s="112" t="s">
        <v>723</v>
      </c>
      <c r="K461" s="125">
        <v>13.3</v>
      </c>
      <c r="L461" s="196"/>
      <c r="M461" s="110">
        <f t="shared" si="122"/>
        <v>24.216666666666665</v>
      </c>
      <c r="N461" s="111">
        <f t="shared" si="123"/>
        <v>61.99666666666667</v>
      </c>
      <c r="O461" s="112">
        <f t="shared" si="124"/>
        <v>6.15</v>
      </c>
      <c r="P461" s="113">
        <f t="shared" ca="1" si="125"/>
        <v>46368.119087999999</v>
      </c>
      <c r="Q461" s="114">
        <f t="shared" ca="1" si="126"/>
        <v>46383.119087999999</v>
      </c>
      <c r="R461" s="114" t="b">
        <f t="shared" ca="1" si="113"/>
        <v>0</v>
      </c>
      <c r="S461" s="115">
        <f t="shared" ca="1" si="114"/>
        <v>0</v>
      </c>
      <c r="T461" s="126">
        <f t="shared" ca="1" si="115"/>
        <v>46383.119087999999</v>
      </c>
      <c r="U461" s="127" t="str">
        <f t="shared" si="112"/>
        <v>S</v>
      </c>
      <c r="V461" s="128">
        <f t="shared" si="127"/>
        <v>61.99666666666667</v>
      </c>
      <c r="W461" s="129">
        <f t="shared" si="116"/>
        <v>61.99666666666667</v>
      </c>
      <c r="X461" s="197"/>
      <c r="Y461" s="115">
        <f t="shared" ca="1" si="117"/>
        <v>146</v>
      </c>
      <c r="Z461" s="118">
        <f t="shared" ca="1" si="118"/>
        <v>0.6</v>
      </c>
      <c r="AA461" s="116"/>
      <c r="AB461" s="117">
        <f t="shared" si="119"/>
        <v>13.47396876472062</v>
      </c>
      <c r="AC461" s="118">
        <f t="shared" si="120"/>
        <v>0.64474869853002581</v>
      </c>
      <c r="AE461" s="55"/>
      <c r="AF461" s="72"/>
      <c r="AG461" s="72"/>
      <c r="AH461" s="66"/>
      <c r="AJ461" t="s">
        <v>126</v>
      </c>
    </row>
    <row r="462" spans="1:36" ht="16" hidden="1" thickBot="1" x14ac:dyDescent="0.25">
      <c r="A462" s="119" t="s">
        <v>635</v>
      </c>
      <c r="B462" s="120" t="s">
        <v>1408</v>
      </c>
      <c r="C462" s="108" t="str">
        <f t="shared" si="121"/>
        <v>/Applications/Stellarium.app/Contents/Resources/nebulae/default/sh2-247.png</v>
      </c>
      <c r="D462" s="121" t="s">
        <v>1892</v>
      </c>
      <c r="E462" s="109"/>
      <c r="F462" s="122">
        <v>6</v>
      </c>
      <c r="G462" s="123">
        <v>9</v>
      </c>
      <c r="H462" s="122">
        <v>21</v>
      </c>
      <c r="I462" s="124">
        <v>24</v>
      </c>
      <c r="J462" s="112" t="s">
        <v>92</v>
      </c>
      <c r="K462" s="125">
        <v>14.7</v>
      </c>
      <c r="L462" s="196"/>
      <c r="M462" s="110">
        <f t="shared" si="122"/>
        <v>21.4</v>
      </c>
      <c r="N462" s="111">
        <f t="shared" si="123"/>
        <v>59.18</v>
      </c>
      <c r="O462" s="112">
        <f t="shared" si="124"/>
        <v>6.15</v>
      </c>
      <c r="P462" s="113">
        <f t="shared" ca="1" si="125"/>
        <v>46368.119087999999</v>
      </c>
      <c r="Q462" s="114">
        <f t="shared" ca="1" si="126"/>
        <v>46383.119087999999</v>
      </c>
      <c r="R462" s="114" t="b">
        <f t="shared" ca="1" si="113"/>
        <v>0</v>
      </c>
      <c r="S462" s="115">
        <f t="shared" ca="1" si="114"/>
        <v>0</v>
      </c>
      <c r="T462" s="126">
        <f t="shared" ca="1" si="115"/>
        <v>46383.119087999999</v>
      </c>
      <c r="U462" s="127" t="str">
        <f t="shared" si="112"/>
        <v>S</v>
      </c>
      <c r="V462" s="128">
        <f t="shared" si="127"/>
        <v>59.18</v>
      </c>
      <c r="W462" s="129">
        <f t="shared" si="116"/>
        <v>59.18</v>
      </c>
      <c r="X462" s="197"/>
      <c r="Y462" s="115">
        <f t="shared" ca="1" si="117"/>
        <v>146</v>
      </c>
      <c r="Z462" s="118">
        <f t="shared" ca="1" si="118"/>
        <v>0.6</v>
      </c>
      <c r="AA462" s="116"/>
      <c r="AB462" s="117">
        <f t="shared" si="119"/>
        <v>13.47396876472062</v>
      </c>
      <c r="AC462" s="118">
        <f t="shared" si="120"/>
        <v>0.64474869853002581</v>
      </c>
      <c r="AE462" s="55"/>
      <c r="AF462" s="72"/>
      <c r="AG462" s="72"/>
      <c r="AH462" s="66"/>
      <c r="AJ462" t="s">
        <v>635</v>
      </c>
    </row>
    <row r="463" spans="1:36" ht="16" hidden="1" thickBot="1" x14ac:dyDescent="0.25">
      <c r="A463" s="119" t="s">
        <v>64</v>
      </c>
      <c r="B463" s="120" t="s">
        <v>2088</v>
      </c>
      <c r="C463" s="108" t="str">
        <f t="shared" si="121"/>
        <v>/Applications/Stellarium.app/Contents/Resources/nebulae/default/n2174-vasey.png</v>
      </c>
      <c r="D463" s="121" t="s">
        <v>1893</v>
      </c>
      <c r="E463" s="109"/>
      <c r="F463" s="122">
        <v>6</v>
      </c>
      <c r="G463" s="123">
        <v>11</v>
      </c>
      <c r="H463" s="122">
        <v>20</v>
      </c>
      <c r="I463" s="124">
        <v>8</v>
      </c>
      <c r="J463" s="112" t="s">
        <v>857</v>
      </c>
      <c r="K463" s="125">
        <v>13.4</v>
      </c>
      <c r="L463" s="196"/>
      <c r="M463" s="110">
        <f t="shared" si="122"/>
        <v>20.133333333333333</v>
      </c>
      <c r="N463" s="111">
        <f t="shared" si="123"/>
        <v>57.913333333333334</v>
      </c>
      <c r="O463" s="112">
        <f t="shared" si="124"/>
        <v>6.1833333333333336</v>
      </c>
      <c r="P463" s="113">
        <f t="shared" ca="1" si="125"/>
        <v>46368.626367999997</v>
      </c>
      <c r="Q463" s="114">
        <f t="shared" ca="1" si="126"/>
        <v>46383.626367999997</v>
      </c>
      <c r="R463" s="114" t="b">
        <f t="shared" ca="1" si="113"/>
        <v>0</v>
      </c>
      <c r="S463" s="115">
        <f t="shared" ca="1" si="114"/>
        <v>0</v>
      </c>
      <c r="T463" s="126">
        <f t="shared" ca="1" si="115"/>
        <v>46383.626367999997</v>
      </c>
      <c r="U463" s="127" t="str">
        <f t="shared" si="112"/>
        <v>S</v>
      </c>
      <c r="V463" s="128">
        <f t="shared" si="127"/>
        <v>57.913333333333334</v>
      </c>
      <c r="W463" s="129">
        <f t="shared" si="116"/>
        <v>57.913333333333334</v>
      </c>
      <c r="X463" s="197"/>
      <c r="Y463" s="115">
        <f t="shared" ca="1" si="117"/>
        <v>145</v>
      </c>
      <c r="Z463" s="118">
        <f t="shared" ca="1" si="118"/>
        <v>0.60273972602739723</v>
      </c>
      <c r="AA463" s="116"/>
      <c r="AB463" s="117">
        <f t="shared" si="119"/>
        <v>13.507211083598282</v>
      </c>
      <c r="AC463" s="118">
        <f t="shared" si="120"/>
        <v>0.64613379514992841</v>
      </c>
      <c r="AE463" s="55" t="s">
        <v>0</v>
      </c>
      <c r="AF463" s="72" t="s">
        <v>47</v>
      </c>
      <c r="AG463" s="72">
        <v>585</v>
      </c>
      <c r="AH463" s="66" t="s">
        <v>61</v>
      </c>
      <c r="AJ463" t="s">
        <v>64</v>
      </c>
    </row>
    <row r="464" spans="1:36" ht="16" hidden="1" thickBot="1" x14ac:dyDescent="0.25">
      <c r="A464" s="119" t="s">
        <v>280</v>
      </c>
      <c r="B464" s="120" t="s">
        <v>1207</v>
      </c>
      <c r="C464" s="108" t="str">
        <f t="shared" si="121"/>
        <v>/Applications/Stellarium.app/Contents/Resources/nebulae/default/n2210.png</v>
      </c>
      <c r="D464" s="121" t="s">
        <v>1894</v>
      </c>
      <c r="E464" s="109"/>
      <c r="F464" s="122">
        <v>6</v>
      </c>
      <c r="G464" s="123">
        <v>11</v>
      </c>
      <c r="H464" s="122">
        <v>-70</v>
      </c>
      <c r="I464" s="124">
        <v>50</v>
      </c>
      <c r="J464" s="112" t="s">
        <v>859</v>
      </c>
      <c r="K464" s="125">
        <v>13.5</v>
      </c>
      <c r="L464" s="196"/>
      <c r="M464" s="110">
        <f t="shared" si="122"/>
        <v>-69.166666666666671</v>
      </c>
      <c r="N464" s="111">
        <f t="shared" si="123"/>
        <v>-31.38666666666667</v>
      </c>
      <c r="O464" s="112">
        <f t="shared" si="124"/>
        <v>6.1833333333333336</v>
      </c>
      <c r="P464" s="113">
        <f t="shared" ca="1" si="125"/>
        <v>46368.626367999997</v>
      </c>
      <c r="Q464" s="114">
        <f t="shared" ca="1" si="126"/>
        <v>46383.626367999997</v>
      </c>
      <c r="R464" s="114" t="b">
        <f t="shared" ca="1" si="113"/>
        <v>0</v>
      </c>
      <c r="S464" s="115">
        <f t="shared" ca="1" si="114"/>
        <v>0</v>
      </c>
      <c r="T464" s="126">
        <f t="shared" ca="1" si="115"/>
        <v>46383.626367999997</v>
      </c>
      <c r="U464" s="127" t="str">
        <f t="shared" si="112"/>
        <v>S</v>
      </c>
      <c r="V464" s="128">
        <f t="shared" si="127"/>
        <v>-31.38666666666667</v>
      </c>
      <c r="W464" s="129">
        <f t="shared" si="116"/>
        <v>-31.38666666666667</v>
      </c>
      <c r="X464" s="197"/>
      <c r="Y464" s="115">
        <f t="shared" ca="1" si="117"/>
        <v>145</v>
      </c>
      <c r="Z464" s="118">
        <f t="shared" ca="1" si="118"/>
        <v>0.60273972602739723</v>
      </c>
      <c r="AA464" s="116"/>
      <c r="AB464" s="117">
        <f t="shared" si="119"/>
        <v>13.507211083598282</v>
      </c>
      <c r="AC464" s="118">
        <f t="shared" si="120"/>
        <v>0.64613379514992841</v>
      </c>
      <c r="AE464" s="55"/>
      <c r="AF464" s="72"/>
      <c r="AG464" s="72"/>
      <c r="AH464" s="66"/>
      <c r="AJ464" t="s">
        <v>280</v>
      </c>
    </row>
    <row r="465" spans="1:36" ht="16" hidden="1" thickBot="1" x14ac:dyDescent="0.25">
      <c r="A465" s="119" t="s">
        <v>636</v>
      </c>
      <c r="B465" s="120" t="s">
        <v>1409</v>
      </c>
      <c r="C465" s="108" t="str">
        <f t="shared" si="121"/>
        <v>/Applications/Stellarium.app/Contents/Resources/nebulae/default/sh2-261.png</v>
      </c>
      <c r="D465" s="121" t="s">
        <v>1895</v>
      </c>
      <c r="E465" s="109"/>
      <c r="F465" s="122">
        <v>6</v>
      </c>
      <c r="G465" s="123">
        <v>11</v>
      </c>
      <c r="H465" s="122">
        <v>15</v>
      </c>
      <c r="I465" s="124">
        <v>7</v>
      </c>
      <c r="J465" s="112" t="s">
        <v>1137</v>
      </c>
      <c r="K465" s="125">
        <v>13.9</v>
      </c>
      <c r="L465" s="196"/>
      <c r="M465" s="110">
        <f t="shared" si="122"/>
        <v>15.116666666666667</v>
      </c>
      <c r="N465" s="111">
        <f t="shared" si="123"/>
        <v>52.896666666666668</v>
      </c>
      <c r="O465" s="112">
        <f t="shared" si="124"/>
        <v>6.1833333333333336</v>
      </c>
      <c r="P465" s="113">
        <f t="shared" ca="1" si="125"/>
        <v>46368.626367999997</v>
      </c>
      <c r="Q465" s="114">
        <f t="shared" ca="1" si="126"/>
        <v>46383.626367999997</v>
      </c>
      <c r="R465" s="114" t="b">
        <f t="shared" ca="1" si="113"/>
        <v>0</v>
      </c>
      <c r="S465" s="115">
        <f t="shared" ca="1" si="114"/>
        <v>0</v>
      </c>
      <c r="T465" s="126">
        <f t="shared" ca="1" si="115"/>
        <v>46383.626367999997</v>
      </c>
      <c r="U465" s="127" t="str">
        <f t="shared" si="112"/>
        <v>S</v>
      </c>
      <c r="V465" s="128">
        <f t="shared" si="127"/>
        <v>52.896666666666668</v>
      </c>
      <c r="W465" s="129">
        <f t="shared" si="116"/>
        <v>52.896666666666668</v>
      </c>
      <c r="X465" s="197"/>
      <c r="Y465" s="115">
        <f t="shared" ca="1" si="117"/>
        <v>145</v>
      </c>
      <c r="Z465" s="118">
        <f t="shared" ca="1" si="118"/>
        <v>0.60273972602739723</v>
      </c>
      <c r="AA465" s="116"/>
      <c r="AB465" s="117">
        <f t="shared" si="119"/>
        <v>13.507211083598282</v>
      </c>
      <c r="AC465" s="118">
        <f t="shared" si="120"/>
        <v>0.64613379514992841</v>
      </c>
      <c r="AE465" s="55"/>
      <c r="AF465" s="72"/>
      <c r="AG465" s="72"/>
      <c r="AH465" s="66"/>
      <c r="AJ465" t="s">
        <v>636</v>
      </c>
    </row>
    <row r="466" spans="1:36" ht="16" hidden="1" thickBot="1" x14ac:dyDescent="0.25">
      <c r="A466" s="119" t="s">
        <v>278</v>
      </c>
      <c r="B466" s="120" t="s">
        <v>1276</v>
      </c>
      <c r="C466" s="108" t="str">
        <f t="shared" si="121"/>
        <v>/Applications/Stellarium.app/Contents/Resources/nebulae/default/n2170.png</v>
      </c>
      <c r="D466" s="121" t="s">
        <v>1896</v>
      </c>
      <c r="E466" s="109"/>
      <c r="F466" s="122">
        <v>6</v>
      </c>
      <c r="G466" s="123">
        <v>13</v>
      </c>
      <c r="H466" s="122">
        <v>-7</v>
      </c>
      <c r="I466" s="124">
        <v>48</v>
      </c>
      <c r="J466" s="112" t="s">
        <v>856</v>
      </c>
      <c r="K466" s="125">
        <v>14.4</v>
      </c>
      <c r="L466" s="196"/>
      <c r="M466" s="110">
        <f t="shared" si="122"/>
        <v>-6.2</v>
      </c>
      <c r="N466" s="111">
        <f t="shared" si="123"/>
        <v>31.580000000000002</v>
      </c>
      <c r="O466" s="112">
        <f t="shared" si="124"/>
        <v>6.2166666666666668</v>
      </c>
      <c r="P466" s="113">
        <f t="shared" ca="1" si="125"/>
        <v>46369.133648000003</v>
      </c>
      <c r="Q466" s="114">
        <f t="shared" ca="1" si="126"/>
        <v>46384.133648000003</v>
      </c>
      <c r="R466" s="114" t="b">
        <f t="shared" ca="1" si="113"/>
        <v>0</v>
      </c>
      <c r="S466" s="115">
        <f t="shared" ca="1" si="114"/>
        <v>0</v>
      </c>
      <c r="T466" s="126">
        <f t="shared" ca="1" si="115"/>
        <v>46384.133648000003</v>
      </c>
      <c r="U466" s="127" t="str">
        <f t="shared" si="112"/>
        <v>S</v>
      </c>
      <c r="V466" s="128">
        <f t="shared" si="127"/>
        <v>31.580000000000002</v>
      </c>
      <c r="W466" s="129">
        <f t="shared" si="116"/>
        <v>31.580000000000002</v>
      </c>
      <c r="X466" s="197"/>
      <c r="Y466" s="115">
        <f t="shared" ca="1" si="117"/>
        <v>145</v>
      </c>
      <c r="Z466" s="118">
        <f t="shared" ca="1" si="118"/>
        <v>0.60273972602739723</v>
      </c>
      <c r="AA466" s="116"/>
      <c r="AB466" s="117">
        <f t="shared" si="119"/>
        <v>13.540453402475945</v>
      </c>
      <c r="AC466" s="118">
        <f t="shared" si="120"/>
        <v>0.64751889176983102</v>
      </c>
      <c r="AE466" s="55"/>
      <c r="AF466" s="72"/>
      <c r="AG466" s="72"/>
      <c r="AH466" s="66"/>
      <c r="AJ466" t="s">
        <v>278</v>
      </c>
    </row>
    <row r="467" spans="1:36" ht="16" hidden="1" thickBot="1" x14ac:dyDescent="0.25">
      <c r="A467" s="119" t="s">
        <v>583</v>
      </c>
      <c r="B467" s="120" t="s">
        <v>1369</v>
      </c>
      <c r="C467" s="108" t="str">
        <f t="shared" si="121"/>
        <v>/Applications/Stellarium.app/Contents/Resources/nebulae/default/ic2162.png</v>
      </c>
      <c r="D467" s="121" t="s">
        <v>1897</v>
      </c>
      <c r="E467" s="109"/>
      <c r="F467" s="122">
        <v>6</v>
      </c>
      <c r="G467" s="123">
        <v>13</v>
      </c>
      <c r="H467" s="122">
        <v>17</v>
      </c>
      <c r="I467" s="124">
        <v>49</v>
      </c>
      <c r="J467" s="112" t="s">
        <v>912</v>
      </c>
      <c r="K467" s="125">
        <v>13.6</v>
      </c>
      <c r="L467" s="196"/>
      <c r="M467" s="110">
        <f t="shared" si="122"/>
        <v>17.816666666666666</v>
      </c>
      <c r="N467" s="111">
        <f t="shared" si="123"/>
        <v>55.596666666666664</v>
      </c>
      <c r="O467" s="112">
        <f t="shared" si="124"/>
        <v>6.2166666666666668</v>
      </c>
      <c r="P467" s="113">
        <f t="shared" ca="1" si="125"/>
        <v>46369.133648000003</v>
      </c>
      <c r="Q467" s="114">
        <f t="shared" ca="1" si="126"/>
        <v>46384.133648000003</v>
      </c>
      <c r="R467" s="114" t="b">
        <f t="shared" ca="1" si="113"/>
        <v>0</v>
      </c>
      <c r="S467" s="115">
        <f t="shared" ca="1" si="114"/>
        <v>0</v>
      </c>
      <c r="T467" s="126">
        <f t="shared" ca="1" si="115"/>
        <v>46384.133648000003</v>
      </c>
      <c r="U467" s="127" t="str">
        <f t="shared" si="112"/>
        <v>S</v>
      </c>
      <c r="V467" s="128">
        <f t="shared" si="127"/>
        <v>55.596666666666664</v>
      </c>
      <c r="W467" s="129">
        <f t="shared" si="116"/>
        <v>55.596666666666664</v>
      </c>
      <c r="X467" s="197"/>
      <c r="Y467" s="115">
        <f t="shared" ca="1" si="117"/>
        <v>145</v>
      </c>
      <c r="Z467" s="118">
        <f t="shared" ca="1" si="118"/>
        <v>0.60273972602739723</v>
      </c>
      <c r="AA467" s="116"/>
      <c r="AB467" s="117">
        <f t="shared" si="119"/>
        <v>13.540453402475945</v>
      </c>
      <c r="AC467" s="118">
        <f t="shared" si="120"/>
        <v>0.64751889176983102</v>
      </c>
      <c r="AE467" s="55"/>
      <c r="AF467" s="72"/>
      <c r="AG467" s="72"/>
      <c r="AH467" s="66"/>
      <c r="AJ467" t="s">
        <v>583</v>
      </c>
    </row>
    <row r="468" spans="1:36" ht="16" hidden="1" thickBot="1" x14ac:dyDescent="0.25">
      <c r="A468" s="119" t="s">
        <v>279</v>
      </c>
      <c r="B468" s="120" t="s">
        <v>1272</v>
      </c>
      <c r="C468" s="108" t="str">
        <f t="shared" si="121"/>
        <v>/Applications/Stellarium.app/Contents/Resources/nebulae/default/n2207.png</v>
      </c>
      <c r="D468" s="121" t="s">
        <v>1898</v>
      </c>
      <c r="E468" s="109"/>
      <c r="F468" s="122">
        <v>6</v>
      </c>
      <c r="G468" s="123">
        <v>16</v>
      </c>
      <c r="H468" s="122">
        <v>-22</v>
      </c>
      <c r="I468" s="124">
        <v>34</v>
      </c>
      <c r="J468" s="112" t="s">
        <v>858</v>
      </c>
      <c r="K468" s="125">
        <v>14.5</v>
      </c>
      <c r="L468" s="196"/>
      <c r="M468" s="110">
        <f t="shared" si="122"/>
        <v>-21.433333333333334</v>
      </c>
      <c r="N468" s="111">
        <f t="shared" si="123"/>
        <v>16.346666666666668</v>
      </c>
      <c r="O468" s="112">
        <f t="shared" si="124"/>
        <v>6.2666666666666666</v>
      </c>
      <c r="P468" s="113">
        <f t="shared" ca="1" si="125"/>
        <v>46369.894568000003</v>
      </c>
      <c r="Q468" s="114">
        <f t="shared" ca="1" si="126"/>
        <v>46384.894568000003</v>
      </c>
      <c r="R468" s="114" t="b">
        <f t="shared" ca="1" si="113"/>
        <v>0</v>
      </c>
      <c r="S468" s="115">
        <f t="shared" ca="1" si="114"/>
        <v>0</v>
      </c>
      <c r="T468" s="126">
        <f t="shared" ca="1" si="115"/>
        <v>46384.894568000003</v>
      </c>
      <c r="U468" s="127" t="str">
        <f t="shared" si="112"/>
        <v>S</v>
      </c>
      <c r="V468" s="128">
        <f t="shared" si="127"/>
        <v>16.346666666666668</v>
      </c>
      <c r="W468" s="129">
        <f t="shared" si="116"/>
        <v>16.346666666666668</v>
      </c>
      <c r="X468" s="197"/>
      <c r="Y468" s="115">
        <f t="shared" ca="1" si="117"/>
        <v>144</v>
      </c>
      <c r="Z468" s="118">
        <f t="shared" ca="1" si="118"/>
        <v>0.60547945205479459</v>
      </c>
      <c r="AA468" s="116"/>
      <c r="AB468" s="117">
        <f t="shared" si="119"/>
        <v>13.590316880792438</v>
      </c>
      <c r="AC468" s="118">
        <f t="shared" si="120"/>
        <v>0.64959653669968487</v>
      </c>
      <c r="AE468" s="55"/>
      <c r="AF468" s="72"/>
      <c r="AG468" s="72"/>
      <c r="AH468" s="66"/>
      <c r="AJ468" t="s">
        <v>279</v>
      </c>
    </row>
    <row r="469" spans="1:36" ht="16" hidden="1" thickBot="1" x14ac:dyDescent="0.25">
      <c r="A469" s="119" t="s">
        <v>709</v>
      </c>
      <c r="B469" s="120" t="s">
        <v>1438</v>
      </c>
      <c r="C469" s="108" t="str">
        <f t="shared" si="121"/>
        <v>/Applications/Stellarium.app/Contents/Resources/nebulae/default/red_rectangle.png</v>
      </c>
      <c r="D469" s="121" t="s">
        <v>1899</v>
      </c>
      <c r="E469" s="109"/>
      <c r="F469" s="122">
        <v>6</v>
      </c>
      <c r="G469" s="123">
        <v>19</v>
      </c>
      <c r="H469" s="122">
        <v>-11</v>
      </c>
      <c r="I469" s="124">
        <v>21</v>
      </c>
      <c r="J469" s="112" t="s">
        <v>1184</v>
      </c>
      <c r="K469" s="125">
        <v>12.5</v>
      </c>
      <c r="L469" s="196"/>
      <c r="M469" s="110">
        <f t="shared" si="122"/>
        <v>-10.65</v>
      </c>
      <c r="N469" s="111">
        <f t="shared" si="123"/>
        <v>27.130000000000003</v>
      </c>
      <c r="O469" s="112">
        <f t="shared" si="124"/>
        <v>6.3166666666666664</v>
      </c>
      <c r="P469" s="113">
        <f t="shared" ca="1" si="125"/>
        <v>46370.655487999997</v>
      </c>
      <c r="Q469" s="114">
        <f t="shared" ca="1" si="126"/>
        <v>46385.655487999997</v>
      </c>
      <c r="R469" s="114" t="b">
        <f t="shared" ca="1" si="113"/>
        <v>0</v>
      </c>
      <c r="S469" s="115">
        <f t="shared" ca="1" si="114"/>
        <v>0</v>
      </c>
      <c r="T469" s="126">
        <f t="shared" ca="1" si="115"/>
        <v>46385.655487999997</v>
      </c>
      <c r="U469" s="127" t="str">
        <f t="shared" si="112"/>
        <v>S</v>
      </c>
      <c r="V469" s="128">
        <f t="shared" si="127"/>
        <v>27.130000000000003</v>
      </c>
      <c r="W469" s="129">
        <f t="shared" si="116"/>
        <v>27.130000000000003</v>
      </c>
      <c r="X469" s="197"/>
      <c r="Y469" s="115">
        <f t="shared" ca="1" si="117"/>
        <v>143</v>
      </c>
      <c r="Z469" s="118">
        <f t="shared" ca="1" si="118"/>
        <v>0.60821917808219172</v>
      </c>
      <c r="AA469" s="116"/>
      <c r="AB469" s="117">
        <f t="shared" si="119"/>
        <v>13.640180359108932</v>
      </c>
      <c r="AC469" s="118">
        <f t="shared" si="120"/>
        <v>0.65167418162953883</v>
      </c>
      <c r="AE469" s="55"/>
      <c r="AF469" s="72"/>
      <c r="AG469" s="72"/>
      <c r="AH469" s="66"/>
      <c r="AJ469" t="s">
        <v>709</v>
      </c>
    </row>
    <row r="470" spans="1:36" ht="16" hidden="1" thickBot="1" x14ac:dyDescent="0.25">
      <c r="A470" s="119" t="s">
        <v>276</v>
      </c>
      <c r="B470" s="120" t="s">
        <v>1272</v>
      </c>
      <c r="C470" s="108" t="str">
        <f t="shared" si="121"/>
        <v>/Applications/Stellarium.app/Contents/Resources/nebulae/default/n2146-vasey.png</v>
      </c>
      <c r="D470" s="121" t="s">
        <v>1900</v>
      </c>
      <c r="E470" s="109"/>
      <c r="F470" s="122">
        <v>6</v>
      </c>
      <c r="G470" s="123">
        <v>20</v>
      </c>
      <c r="H470" s="122">
        <v>78</v>
      </c>
      <c r="I470" s="124">
        <v>17</v>
      </c>
      <c r="J470" s="112" t="s">
        <v>855</v>
      </c>
      <c r="K470" s="125">
        <v>13.4</v>
      </c>
      <c r="L470" s="196"/>
      <c r="M470" s="110">
        <f t="shared" si="122"/>
        <v>78.283333333333331</v>
      </c>
      <c r="N470" s="111">
        <f t="shared" si="123"/>
        <v>116.06333333333333</v>
      </c>
      <c r="O470" s="112">
        <f t="shared" si="124"/>
        <v>6.333333333333333</v>
      </c>
      <c r="P470" s="113">
        <f t="shared" ca="1" si="125"/>
        <v>46370.909127999999</v>
      </c>
      <c r="Q470" s="114">
        <f t="shared" ca="1" si="126"/>
        <v>46385.909127999999</v>
      </c>
      <c r="R470" s="114" t="b">
        <f t="shared" ca="1" si="113"/>
        <v>0</v>
      </c>
      <c r="S470" s="115">
        <f t="shared" ca="1" si="114"/>
        <v>0</v>
      </c>
      <c r="T470" s="126">
        <f t="shared" ca="1" si="115"/>
        <v>46385.909127999999</v>
      </c>
      <c r="U470" s="127" t="str">
        <f t="shared" si="112"/>
        <v>N</v>
      </c>
      <c r="V470" s="128">
        <f t="shared" si="127"/>
        <v>63.936666666666667</v>
      </c>
      <c r="W470" s="129">
        <f t="shared" si="116"/>
        <v>63.936666666666667</v>
      </c>
      <c r="X470" s="197"/>
      <c r="Y470" s="115">
        <f t="shared" ca="1" si="117"/>
        <v>143</v>
      </c>
      <c r="Z470" s="118">
        <f t="shared" ca="1" si="118"/>
        <v>0.60821917808219172</v>
      </c>
      <c r="AA470" s="116"/>
      <c r="AB470" s="117">
        <f t="shared" si="119"/>
        <v>13.656801518547763</v>
      </c>
      <c r="AC470" s="118">
        <f t="shared" si="120"/>
        <v>0.65236672993949008</v>
      </c>
      <c r="AE470" s="55"/>
      <c r="AF470" s="72"/>
      <c r="AG470" s="72"/>
      <c r="AH470" s="66"/>
      <c r="AJ470" t="s">
        <v>276</v>
      </c>
    </row>
    <row r="471" spans="1:36" ht="16" hidden="1" thickBot="1" x14ac:dyDescent="0.25">
      <c r="A471" s="119" t="s">
        <v>1443</v>
      </c>
      <c r="B471" s="120" t="s">
        <v>1362</v>
      </c>
      <c r="C471" s="108" t="str">
        <f t="shared" si="121"/>
        <v>/Applications/Stellarium.app/Contents/Resources/nebulae/default/ic443.png</v>
      </c>
      <c r="D471" s="121" t="s">
        <v>1901</v>
      </c>
      <c r="E471" s="109"/>
      <c r="F471" s="122">
        <v>6</v>
      </c>
      <c r="G471" s="123">
        <v>26</v>
      </c>
      <c r="H471" s="122">
        <v>21</v>
      </c>
      <c r="I471" s="124">
        <v>26</v>
      </c>
      <c r="J471" s="112" t="s">
        <v>1094</v>
      </c>
      <c r="K471" s="125">
        <v>14.7</v>
      </c>
      <c r="L471" s="196"/>
      <c r="M471" s="110">
        <f t="shared" si="122"/>
        <v>21.433333333333334</v>
      </c>
      <c r="N471" s="111">
        <f t="shared" si="123"/>
        <v>59.213333333333338</v>
      </c>
      <c r="O471" s="112">
        <f t="shared" si="124"/>
        <v>6.4333333333333336</v>
      </c>
      <c r="P471" s="113">
        <f t="shared" ca="1" si="125"/>
        <v>46372.430968000001</v>
      </c>
      <c r="Q471" s="114">
        <f t="shared" ca="1" si="126"/>
        <v>46387.430968000001</v>
      </c>
      <c r="R471" s="114" t="b">
        <f t="shared" ca="1" si="113"/>
        <v>0</v>
      </c>
      <c r="S471" s="115">
        <f t="shared" ca="1" si="114"/>
        <v>0</v>
      </c>
      <c r="T471" s="126">
        <f t="shared" ca="1" si="115"/>
        <v>46387.430968000001</v>
      </c>
      <c r="U471" s="127" t="str">
        <f t="shared" si="112"/>
        <v>S</v>
      </c>
      <c r="V471" s="128">
        <f t="shared" si="127"/>
        <v>59.213333333333338</v>
      </c>
      <c r="W471" s="129">
        <f t="shared" si="116"/>
        <v>59.213333333333338</v>
      </c>
      <c r="X471" s="197"/>
      <c r="Y471" s="115">
        <f t="shared" ca="1" si="117"/>
        <v>142</v>
      </c>
      <c r="Z471" s="118">
        <f t="shared" ca="1" si="118"/>
        <v>0.61095890410958908</v>
      </c>
      <c r="AA471" s="116"/>
      <c r="AB471" s="117">
        <f t="shared" si="119"/>
        <v>13.756528475180751</v>
      </c>
      <c r="AC471" s="118">
        <f t="shared" si="120"/>
        <v>0.656522019799198</v>
      </c>
      <c r="AE471" s="55" t="s">
        <v>0</v>
      </c>
      <c r="AF471" s="72" t="s">
        <v>47</v>
      </c>
      <c r="AG471" s="72">
        <v>2600</v>
      </c>
      <c r="AH471" s="66" t="s">
        <v>12</v>
      </c>
      <c r="AI471" t="s">
        <v>2089</v>
      </c>
      <c r="AJ471" t="s">
        <v>1443</v>
      </c>
    </row>
    <row r="472" spans="1:36" ht="16" hidden="1" thickBot="1" x14ac:dyDescent="0.25">
      <c r="A472" s="119" t="s">
        <v>584</v>
      </c>
      <c r="B472" s="120" t="s">
        <v>1370</v>
      </c>
      <c r="C472" s="108" t="str">
        <f t="shared" si="121"/>
        <v>/Applications/Stellarium.app/Contents/Resources/nebulae/default/ic2169.png</v>
      </c>
      <c r="D472" s="121" t="s">
        <v>1902</v>
      </c>
      <c r="E472" s="109"/>
      <c r="F472" s="122">
        <v>6</v>
      </c>
      <c r="G472" s="123">
        <v>34</v>
      </c>
      <c r="H472" s="122">
        <v>9</v>
      </c>
      <c r="I472" s="124">
        <v>35</v>
      </c>
      <c r="J472" s="112" t="s">
        <v>1102</v>
      </c>
      <c r="K472" s="125">
        <v>13.8</v>
      </c>
      <c r="L472" s="196"/>
      <c r="M472" s="110">
        <f t="shared" si="122"/>
        <v>9.5833333333333339</v>
      </c>
      <c r="N472" s="111">
        <f t="shared" si="123"/>
        <v>47.363333333333337</v>
      </c>
      <c r="O472" s="112">
        <f t="shared" si="124"/>
        <v>6.5666666666666664</v>
      </c>
      <c r="P472" s="113">
        <f t="shared" ca="1" si="125"/>
        <v>46374.460088</v>
      </c>
      <c r="Q472" s="114">
        <f t="shared" ca="1" si="126"/>
        <v>46389.460088</v>
      </c>
      <c r="R472" s="114" t="b">
        <f t="shared" ca="1" si="113"/>
        <v>0</v>
      </c>
      <c r="S472" s="115">
        <f t="shared" ca="1" si="114"/>
        <v>0</v>
      </c>
      <c r="T472" s="126">
        <f t="shared" ca="1" si="115"/>
        <v>46389.460088</v>
      </c>
      <c r="U472" s="127" t="str">
        <f t="shared" si="112"/>
        <v>S</v>
      </c>
      <c r="V472" s="128">
        <f t="shared" si="127"/>
        <v>47.363333333333337</v>
      </c>
      <c r="W472" s="129">
        <f t="shared" si="116"/>
        <v>47.363333333333337</v>
      </c>
      <c r="X472" s="197"/>
      <c r="Y472" s="115">
        <f t="shared" ca="1" si="117"/>
        <v>140</v>
      </c>
      <c r="Z472" s="118">
        <f t="shared" ca="1" si="118"/>
        <v>0.61643835616438358</v>
      </c>
      <c r="AA472" s="116"/>
      <c r="AB472" s="117">
        <f t="shared" si="119"/>
        <v>13.889497750691401</v>
      </c>
      <c r="AC472" s="118">
        <f t="shared" si="120"/>
        <v>0.66206240627880841</v>
      </c>
      <c r="AE472" s="55"/>
      <c r="AF472" s="72"/>
      <c r="AG472" s="72"/>
      <c r="AH472" s="66"/>
      <c r="AJ472" t="s">
        <v>584</v>
      </c>
    </row>
    <row r="473" spans="1:36" ht="16" hidden="1" thickBot="1" x14ac:dyDescent="0.25">
      <c r="A473" s="119" t="s">
        <v>281</v>
      </c>
      <c r="B473" s="120" t="s">
        <v>1283</v>
      </c>
      <c r="C473" s="108" t="str">
        <f t="shared" si="121"/>
        <v>/Applications/Stellarium.app/Contents/Resources/nebulae/default/n2244.png</v>
      </c>
      <c r="D473" s="121" t="s">
        <v>1903</v>
      </c>
      <c r="E473" s="109"/>
      <c r="F473" s="122">
        <v>6</v>
      </c>
      <c r="G473" s="123">
        <v>36</v>
      </c>
      <c r="H473" s="122">
        <v>4</v>
      </c>
      <c r="I473" s="124">
        <v>27</v>
      </c>
      <c r="J473" s="112" t="s">
        <v>860</v>
      </c>
      <c r="K473" s="125">
        <v>13.9</v>
      </c>
      <c r="L473" s="196"/>
      <c r="M473" s="110">
        <f t="shared" si="122"/>
        <v>4.45</v>
      </c>
      <c r="N473" s="111">
        <f t="shared" si="123"/>
        <v>42.230000000000004</v>
      </c>
      <c r="O473" s="112">
        <f t="shared" si="124"/>
        <v>6.6</v>
      </c>
      <c r="P473" s="113">
        <f t="shared" ca="1" si="125"/>
        <v>46374.967367999998</v>
      </c>
      <c r="Q473" s="114">
        <f t="shared" ca="1" si="126"/>
        <v>46389.967367999998</v>
      </c>
      <c r="R473" s="114" t="b">
        <f t="shared" ca="1" si="113"/>
        <v>0</v>
      </c>
      <c r="S473" s="115">
        <f t="shared" ca="1" si="114"/>
        <v>0</v>
      </c>
      <c r="T473" s="126">
        <f t="shared" ca="1" si="115"/>
        <v>46389.967367999998</v>
      </c>
      <c r="U473" s="127" t="str">
        <f t="shared" si="112"/>
        <v>S</v>
      </c>
      <c r="V473" s="128">
        <f t="shared" si="127"/>
        <v>42.230000000000004</v>
      </c>
      <c r="W473" s="129">
        <f t="shared" si="116"/>
        <v>42.230000000000004</v>
      </c>
      <c r="X473" s="197"/>
      <c r="Y473" s="115">
        <f t="shared" ca="1" si="117"/>
        <v>139</v>
      </c>
      <c r="Z473" s="118">
        <f t="shared" ca="1" si="118"/>
        <v>0.61917808219178083</v>
      </c>
      <c r="AA473" s="116"/>
      <c r="AB473" s="117">
        <f t="shared" si="119"/>
        <v>13.922740069569063</v>
      </c>
      <c r="AC473" s="118">
        <f t="shared" si="120"/>
        <v>0.66344750289871091</v>
      </c>
      <c r="AE473" s="55"/>
      <c r="AF473" s="72"/>
      <c r="AG473" s="72"/>
      <c r="AH473" s="66"/>
      <c r="AJ473" t="s">
        <v>281</v>
      </c>
    </row>
    <row r="474" spans="1:36" ht="16" hidden="1" thickBot="1" x14ac:dyDescent="0.25">
      <c r="A474" s="119" t="s">
        <v>639</v>
      </c>
      <c r="B474" s="120" t="s">
        <v>1395</v>
      </c>
      <c r="C474" s="108" t="str">
        <f t="shared" si="121"/>
        <v>/Applications/Stellarium.app/Contents/Resources/nebulae/default/sh2-280.png</v>
      </c>
      <c r="D474" s="121" t="s">
        <v>1904</v>
      </c>
      <c r="E474" s="109"/>
      <c r="F474" s="122">
        <v>6</v>
      </c>
      <c r="G474" s="123">
        <v>37</v>
      </c>
      <c r="H474" s="122">
        <v>2</v>
      </c>
      <c r="I474" s="124">
        <v>0</v>
      </c>
      <c r="J474" s="112" t="s">
        <v>1112</v>
      </c>
      <c r="K474" s="125">
        <v>14.2</v>
      </c>
      <c r="L474" s="196"/>
      <c r="M474" s="110">
        <f t="shared" si="122"/>
        <v>2</v>
      </c>
      <c r="N474" s="111">
        <f t="shared" si="123"/>
        <v>39.78</v>
      </c>
      <c r="O474" s="112">
        <f t="shared" si="124"/>
        <v>6.6166666666666671</v>
      </c>
      <c r="P474" s="113">
        <f t="shared" ca="1" si="125"/>
        <v>46375.221008</v>
      </c>
      <c r="Q474" s="114">
        <f t="shared" ca="1" si="126"/>
        <v>46390.221008</v>
      </c>
      <c r="R474" s="114" t="b">
        <f t="shared" ca="1" si="113"/>
        <v>0</v>
      </c>
      <c r="S474" s="115">
        <f t="shared" ca="1" si="114"/>
        <v>0</v>
      </c>
      <c r="T474" s="126">
        <f t="shared" ca="1" si="115"/>
        <v>46390.221008</v>
      </c>
      <c r="U474" s="127" t="str">
        <f t="shared" si="112"/>
        <v>S</v>
      </c>
      <c r="V474" s="128">
        <f t="shared" si="127"/>
        <v>39.78</v>
      </c>
      <c r="W474" s="129">
        <f t="shared" si="116"/>
        <v>39.78</v>
      </c>
      <c r="X474" s="197"/>
      <c r="Y474" s="115">
        <f t="shared" ca="1" si="117"/>
        <v>139</v>
      </c>
      <c r="Z474" s="118">
        <f t="shared" ca="1" si="118"/>
        <v>0.61917808219178083</v>
      </c>
      <c r="AA474" s="116"/>
      <c r="AB474" s="117">
        <f t="shared" si="119"/>
        <v>13.939361229007895</v>
      </c>
      <c r="AC474" s="118">
        <f t="shared" si="120"/>
        <v>0.66414005120866226</v>
      </c>
      <c r="AE474" s="55"/>
      <c r="AF474" s="72"/>
      <c r="AG474" s="72"/>
      <c r="AH474" s="66"/>
      <c r="AJ474" t="s">
        <v>639</v>
      </c>
    </row>
    <row r="475" spans="1:36" ht="16" hidden="1" thickBot="1" x14ac:dyDescent="0.25">
      <c r="A475" s="119" t="s">
        <v>282</v>
      </c>
      <c r="B475" s="120" t="s">
        <v>1284</v>
      </c>
      <c r="C475" s="108" t="str">
        <f t="shared" si="121"/>
        <v>/Applications/Stellarium.app/Contents/Resources/nebulae/default/n2261.png</v>
      </c>
      <c r="D475" s="121" t="s">
        <v>1905</v>
      </c>
      <c r="E475" s="109"/>
      <c r="F475" s="122">
        <v>6</v>
      </c>
      <c r="G475" s="123">
        <v>39</v>
      </c>
      <c r="H475" s="122">
        <v>8</v>
      </c>
      <c r="I475" s="124">
        <v>43</v>
      </c>
      <c r="J475" s="112" t="s">
        <v>861</v>
      </c>
      <c r="K475" s="125">
        <v>12</v>
      </c>
      <c r="L475" s="196"/>
      <c r="M475" s="110">
        <f t="shared" si="122"/>
        <v>8.7166666666666668</v>
      </c>
      <c r="N475" s="111">
        <f t="shared" si="123"/>
        <v>46.49666666666667</v>
      </c>
      <c r="O475" s="112">
        <f t="shared" si="124"/>
        <v>6.65</v>
      </c>
      <c r="P475" s="113">
        <f t="shared" ca="1" si="125"/>
        <v>46375.728287999998</v>
      </c>
      <c r="Q475" s="114">
        <f t="shared" ca="1" si="126"/>
        <v>46390.728287999998</v>
      </c>
      <c r="R475" s="114" t="b">
        <f t="shared" ca="1" si="113"/>
        <v>0</v>
      </c>
      <c r="S475" s="115">
        <f t="shared" ca="1" si="114"/>
        <v>0</v>
      </c>
      <c r="T475" s="126">
        <f t="shared" ca="1" si="115"/>
        <v>46390.728287999998</v>
      </c>
      <c r="U475" s="127" t="str">
        <f t="shared" si="112"/>
        <v>S</v>
      </c>
      <c r="V475" s="128">
        <f t="shared" si="127"/>
        <v>46.49666666666667</v>
      </c>
      <c r="W475" s="129">
        <f t="shared" si="116"/>
        <v>46.49666666666667</v>
      </c>
      <c r="X475" s="197"/>
      <c r="Y475" s="115">
        <f t="shared" ca="1" si="117"/>
        <v>138</v>
      </c>
      <c r="Z475" s="118">
        <f t="shared" ca="1" si="118"/>
        <v>0.62191780821917808</v>
      </c>
      <c r="AA475" s="116"/>
      <c r="AB475" s="117">
        <f t="shared" si="119"/>
        <v>13.972603547885557</v>
      </c>
      <c r="AC475" s="118">
        <f t="shared" si="120"/>
        <v>0.66552514782856487</v>
      </c>
      <c r="AE475" s="55"/>
      <c r="AF475" s="72"/>
      <c r="AG475" s="72"/>
      <c r="AH475" s="66"/>
      <c r="AJ475" t="s">
        <v>282</v>
      </c>
    </row>
    <row r="476" spans="1:36" ht="16" hidden="1" thickBot="1" x14ac:dyDescent="0.25">
      <c r="A476" s="119" t="s">
        <v>640</v>
      </c>
      <c r="B476" s="120" t="s">
        <v>1395</v>
      </c>
      <c r="C476" s="108" t="str">
        <f t="shared" si="121"/>
        <v>/Applications/Stellarium.app/Contents/Resources/nebulae/default/sh2-282.png</v>
      </c>
      <c r="D476" s="121" t="s">
        <v>1906</v>
      </c>
      <c r="E476" s="109"/>
      <c r="F476" s="122">
        <v>6</v>
      </c>
      <c r="G476" s="123">
        <v>39</v>
      </c>
      <c r="H476" s="122">
        <v>1</v>
      </c>
      <c r="I476" s="124">
        <v>11</v>
      </c>
      <c r="J476" s="112" t="s">
        <v>1139</v>
      </c>
      <c r="K476" s="125">
        <v>14.2</v>
      </c>
      <c r="L476" s="196"/>
      <c r="M476" s="110">
        <f t="shared" si="122"/>
        <v>1.1833333333333333</v>
      </c>
      <c r="N476" s="111">
        <f t="shared" si="123"/>
        <v>38.963333333333331</v>
      </c>
      <c r="O476" s="112">
        <f t="shared" si="124"/>
        <v>6.65</v>
      </c>
      <c r="P476" s="113">
        <f t="shared" ca="1" si="125"/>
        <v>46375.728287999998</v>
      </c>
      <c r="Q476" s="114">
        <f t="shared" ca="1" si="126"/>
        <v>46390.728287999998</v>
      </c>
      <c r="R476" s="114" t="b">
        <f t="shared" ca="1" si="113"/>
        <v>0</v>
      </c>
      <c r="S476" s="115">
        <f t="shared" ca="1" si="114"/>
        <v>0</v>
      </c>
      <c r="T476" s="126">
        <f t="shared" ca="1" si="115"/>
        <v>46390.728287999998</v>
      </c>
      <c r="U476" s="127" t="str">
        <f t="shared" si="112"/>
        <v>S</v>
      </c>
      <c r="V476" s="128">
        <f t="shared" si="127"/>
        <v>38.963333333333331</v>
      </c>
      <c r="W476" s="129">
        <f t="shared" si="116"/>
        <v>38.963333333333331</v>
      </c>
      <c r="X476" s="197"/>
      <c r="Y476" s="115">
        <f t="shared" ca="1" si="117"/>
        <v>138</v>
      </c>
      <c r="Z476" s="118">
        <f t="shared" ca="1" si="118"/>
        <v>0.62191780821917808</v>
      </c>
      <c r="AA476" s="116"/>
      <c r="AB476" s="117">
        <f t="shared" si="119"/>
        <v>13.972603547885557</v>
      </c>
      <c r="AC476" s="118">
        <f t="shared" si="120"/>
        <v>0.66552514782856487</v>
      </c>
      <c r="AE476" s="55"/>
      <c r="AF476" s="72"/>
      <c r="AG476" s="72"/>
      <c r="AH476" s="66"/>
      <c r="AJ476" t="s">
        <v>640</v>
      </c>
    </row>
    <row r="477" spans="1:36" ht="16" hidden="1" thickBot="1" x14ac:dyDescent="0.25">
      <c r="A477" s="119" t="s">
        <v>131</v>
      </c>
      <c r="B477" s="120" t="s">
        <v>1219</v>
      </c>
      <c r="C477" s="108" t="str">
        <f t="shared" si="121"/>
        <v>/Applications/Stellarium.app/Contents/Resources/nebulae/default/m41.png</v>
      </c>
      <c r="D477" s="121" t="s">
        <v>1907</v>
      </c>
      <c r="E477" s="109"/>
      <c r="F477" s="122">
        <v>6</v>
      </c>
      <c r="G477" s="123">
        <v>46</v>
      </c>
      <c r="H477" s="122">
        <v>-21</v>
      </c>
      <c r="I477" s="124">
        <v>8</v>
      </c>
      <c r="J477" s="112" t="s">
        <v>742</v>
      </c>
      <c r="K477" s="125">
        <v>13.7</v>
      </c>
      <c r="L477" s="196"/>
      <c r="M477" s="110">
        <f t="shared" si="122"/>
        <v>-20.866666666666667</v>
      </c>
      <c r="N477" s="111">
        <f t="shared" si="123"/>
        <v>16.913333333333334</v>
      </c>
      <c r="O477" s="112">
        <f t="shared" si="124"/>
        <v>6.7666666666666666</v>
      </c>
      <c r="P477" s="113">
        <f t="shared" ca="1" si="125"/>
        <v>46377.503768000002</v>
      </c>
      <c r="Q477" s="114">
        <f t="shared" ca="1" si="126"/>
        <v>46392.503768000002</v>
      </c>
      <c r="R477" s="114" t="b">
        <f t="shared" ca="1" si="113"/>
        <v>0</v>
      </c>
      <c r="S477" s="115">
        <f t="shared" ca="1" si="114"/>
        <v>0</v>
      </c>
      <c r="T477" s="126">
        <f t="shared" ca="1" si="115"/>
        <v>46392.503768000002</v>
      </c>
      <c r="U477" s="127" t="str">
        <f t="shared" si="112"/>
        <v>S</v>
      </c>
      <c r="V477" s="128">
        <f t="shared" si="127"/>
        <v>16.913333333333334</v>
      </c>
      <c r="W477" s="129">
        <f t="shared" si="116"/>
        <v>16.913333333333334</v>
      </c>
      <c r="X477" s="197"/>
      <c r="Y477" s="115">
        <f t="shared" ca="1" si="117"/>
        <v>136</v>
      </c>
      <c r="Z477" s="118">
        <f t="shared" ca="1" si="118"/>
        <v>0.62739726027397258</v>
      </c>
      <c r="AA477" s="116"/>
      <c r="AB477" s="117">
        <f t="shared" si="119"/>
        <v>14.088951663957374</v>
      </c>
      <c r="AC477" s="118">
        <f t="shared" si="120"/>
        <v>0.67037298599822392</v>
      </c>
      <c r="AE477" s="55"/>
      <c r="AF477" s="72"/>
      <c r="AG477" s="72"/>
      <c r="AH477" s="66"/>
      <c r="AJ477" t="s">
        <v>131</v>
      </c>
    </row>
    <row r="478" spans="1:36" ht="16" hidden="1" thickBot="1" x14ac:dyDescent="0.25">
      <c r="A478" s="119" t="s">
        <v>641</v>
      </c>
      <c r="B478" s="120" t="s">
        <v>1395</v>
      </c>
      <c r="C478" s="108" t="str">
        <f t="shared" si="121"/>
        <v>/Applications/Stellarium.app/Contents/Resources/nebulae/default/sh2-284.png</v>
      </c>
      <c r="D478" s="121" t="s">
        <v>1908</v>
      </c>
      <c r="E478" s="109"/>
      <c r="F478" s="122">
        <v>6</v>
      </c>
      <c r="G478" s="123">
        <v>46</v>
      </c>
      <c r="H478" s="122">
        <v>-1</v>
      </c>
      <c r="I478" s="124">
        <v>49</v>
      </c>
      <c r="J478" s="112" t="s">
        <v>1140</v>
      </c>
      <c r="K478" s="125">
        <v>14.2</v>
      </c>
      <c r="L478" s="196"/>
      <c r="M478" s="110">
        <f t="shared" si="122"/>
        <v>-0.18333333333333335</v>
      </c>
      <c r="N478" s="111">
        <f t="shared" si="123"/>
        <v>37.596666666666671</v>
      </c>
      <c r="O478" s="112">
        <f t="shared" si="124"/>
        <v>6.7666666666666666</v>
      </c>
      <c r="P478" s="113">
        <f t="shared" ca="1" si="125"/>
        <v>46377.503768000002</v>
      </c>
      <c r="Q478" s="114">
        <f t="shared" ca="1" si="126"/>
        <v>46392.503768000002</v>
      </c>
      <c r="R478" s="114" t="b">
        <f t="shared" ca="1" si="113"/>
        <v>0</v>
      </c>
      <c r="S478" s="115">
        <f t="shared" ca="1" si="114"/>
        <v>0</v>
      </c>
      <c r="T478" s="126">
        <f t="shared" ca="1" si="115"/>
        <v>46392.503768000002</v>
      </c>
      <c r="U478" s="127" t="str">
        <f t="shared" si="112"/>
        <v>S</v>
      </c>
      <c r="V478" s="128">
        <f t="shared" si="127"/>
        <v>37.596666666666671</v>
      </c>
      <c r="W478" s="129">
        <f t="shared" si="116"/>
        <v>37.596666666666671</v>
      </c>
      <c r="X478" s="197"/>
      <c r="Y478" s="115">
        <f t="shared" ca="1" si="117"/>
        <v>136</v>
      </c>
      <c r="Z478" s="118">
        <f t="shared" ca="1" si="118"/>
        <v>0.62739726027397258</v>
      </c>
      <c r="AA478" s="116"/>
      <c r="AB478" s="117">
        <f t="shared" si="119"/>
        <v>14.088951663957374</v>
      </c>
      <c r="AC478" s="118">
        <f t="shared" si="120"/>
        <v>0.67037298599822392</v>
      </c>
      <c r="AE478" s="55"/>
      <c r="AF478" s="72"/>
      <c r="AG478" s="72"/>
      <c r="AH478" s="66"/>
      <c r="AJ478" t="s">
        <v>641</v>
      </c>
    </row>
    <row r="479" spans="1:36" ht="16" hidden="1" thickBot="1" x14ac:dyDescent="0.25">
      <c r="A479" s="119" t="s">
        <v>59</v>
      </c>
      <c r="B479" s="120" t="s">
        <v>1285</v>
      </c>
      <c r="C479" s="108" t="str">
        <f t="shared" si="121"/>
        <v>/Applications/Stellarium.app/Contents/Resources/nebulae/default/n2264.png</v>
      </c>
      <c r="D479" s="121" t="s">
        <v>1909</v>
      </c>
      <c r="E479" s="109"/>
      <c r="F479" s="122">
        <v>6</v>
      </c>
      <c r="G479" s="123">
        <v>47</v>
      </c>
      <c r="H479" s="122">
        <v>7</v>
      </c>
      <c r="I479" s="124">
        <v>26</v>
      </c>
      <c r="J479" s="112" t="s">
        <v>862</v>
      </c>
      <c r="K479" s="125">
        <v>13.6</v>
      </c>
      <c r="L479" s="196"/>
      <c r="M479" s="110">
        <f t="shared" si="122"/>
        <v>7.4333333333333336</v>
      </c>
      <c r="N479" s="111">
        <f t="shared" si="123"/>
        <v>45.213333333333338</v>
      </c>
      <c r="O479" s="112">
        <f t="shared" si="124"/>
        <v>6.7833333333333332</v>
      </c>
      <c r="P479" s="113">
        <f t="shared" ca="1" si="125"/>
        <v>46377.757407999998</v>
      </c>
      <c r="Q479" s="114">
        <f t="shared" ca="1" si="126"/>
        <v>46392.757407999998</v>
      </c>
      <c r="R479" s="114" t="b">
        <f t="shared" ca="1" si="113"/>
        <v>0</v>
      </c>
      <c r="S479" s="115">
        <f t="shared" ca="1" si="114"/>
        <v>0</v>
      </c>
      <c r="T479" s="126">
        <f t="shared" ca="1" si="115"/>
        <v>46392.757407999998</v>
      </c>
      <c r="U479" s="127" t="str">
        <f t="shared" si="112"/>
        <v>S</v>
      </c>
      <c r="V479" s="128">
        <f t="shared" si="127"/>
        <v>45.213333333333338</v>
      </c>
      <c r="W479" s="129">
        <f t="shared" si="116"/>
        <v>45.213333333333338</v>
      </c>
      <c r="X479" s="197"/>
      <c r="Y479" s="115">
        <f t="shared" ca="1" si="117"/>
        <v>136</v>
      </c>
      <c r="Z479" s="118">
        <f t="shared" ca="1" si="118"/>
        <v>0.62739726027397258</v>
      </c>
      <c r="AA479" s="116"/>
      <c r="AB479" s="117">
        <f t="shared" si="119"/>
        <v>14.105572823396207</v>
      </c>
      <c r="AC479" s="118">
        <f t="shared" si="120"/>
        <v>0.67106553430817539</v>
      </c>
      <c r="AE479" s="55" t="s">
        <v>8</v>
      </c>
      <c r="AF479" s="72" t="s">
        <v>47</v>
      </c>
      <c r="AG479" s="72">
        <v>2600</v>
      </c>
      <c r="AH479" s="66" t="s">
        <v>43</v>
      </c>
      <c r="AJ479" t="s">
        <v>59</v>
      </c>
    </row>
    <row r="480" spans="1:36" ht="16" hidden="1" thickBot="1" x14ac:dyDescent="0.25">
      <c r="A480" s="119" t="s">
        <v>283</v>
      </c>
      <c r="B480" s="120" t="s">
        <v>1276</v>
      </c>
      <c r="C480" s="108" t="str">
        <f t="shared" si="121"/>
        <v>/Applications/Stellarium.app/Contents/Resources/nebulae/default/n2282.png</v>
      </c>
      <c r="D480" s="121" t="s">
        <v>1910</v>
      </c>
      <c r="E480" s="109"/>
      <c r="F480" s="122">
        <v>6</v>
      </c>
      <c r="G480" s="123">
        <v>47</v>
      </c>
      <c r="H480" s="122">
        <v>1</v>
      </c>
      <c r="I480" s="124">
        <v>13</v>
      </c>
      <c r="J480" s="112" t="s">
        <v>863</v>
      </c>
      <c r="K480" s="125">
        <v>14.5</v>
      </c>
      <c r="L480" s="196"/>
      <c r="M480" s="110">
        <f t="shared" si="122"/>
        <v>1.2166666666666668</v>
      </c>
      <c r="N480" s="111">
        <f t="shared" si="123"/>
        <v>38.99666666666667</v>
      </c>
      <c r="O480" s="112">
        <f t="shared" si="124"/>
        <v>6.7833333333333332</v>
      </c>
      <c r="P480" s="113">
        <f t="shared" ca="1" si="125"/>
        <v>46377.757407999998</v>
      </c>
      <c r="Q480" s="114">
        <f t="shared" ca="1" si="126"/>
        <v>46392.757407999998</v>
      </c>
      <c r="R480" s="114" t="b">
        <f t="shared" ca="1" si="113"/>
        <v>0</v>
      </c>
      <c r="S480" s="115">
        <f t="shared" ca="1" si="114"/>
        <v>0</v>
      </c>
      <c r="T480" s="126">
        <f t="shared" ca="1" si="115"/>
        <v>46392.757407999998</v>
      </c>
      <c r="U480" s="127" t="str">
        <f t="shared" si="112"/>
        <v>S</v>
      </c>
      <c r="V480" s="128">
        <f t="shared" si="127"/>
        <v>38.99666666666667</v>
      </c>
      <c r="W480" s="129">
        <f t="shared" si="116"/>
        <v>38.99666666666667</v>
      </c>
      <c r="X480" s="197"/>
      <c r="Y480" s="115">
        <f t="shared" ca="1" si="117"/>
        <v>136</v>
      </c>
      <c r="Z480" s="118">
        <f t="shared" ca="1" si="118"/>
        <v>0.62739726027397258</v>
      </c>
      <c r="AA480" s="116"/>
      <c r="AB480" s="117">
        <f t="shared" si="119"/>
        <v>14.105572823396207</v>
      </c>
      <c r="AC480" s="118">
        <f t="shared" si="120"/>
        <v>0.67106553430817539</v>
      </c>
      <c r="AE480" s="55"/>
      <c r="AF480" s="72"/>
      <c r="AG480" s="72"/>
      <c r="AH480" s="66"/>
      <c r="AJ480" t="s">
        <v>283</v>
      </c>
    </row>
    <row r="481" spans="1:36" ht="16" hidden="1" thickBot="1" x14ac:dyDescent="0.25">
      <c r="A481" s="119" t="s">
        <v>284</v>
      </c>
      <c r="B481" s="120" t="s">
        <v>1191</v>
      </c>
      <c r="C481" s="108" t="str">
        <f t="shared" si="121"/>
        <v>/Applications/Stellarium.app/Contents/Resources/nebulae/default/n2298-dss.png</v>
      </c>
      <c r="D481" s="121" t="s">
        <v>1911</v>
      </c>
      <c r="E481" s="109"/>
      <c r="F481" s="122">
        <v>6</v>
      </c>
      <c r="G481" s="123">
        <v>49</v>
      </c>
      <c r="H481" s="122">
        <v>-37</v>
      </c>
      <c r="I481" s="124">
        <v>55</v>
      </c>
      <c r="J481" s="112" t="s">
        <v>844</v>
      </c>
      <c r="K481" s="125">
        <v>14.2</v>
      </c>
      <c r="L481" s="196"/>
      <c r="M481" s="110">
        <f t="shared" si="122"/>
        <v>-36.083333333333336</v>
      </c>
      <c r="N481" s="111">
        <f t="shared" si="123"/>
        <v>1.6966666666666654</v>
      </c>
      <c r="O481" s="112">
        <f t="shared" si="124"/>
        <v>6.8166666666666664</v>
      </c>
      <c r="P481" s="113">
        <f t="shared" ca="1" si="125"/>
        <v>46378.264688000003</v>
      </c>
      <c r="Q481" s="114">
        <f t="shared" ca="1" si="126"/>
        <v>46393.264688000003</v>
      </c>
      <c r="R481" s="114" t="b">
        <f t="shared" ca="1" si="113"/>
        <v>0</v>
      </c>
      <c r="S481" s="115">
        <f t="shared" ca="1" si="114"/>
        <v>0</v>
      </c>
      <c r="T481" s="126">
        <f t="shared" ca="1" si="115"/>
        <v>46393.264688000003</v>
      </c>
      <c r="U481" s="127" t="str">
        <f t="shared" si="112"/>
        <v>S</v>
      </c>
      <c r="V481" s="128">
        <f t="shared" si="127"/>
        <v>1.6966666666666654</v>
      </c>
      <c r="W481" s="129">
        <f t="shared" si="116"/>
        <v>1.6966666666666654</v>
      </c>
      <c r="X481" s="197"/>
      <c r="Y481" s="115">
        <f t="shared" ca="1" si="117"/>
        <v>136</v>
      </c>
      <c r="Z481" s="118">
        <f t="shared" ca="1" si="118"/>
        <v>0.62739726027397258</v>
      </c>
      <c r="AA481" s="116"/>
      <c r="AB481" s="117">
        <f t="shared" si="119"/>
        <v>14.138815142273868</v>
      </c>
      <c r="AC481" s="118">
        <f t="shared" si="120"/>
        <v>0.67245063092807789</v>
      </c>
      <c r="AE481" s="55"/>
      <c r="AF481" s="72"/>
      <c r="AG481" s="72"/>
      <c r="AH481" s="66"/>
      <c r="AJ481" t="s">
        <v>284</v>
      </c>
    </row>
    <row r="482" spans="1:36" ht="16" hidden="1" thickBot="1" x14ac:dyDescent="0.25">
      <c r="A482" s="119" t="s">
        <v>643</v>
      </c>
      <c r="B482" s="120" t="s">
        <v>1410</v>
      </c>
      <c r="C482" s="108" t="str">
        <f t="shared" si="121"/>
        <v>/Applications/Stellarium.app/Contents/Resources/nebulae/default/sh2-308.png</v>
      </c>
      <c r="D482" s="121" t="s">
        <v>1912</v>
      </c>
      <c r="E482" s="109"/>
      <c r="F482" s="122">
        <v>6</v>
      </c>
      <c r="G482" s="123">
        <v>56</v>
      </c>
      <c r="H482" s="122">
        <v>-25</v>
      </c>
      <c r="I482" s="124">
        <v>42</v>
      </c>
      <c r="J482" s="112" t="s">
        <v>1141</v>
      </c>
      <c r="K482" s="125">
        <v>14.2</v>
      </c>
      <c r="L482" s="196"/>
      <c r="M482" s="110">
        <f t="shared" si="122"/>
        <v>-24.3</v>
      </c>
      <c r="N482" s="111">
        <f t="shared" si="123"/>
        <v>13.48</v>
      </c>
      <c r="O482" s="112">
        <f t="shared" si="124"/>
        <v>6.9333333333333336</v>
      </c>
      <c r="P482" s="113">
        <f t="shared" ca="1" si="125"/>
        <v>46380.040168</v>
      </c>
      <c r="Q482" s="114">
        <f t="shared" ca="1" si="126"/>
        <v>46395.040168</v>
      </c>
      <c r="R482" s="114" t="b">
        <f t="shared" ca="1" si="113"/>
        <v>0</v>
      </c>
      <c r="S482" s="115">
        <f t="shared" ca="1" si="114"/>
        <v>0</v>
      </c>
      <c r="T482" s="126">
        <f t="shared" ca="1" si="115"/>
        <v>46395.040168</v>
      </c>
      <c r="U482" s="127" t="str">
        <f t="shared" si="112"/>
        <v>S</v>
      </c>
      <c r="V482" s="128">
        <f t="shared" si="127"/>
        <v>13.48</v>
      </c>
      <c r="W482" s="129">
        <f t="shared" si="116"/>
        <v>13.48</v>
      </c>
      <c r="X482" s="197"/>
      <c r="Y482" s="115">
        <f t="shared" ca="1" si="117"/>
        <v>134</v>
      </c>
      <c r="Z482" s="118">
        <f t="shared" ca="1" si="118"/>
        <v>0.63287671232876708</v>
      </c>
      <c r="AA482" s="116"/>
      <c r="AB482" s="117">
        <f t="shared" si="119"/>
        <v>14.255163258345689</v>
      </c>
      <c r="AC482" s="118">
        <f t="shared" si="120"/>
        <v>0.67729846909773705</v>
      </c>
      <c r="AE482" s="55"/>
      <c r="AF482" s="72"/>
      <c r="AG482" s="72"/>
      <c r="AH482" s="66"/>
      <c r="AJ482" t="s">
        <v>643</v>
      </c>
    </row>
    <row r="483" spans="1:36" ht="16" hidden="1" thickBot="1" x14ac:dyDescent="0.25">
      <c r="A483" s="119" t="s">
        <v>139</v>
      </c>
      <c r="B483" s="120" t="s">
        <v>1225</v>
      </c>
      <c r="C483" s="108" t="str">
        <f t="shared" si="121"/>
        <v>/Applications/Stellarium.app/Contents/Resources/nebulae/default/m50.png</v>
      </c>
      <c r="D483" s="121" t="s">
        <v>1913</v>
      </c>
      <c r="E483" s="109"/>
      <c r="F483" s="122">
        <v>7</v>
      </c>
      <c r="G483" s="123">
        <v>3</v>
      </c>
      <c r="H483" s="122">
        <v>-9</v>
      </c>
      <c r="I483" s="124">
        <v>31</v>
      </c>
      <c r="J483" s="112" t="s">
        <v>740</v>
      </c>
      <c r="K483" s="125">
        <v>13</v>
      </c>
      <c r="L483" s="196"/>
      <c r="M483" s="110">
        <f t="shared" si="122"/>
        <v>-8.4833333333333325</v>
      </c>
      <c r="N483" s="111">
        <f t="shared" si="123"/>
        <v>29.296666666666667</v>
      </c>
      <c r="O483" s="112">
        <f t="shared" si="124"/>
        <v>7.05</v>
      </c>
      <c r="P483" s="113">
        <f t="shared" ca="1" si="125"/>
        <v>46381.815648000003</v>
      </c>
      <c r="Q483" s="114">
        <f t="shared" ca="1" si="126"/>
        <v>46396.815648000003</v>
      </c>
      <c r="R483" s="114" t="b">
        <f t="shared" ca="1" si="113"/>
        <v>0</v>
      </c>
      <c r="S483" s="115">
        <f t="shared" ca="1" si="114"/>
        <v>0</v>
      </c>
      <c r="T483" s="126">
        <f t="shared" ca="1" si="115"/>
        <v>46396.815648000003</v>
      </c>
      <c r="U483" s="127" t="str">
        <f t="shared" si="112"/>
        <v>S</v>
      </c>
      <c r="V483" s="128">
        <f t="shared" si="127"/>
        <v>29.296666666666667</v>
      </c>
      <c r="W483" s="129">
        <f t="shared" si="116"/>
        <v>29.296666666666667</v>
      </c>
      <c r="X483" s="197"/>
      <c r="Y483" s="115">
        <f t="shared" ca="1" si="117"/>
        <v>132</v>
      </c>
      <c r="Z483" s="118">
        <f t="shared" ca="1" si="118"/>
        <v>0.63835616438356158</v>
      </c>
      <c r="AA483" s="116"/>
      <c r="AB483" s="117">
        <f t="shared" si="119"/>
        <v>14.371511374417508</v>
      </c>
      <c r="AC483" s="118">
        <f t="shared" si="120"/>
        <v>0.68214630726739622</v>
      </c>
      <c r="AE483" s="55"/>
      <c r="AF483" s="72"/>
      <c r="AG483" s="72"/>
      <c r="AH483" s="66"/>
      <c r="AJ483" t="s">
        <v>139</v>
      </c>
    </row>
    <row r="484" spans="1:36" ht="16" hidden="1" thickBot="1" x14ac:dyDescent="0.25">
      <c r="A484" s="119" t="s">
        <v>286</v>
      </c>
      <c r="B484" s="120" t="s">
        <v>1277</v>
      </c>
      <c r="C484" s="108" t="str">
        <f t="shared" si="121"/>
        <v>/Applications/Stellarium.app/Contents/Resources/nebulae/default/n2346.png</v>
      </c>
      <c r="D484" s="121" t="s">
        <v>1914</v>
      </c>
      <c r="E484" s="109"/>
      <c r="F484" s="122">
        <v>7</v>
      </c>
      <c r="G484" s="123">
        <v>9</v>
      </c>
      <c r="H484" s="122">
        <v>-1</v>
      </c>
      <c r="I484" s="124">
        <v>9</v>
      </c>
      <c r="J484" s="112" t="s">
        <v>865</v>
      </c>
      <c r="K484" s="125">
        <v>13.5</v>
      </c>
      <c r="L484" s="196"/>
      <c r="M484" s="110">
        <f t="shared" si="122"/>
        <v>-0.85</v>
      </c>
      <c r="N484" s="111">
        <f t="shared" si="123"/>
        <v>36.93</v>
      </c>
      <c r="O484" s="112">
        <f t="shared" si="124"/>
        <v>7.15</v>
      </c>
      <c r="P484" s="113">
        <f t="shared" ca="1" si="125"/>
        <v>46383.337487999997</v>
      </c>
      <c r="Q484" s="114">
        <f t="shared" ca="1" si="126"/>
        <v>46398.337487999997</v>
      </c>
      <c r="R484" s="114" t="b">
        <f t="shared" ca="1" si="113"/>
        <v>0</v>
      </c>
      <c r="S484" s="115">
        <f t="shared" ca="1" si="114"/>
        <v>0</v>
      </c>
      <c r="T484" s="126">
        <f t="shared" ca="1" si="115"/>
        <v>46398.337487999997</v>
      </c>
      <c r="U484" s="127" t="str">
        <f t="shared" si="112"/>
        <v>S</v>
      </c>
      <c r="V484" s="128">
        <f t="shared" si="127"/>
        <v>36.93</v>
      </c>
      <c r="W484" s="129">
        <f t="shared" si="116"/>
        <v>36.93</v>
      </c>
      <c r="X484" s="197"/>
      <c r="Y484" s="115">
        <f t="shared" ca="1" si="117"/>
        <v>131</v>
      </c>
      <c r="Z484" s="118">
        <f t="shared" ca="1" si="118"/>
        <v>0.64109589041095894</v>
      </c>
      <c r="AA484" s="116"/>
      <c r="AB484" s="117">
        <f t="shared" si="119"/>
        <v>14.471238331050495</v>
      </c>
      <c r="AC484" s="118">
        <f t="shared" si="120"/>
        <v>0.68630159712710392</v>
      </c>
      <c r="AE484" s="55"/>
      <c r="AF484" s="72"/>
      <c r="AG484" s="72"/>
      <c r="AH484" s="66"/>
      <c r="AJ484" t="s">
        <v>286</v>
      </c>
    </row>
    <row r="485" spans="1:36" ht="16" hidden="1" thickBot="1" x14ac:dyDescent="0.25">
      <c r="A485" s="119" t="s">
        <v>642</v>
      </c>
      <c r="B485" s="120" t="s">
        <v>1395</v>
      </c>
      <c r="C485" s="108" t="str">
        <f t="shared" si="121"/>
        <v>/Applications/Stellarium.app/Contents/Resources/nebulae/default/sh2-301.png</v>
      </c>
      <c r="D485" s="121" t="s">
        <v>1915</v>
      </c>
      <c r="E485" s="109"/>
      <c r="F485" s="122">
        <v>7</v>
      </c>
      <c r="G485" s="123">
        <v>10</v>
      </c>
      <c r="H485" s="122">
        <v>-19</v>
      </c>
      <c r="I485" s="124">
        <v>20</v>
      </c>
      <c r="J485" s="112" t="s">
        <v>750</v>
      </c>
      <c r="K485" s="125">
        <v>14.2</v>
      </c>
      <c r="L485" s="196"/>
      <c r="M485" s="110">
        <f t="shared" si="122"/>
        <v>-18.666666666666668</v>
      </c>
      <c r="N485" s="111">
        <f t="shared" si="123"/>
        <v>19.113333333333333</v>
      </c>
      <c r="O485" s="112">
        <f t="shared" si="124"/>
        <v>7.166666666666667</v>
      </c>
      <c r="P485" s="113">
        <f t="shared" ca="1" si="125"/>
        <v>46383.591128</v>
      </c>
      <c r="Q485" s="114">
        <f t="shared" ca="1" si="126"/>
        <v>46398.591128</v>
      </c>
      <c r="R485" s="114" t="b">
        <f t="shared" ca="1" si="113"/>
        <v>0</v>
      </c>
      <c r="S485" s="115">
        <f t="shared" ca="1" si="114"/>
        <v>0</v>
      </c>
      <c r="T485" s="126">
        <f t="shared" ca="1" si="115"/>
        <v>46398.591128</v>
      </c>
      <c r="U485" s="127" t="str">
        <f t="shared" si="112"/>
        <v>S</v>
      </c>
      <c r="V485" s="128">
        <f t="shared" si="127"/>
        <v>19.113333333333333</v>
      </c>
      <c r="W485" s="129">
        <f t="shared" si="116"/>
        <v>19.113333333333333</v>
      </c>
      <c r="X485" s="197"/>
      <c r="Y485" s="115">
        <f t="shared" ca="1" si="117"/>
        <v>130</v>
      </c>
      <c r="Z485" s="118">
        <f t="shared" ca="1" si="118"/>
        <v>0.64383561643835618</v>
      </c>
      <c r="AA485" s="116"/>
      <c r="AB485" s="117">
        <f t="shared" si="119"/>
        <v>14.487859490489328</v>
      </c>
      <c r="AC485" s="118">
        <f t="shared" si="120"/>
        <v>0.68699414543705528</v>
      </c>
      <c r="AE485" s="55"/>
      <c r="AF485" s="72"/>
      <c r="AG485" s="72"/>
      <c r="AH485" s="66"/>
      <c r="AJ485" t="s">
        <v>642</v>
      </c>
    </row>
    <row r="486" spans="1:36" ht="16" hidden="1" thickBot="1" x14ac:dyDescent="0.25">
      <c r="A486" s="119" t="s">
        <v>585</v>
      </c>
      <c r="B486" s="120" t="s">
        <v>1371</v>
      </c>
      <c r="C486" s="108" t="str">
        <f t="shared" si="121"/>
        <v>/Applications/Stellarium.app/Contents/Resources/nebulae/default/ic2177.png</v>
      </c>
      <c r="D486" s="121" t="s">
        <v>1916</v>
      </c>
      <c r="E486" s="109"/>
      <c r="F486" s="122">
        <v>7</v>
      </c>
      <c r="G486" s="123">
        <v>12</v>
      </c>
      <c r="H486" s="122">
        <v>-13</v>
      </c>
      <c r="I486" s="124">
        <v>24</v>
      </c>
      <c r="J486" s="112" t="s">
        <v>1103</v>
      </c>
      <c r="K486" s="125">
        <v>13.6</v>
      </c>
      <c r="L486" s="196"/>
      <c r="M486" s="110">
        <f t="shared" si="122"/>
        <v>-12.6</v>
      </c>
      <c r="N486" s="111">
        <f t="shared" si="123"/>
        <v>25.18</v>
      </c>
      <c r="O486" s="112">
        <f t="shared" si="124"/>
        <v>7.2</v>
      </c>
      <c r="P486" s="113">
        <f t="shared" ca="1" si="125"/>
        <v>46384.098407999998</v>
      </c>
      <c r="Q486" s="114">
        <f t="shared" ca="1" si="126"/>
        <v>46399.098407999998</v>
      </c>
      <c r="R486" s="114" t="b">
        <f t="shared" ca="1" si="113"/>
        <v>0</v>
      </c>
      <c r="S486" s="115">
        <f t="shared" ca="1" si="114"/>
        <v>0</v>
      </c>
      <c r="T486" s="126">
        <f t="shared" ca="1" si="115"/>
        <v>46399.098407999998</v>
      </c>
      <c r="U486" s="127" t="str">
        <f t="shared" si="112"/>
        <v>S</v>
      </c>
      <c r="V486" s="128">
        <f t="shared" si="127"/>
        <v>25.18</v>
      </c>
      <c r="W486" s="129">
        <f t="shared" si="116"/>
        <v>25.18</v>
      </c>
      <c r="X486" s="197"/>
      <c r="Y486" s="115">
        <f t="shared" ca="1" si="117"/>
        <v>130</v>
      </c>
      <c r="Z486" s="118">
        <f t="shared" ca="1" si="118"/>
        <v>0.64383561643835618</v>
      </c>
      <c r="AA486" s="116"/>
      <c r="AB486" s="117">
        <f t="shared" si="119"/>
        <v>14.521101809366987</v>
      </c>
      <c r="AC486" s="118">
        <f t="shared" si="120"/>
        <v>0.68837924205695789</v>
      </c>
      <c r="AE486" s="55"/>
      <c r="AF486" s="72"/>
      <c r="AG486" s="72"/>
      <c r="AH486" s="66"/>
      <c r="AJ486" t="s">
        <v>585</v>
      </c>
    </row>
    <row r="487" spans="1:36" ht="16" hidden="1" thickBot="1" x14ac:dyDescent="0.25">
      <c r="A487" s="119" t="s">
        <v>663</v>
      </c>
      <c r="B487" s="120" t="s">
        <v>1415</v>
      </c>
      <c r="C487" s="108" t="str">
        <f t="shared" si="121"/>
        <v>/Applications/Stellarium.app/Contents/Resources/nebulae/default/u3697.png</v>
      </c>
      <c r="D487" s="121" t="s">
        <v>1917</v>
      </c>
      <c r="E487" s="109"/>
      <c r="F487" s="122">
        <v>7</v>
      </c>
      <c r="G487" s="123">
        <v>12</v>
      </c>
      <c r="H487" s="122">
        <v>71</v>
      </c>
      <c r="I487" s="124">
        <v>43</v>
      </c>
      <c r="J487" s="112" t="s">
        <v>1149</v>
      </c>
      <c r="K487" s="125">
        <v>15</v>
      </c>
      <c r="L487" s="196"/>
      <c r="M487" s="110">
        <f t="shared" si="122"/>
        <v>71.716666666666669</v>
      </c>
      <c r="N487" s="111">
        <f t="shared" si="123"/>
        <v>109.49666666666667</v>
      </c>
      <c r="O487" s="112">
        <f t="shared" si="124"/>
        <v>7.2</v>
      </c>
      <c r="P487" s="113">
        <f t="shared" ca="1" si="125"/>
        <v>46384.098407999998</v>
      </c>
      <c r="Q487" s="114">
        <f t="shared" ca="1" si="126"/>
        <v>46399.098407999998</v>
      </c>
      <c r="R487" s="114" t="b">
        <f t="shared" ca="1" si="113"/>
        <v>0</v>
      </c>
      <c r="S487" s="115">
        <f t="shared" ca="1" si="114"/>
        <v>0</v>
      </c>
      <c r="T487" s="126">
        <f t="shared" ca="1" si="115"/>
        <v>46399.098407999998</v>
      </c>
      <c r="U487" s="127" t="str">
        <f t="shared" si="112"/>
        <v>N</v>
      </c>
      <c r="V487" s="128">
        <f t="shared" si="127"/>
        <v>70.50333333333333</v>
      </c>
      <c r="W487" s="129">
        <f t="shared" si="116"/>
        <v>70.50333333333333</v>
      </c>
      <c r="X487" s="197"/>
      <c r="Y487" s="115">
        <f t="shared" ca="1" si="117"/>
        <v>130</v>
      </c>
      <c r="Z487" s="118">
        <f t="shared" ca="1" si="118"/>
        <v>0.64383561643835618</v>
      </c>
      <c r="AA487" s="116"/>
      <c r="AB487" s="117">
        <f t="shared" si="119"/>
        <v>14.521101809366987</v>
      </c>
      <c r="AC487" s="118">
        <f t="shared" si="120"/>
        <v>0.68837924205695789</v>
      </c>
      <c r="AE487" s="55"/>
      <c r="AF487" s="72"/>
      <c r="AG487" s="72"/>
      <c r="AH487" s="66"/>
      <c r="AJ487" t="s">
        <v>663</v>
      </c>
    </row>
    <row r="488" spans="1:36" ht="16" hidden="1" thickBot="1" x14ac:dyDescent="0.25">
      <c r="A488" s="119" t="s">
        <v>287</v>
      </c>
      <c r="B488" s="120" t="s">
        <v>1271</v>
      </c>
      <c r="C488" s="108" t="str">
        <f t="shared" si="121"/>
        <v>/Applications/Stellarium.app/Contents/Resources/nebulae/default/n2359.png</v>
      </c>
      <c r="D488" s="121" t="s">
        <v>1918</v>
      </c>
      <c r="E488" s="109"/>
      <c r="F488" s="122">
        <v>7</v>
      </c>
      <c r="G488" s="123">
        <v>19</v>
      </c>
      <c r="H488" s="122">
        <v>-14</v>
      </c>
      <c r="I488" s="124">
        <v>47</v>
      </c>
      <c r="J488" s="112" t="s">
        <v>866</v>
      </c>
      <c r="K488" s="125">
        <v>14</v>
      </c>
      <c r="L488" s="196"/>
      <c r="M488" s="110">
        <f t="shared" si="122"/>
        <v>-13.216666666666667</v>
      </c>
      <c r="N488" s="111">
        <f t="shared" si="123"/>
        <v>24.563333333333333</v>
      </c>
      <c r="O488" s="112">
        <f t="shared" si="124"/>
        <v>7.3166666666666664</v>
      </c>
      <c r="P488" s="113">
        <f t="shared" ca="1" si="125"/>
        <v>46385.873888000002</v>
      </c>
      <c r="Q488" s="114">
        <f t="shared" ca="1" si="126"/>
        <v>46400.873888000002</v>
      </c>
      <c r="R488" s="114" t="b">
        <f t="shared" ca="1" si="113"/>
        <v>0</v>
      </c>
      <c r="S488" s="115">
        <f t="shared" ca="1" si="114"/>
        <v>0</v>
      </c>
      <c r="T488" s="126">
        <f t="shared" ca="1" si="115"/>
        <v>46400.873888000002</v>
      </c>
      <c r="U488" s="127" t="str">
        <f t="shared" si="112"/>
        <v>S</v>
      </c>
      <c r="V488" s="128">
        <f t="shared" si="127"/>
        <v>24.563333333333333</v>
      </c>
      <c r="W488" s="129">
        <f t="shared" si="116"/>
        <v>24.563333333333333</v>
      </c>
      <c r="X488" s="197"/>
      <c r="Y488" s="115">
        <f t="shared" ca="1" si="117"/>
        <v>128</v>
      </c>
      <c r="Z488" s="118">
        <f t="shared" ca="1" si="118"/>
        <v>0.64931506849315068</v>
      </c>
      <c r="AA488" s="116"/>
      <c r="AB488" s="117">
        <f t="shared" si="119"/>
        <v>14.637449925438807</v>
      </c>
      <c r="AC488" s="118">
        <f t="shared" si="120"/>
        <v>0.69322708022661705</v>
      </c>
      <c r="AE488" s="55"/>
      <c r="AF488" s="72"/>
      <c r="AG488" s="72"/>
      <c r="AH488" s="66"/>
      <c r="AJ488" t="s">
        <v>287</v>
      </c>
    </row>
    <row r="489" spans="1:36" ht="16" hidden="1" thickBot="1" x14ac:dyDescent="0.25">
      <c r="A489" s="119" t="s">
        <v>288</v>
      </c>
      <c r="B489" s="120" t="s">
        <v>1207</v>
      </c>
      <c r="C489" s="108" t="str">
        <f t="shared" si="121"/>
        <v>/Applications/Stellarium.app/Contents/Resources/nebulae/default/n2362.png</v>
      </c>
      <c r="D489" s="121" t="s">
        <v>1919</v>
      </c>
      <c r="E489" s="109"/>
      <c r="F489" s="122">
        <v>7</v>
      </c>
      <c r="G489" s="123">
        <v>19</v>
      </c>
      <c r="H489" s="122">
        <v>-26</v>
      </c>
      <c r="I489" s="124">
        <v>57</v>
      </c>
      <c r="J489" s="112" t="s">
        <v>852</v>
      </c>
      <c r="K489" s="125">
        <v>13.4</v>
      </c>
      <c r="L489" s="196"/>
      <c r="M489" s="110">
        <f t="shared" si="122"/>
        <v>-25.05</v>
      </c>
      <c r="N489" s="111">
        <f t="shared" si="123"/>
        <v>12.73</v>
      </c>
      <c r="O489" s="112">
        <f t="shared" si="124"/>
        <v>7.3166666666666664</v>
      </c>
      <c r="P489" s="113">
        <f t="shared" ca="1" si="125"/>
        <v>46385.873888000002</v>
      </c>
      <c r="Q489" s="114">
        <f t="shared" ca="1" si="126"/>
        <v>46400.873888000002</v>
      </c>
      <c r="R489" s="114" t="b">
        <f t="shared" ca="1" si="113"/>
        <v>0</v>
      </c>
      <c r="S489" s="115">
        <f t="shared" ca="1" si="114"/>
        <v>0</v>
      </c>
      <c r="T489" s="126">
        <f t="shared" ca="1" si="115"/>
        <v>46400.873888000002</v>
      </c>
      <c r="U489" s="127" t="str">
        <f t="shared" si="112"/>
        <v>S</v>
      </c>
      <c r="V489" s="128">
        <f t="shared" si="127"/>
        <v>12.73</v>
      </c>
      <c r="W489" s="129">
        <f t="shared" si="116"/>
        <v>12.73</v>
      </c>
      <c r="X489" s="197"/>
      <c r="Y489" s="115">
        <f t="shared" ca="1" si="117"/>
        <v>128</v>
      </c>
      <c r="Z489" s="118">
        <f t="shared" ca="1" si="118"/>
        <v>0.64931506849315068</v>
      </c>
      <c r="AA489" s="116"/>
      <c r="AB489" s="117">
        <f t="shared" si="119"/>
        <v>14.637449925438807</v>
      </c>
      <c r="AC489" s="118">
        <f t="shared" si="120"/>
        <v>0.69322708022661705</v>
      </c>
      <c r="AE489" s="55"/>
      <c r="AF489" s="72"/>
      <c r="AG489" s="72"/>
      <c r="AH489" s="66"/>
      <c r="AJ489" t="s">
        <v>288</v>
      </c>
    </row>
    <row r="490" spans="1:36" ht="16" hidden="1" thickBot="1" x14ac:dyDescent="0.25">
      <c r="A490" s="119" t="s">
        <v>290</v>
      </c>
      <c r="B490" s="120" t="s">
        <v>1277</v>
      </c>
      <c r="C490" s="108" t="str">
        <f t="shared" si="121"/>
        <v>/Applications/Stellarium.app/Contents/Resources/nebulae/default/n2371-vasey.png</v>
      </c>
      <c r="D490" s="121" t="s">
        <v>1920</v>
      </c>
      <c r="E490" s="109"/>
      <c r="F490" s="122">
        <v>7</v>
      </c>
      <c r="G490" s="123">
        <v>25</v>
      </c>
      <c r="H490" s="122">
        <v>29</v>
      </c>
      <c r="I490" s="124">
        <v>26</v>
      </c>
      <c r="J490" s="112" t="s">
        <v>868</v>
      </c>
      <c r="K490" s="125">
        <v>13.4</v>
      </c>
      <c r="L490" s="196"/>
      <c r="M490" s="110">
        <f t="shared" si="122"/>
        <v>29.433333333333334</v>
      </c>
      <c r="N490" s="111">
        <f t="shared" si="123"/>
        <v>67.213333333333338</v>
      </c>
      <c r="O490" s="112">
        <f t="shared" si="124"/>
        <v>7.416666666666667</v>
      </c>
      <c r="P490" s="113">
        <f t="shared" ca="1" si="125"/>
        <v>46387.395728000003</v>
      </c>
      <c r="Q490" s="114">
        <f t="shared" ca="1" si="126"/>
        <v>46402.395728000003</v>
      </c>
      <c r="R490" s="114" t="b">
        <f t="shared" ca="1" si="113"/>
        <v>0</v>
      </c>
      <c r="S490" s="115">
        <f t="shared" ca="1" si="114"/>
        <v>0</v>
      </c>
      <c r="T490" s="126">
        <f t="shared" ca="1" si="115"/>
        <v>46402.395728000003</v>
      </c>
      <c r="U490" s="127" t="str">
        <f t="shared" si="112"/>
        <v>S</v>
      </c>
      <c r="V490" s="128">
        <f t="shared" si="127"/>
        <v>67.213333333333338</v>
      </c>
      <c r="W490" s="129">
        <f t="shared" si="116"/>
        <v>67.213333333333338</v>
      </c>
      <c r="X490" s="197"/>
      <c r="Y490" s="115">
        <f t="shared" ca="1" si="117"/>
        <v>127</v>
      </c>
      <c r="Z490" s="118">
        <f t="shared" ca="1" si="118"/>
        <v>0.65205479452054793</v>
      </c>
      <c r="AA490" s="116"/>
      <c r="AB490" s="117">
        <f t="shared" si="119"/>
        <v>14.737176882071795</v>
      </c>
      <c r="AC490" s="118">
        <f t="shared" si="120"/>
        <v>0.69738237008632475</v>
      </c>
      <c r="AE490" s="55"/>
      <c r="AF490" s="72"/>
      <c r="AG490" s="72"/>
      <c r="AH490" s="66"/>
      <c r="AJ490" t="s">
        <v>290</v>
      </c>
    </row>
    <row r="491" spans="1:36" ht="16" hidden="1" thickBot="1" x14ac:dyDescent="0.25">
      <c r="A491" s="119" t="s">
        <v>289</v>
      </c>
      <c r="B491" s="120" t="s">
        <v>1230</v>
      </c>
      <c r="C491" s="108" t="str">
        <f t="shared" si="121"/>
        <v>/Applications/Stellarium.app/Contents/Resources/nebulae/default/n2366.png</v>
      </c>
      <c r="D491" s="121" t="s">
        <v>1921</v>
      </c>
      <c r="E491" s="109"/>
      <c r="F491" s="122">
        <v>7</v>
      </c>
      <c r="G491" s="123">
        <v>29</v>
      </c>
      <c r="H491" s="122">
        <v>69</v>
      </c>
      <c r="I491" s="124">
        <v>7</v>
      </c>
      <c r="J491" s="112" t="s">
        <v>867</v>
      </c>
      <c r="K491" s="125">
        <v>13.4</v>
      </c>
      <c r="L491" s="196"/>
      <c r="M491" s="110">
        <f t="shared" si="122"/>
        <v>69.11666666666666</v>
      </c>
      <c r="N491" s="111">
        <f t="shared" si="123"/>
        <v>106.89666666666666</v>
      </c>
      <c r="O491" s="112">
        <f t="shared" si="124"/>
        <v>7.4833333333333334</v>
      </c>
      <c r="P491" s="113">
        <f t="shared" ca="1" si="125"/>
        <v>46388.410287999999</v>
      </c>
      <c r="Q491" s="114">
        <f t="shared" ca="1" si="126"/>
        <v>46403.410287999999</v>
      </c>
      <c r="R491" s="114" t="b">
        <f t="shared" ca="1" si="113"/>
        <v>0</v>
      </c>
      <c r="S491" s="115">
        <f t="shared" ca="1" si="114"/>
        <v>0</v>
      </c>
      <c r="T491" s="126">
        <f t="shared" ca="1" si="115"/>
        <v>46403.410287999999</v>
      </c>
      <c r="U491" s="127" t="str">
        <f t="shared" si="112"/>
        <v>N</v>
      </c>
      <c r="V491" s="128">
        <f t="shared" si="127"/>
        <v>73.103333333333339</v>
      </c>
      <c r="W491" s="129">
        <f t="shared" si="116"/>
        <v>73.103333333333339</v>
      </c>
      <c r="X491" s="197"/>
      <c r="Y491" s="115">
        <f t="shared" ca="1" si="117"/>
        <v>126</v>
      </c>
      <c r="Z491" s="118">
        <f t="shared" ca="1" si="118"/>
        <v>0.65479452054794518</v>
      </c>
      <c r="AA491" s="116"/>
      <c r="AB491" s="117">
        <f t="shared" si="119"/>
        <v>14.80366151982712</v>
      </c>
      <c r="AC491" s="118">
        <f t="shared" si="120"/>
        <v>0.70015256332612996</v>
      </c>
      <c r="AE491" s="55"/>
      <c r="AF491" s="72"/>
      <c r="AG491" s="72"/>
      <c r="AH491" s="66"/>
      <c r="AJ491" t="s">
        <v>289</v>
      </c>
    </row>
    <row r="492" spans="1:36" ht="16" hidden="1" thickBot="1" x14ac:dyDescent="0.25">
      <c r="A492" s="119" t="s">
        <v>291</v>
      </c>
      <c r="B492" s="120" t="s">
        <v>1286</v>
      </c>
      <c r="C492" s="108" t="str">
        <f t="shared" si="121"/>
        <v>/Applications/Stellarium.app/Contents/Resources/nebulae/default/n2392-vasey.png</v>
      </c>
      <c r="D492" s="121" t="s">
        <v>1922</v>
      </c>
      <c r="E492" s="109"/>
      <c r="F492" s="122">
        <v>7</v>
      </c>
      <c r="G492" s="123">
        <v>29</v>
      </c>
      <c r="H492" s="122">
        <v>20</v>
      </c>
      <c r="I492" s="124">
        <v>52</v>
      </c>
      <c r="J492" s="112" t="s">
        <v>838</v>
      </c>
      <c r="K492" s="125">
        <v>13.4</v>
      </c>
      <c r="L492" s="196"/>
      <c r="M492" s="110">
        <f t="shared" si="122"/>
        <v>20.866666666666667</v>
      </c>
      <c r="N492" s="111">
        <f t="shared" si="123"/>
        <v>58.646666666666668</v>
      </c>
      <c r="O492" s="112">
        <f t="shared" si="124"/>
        <v>7.4833333333333334</v>
      </c>
      <c r="P492" s="113">
        <f t="shared" ca="1" si="125"/>
        <v>46388.410287999999</v>
      </c>
      <c r="Q492" s="114">
        <f t="shared" ca="1" si="126"/>
        <v>46403.410287999999</v>
      </c>
      <c r="R492" s="114" t="b">
        <f t="shared" ca="1" si="113"/>
        <v>0</v>
      </c>
      <c r="S492" s="115">
        <f t="shared" ca="1" si="114"/>
        <v>0</v>
      </c>
      <c r="T492" s="126">
        <f t="shared" ca="1" si="115"/>
        <v>46403.410287999999</v>
      </c>
      <c r="U492" s="127" t="str">
        <f t="shared" si="112"/>
        <v>S</v>
      </c>
      <c r="V492" s="128">
        <f t="shared" si="127"/>
        <v>58.646666666666668</v>
      </c>
      <c r="W492" s="129">
        <f t="shared" si="116"/>
        <v>58.646666666666668</v>
      </c>
      <c r="X492" s="197"/>
      <c r="Y492" s="115">
        <f t="shared" ca="1" si="117"/>
        <v>126</v>
      </c>
      <c r="Z492" s="118">
        <f t="shared" ca="1" si="118"/>
        <v>0.65479452054794518</v>
      </c>
      <c r="AA492" s="116"/>
      <c r="AB492" s="117">
        <f t="shared" si="119"/>
        <v>14.80366151982712</v>
      </c>
      <c r="AC492" s="118">
        <f t="shared" si="120"/>
        <v>0.70015256332612996</v>
      </c>
      <c r="AE492" s="55"/>
      <c r="AF492" s="72"/>
      <c r="AG492" s="72"/>
      <c r="AH492" s="66"/>
      <c r="AJ492" t="s">
        <v>291</v>
      </c>
    </row>
    <row r="493" spans="1:36" ht="16" hidden="1" thickBot="1" x14ac:dyDescent="0.25">
      <c r="A493" s="119" t="s">
        <v>707</v>
      </c>
      <c r="B493" s="120" t="s">
        <v>1436</v>
      </c>
      <c r="C493" s="108" t="str">
        <f t="shared" si="121"/>
        <v>/Applications/Stellarium.app/Contents/Resources/nebulae/default/Medusa-vasey.png</v>
      </c>
      <c r="D493" s="121" t="s">
        <v>1923</v>
      </c>
      <c r="E493" s="109"/>
      <c r="F493" s="122">
        <v>7</v>
      </c>
      <c r="G493" s="123">
        <v>29</v>
      </c>
      <c r="H493" s="122">
        <v>13</v>
      </c>
      <c r="I493" s="124">
        <v>5</v>
      </c>
      <c r="J493" s="112" t="s">
        <v>1182</v>
      </c>
      <c r="K493" s="125">
        <v>13.4</v>
      </c>
      <c r="L493" s="196"/>
      <c r="M493" s="110">
        <f t="shared" si="122"/>
        <v>13.083333333333334</v>
      </c>
      <c r="N493" s="111">
        <f t="shared" si="123"/>
        <v>50.863333333333337</v>
      </c>
      <c r="O493" s="112">
        <f t="shared" si="124"/>
        <v>7.4833333333333334</v>
      </c>
      <c r="P493" s="113">
        <f t="shared" ca="1" si="125"/>
        <v>46388.410287999999</v>
      </c>
      <c r="Q493" s="114">
        <f t="shared" ca="1" si="126"/>
        <v>46403.410287999999</v>
      </c>
      <c r="R493" s="114" t="b">
        <f t="shared" ca="1" si="113"/>
        <v>0</v>
      </c>
      <c r="S493" s="115">
        <f t="shared" ca="1" si="114"/>
        <v>0</v>
      </c>
      <c r="T493" s="126">
        <f t="shared" ca="1" si="115"/>
        <v>46403.410287999999</v>
      </c>
      <c r="U493" s="127" t="str">
        <f t="shared" si="112"/>
        <v>S</v>
      </c>
      <c r="V493" s="128">
        <f t="shared" si="127"/>
        <v>50.863333333333337</v>
      </c>
      <c r="W493" s="129">
        <f t="shared" si="116"/>
        <v>50.863333333333337</v>
      </c>
      <c r="X493" s="197"/>
      <c r="Y493" s="115">
        <f t="shared" ca="1" si="117"/>
        <v>126</v>
      </c>
      <c r="Z493" s="118">
        <f t="shared" ca="1" si="118"/>
        <v>0.65479452054794518</v>
      </c>
      <c r="AA493" s="116"/>
      <c r="AB493" s="117">
        <f t="shared" si="119"/>
        <v>14.80366151982712</v>
      </c>
      <c r="AC493" s="118">
        <f t="shared" si="120"/>
        <v>0.70015256332612996</v>
      </c>
      <c r="AE493" s="55"/>
      <c r="AF493" s="72"/>
      <c r="AG493" s="72"/>
      <c r="AH493" s="66"/>
      <c r="AJ493" t="s">
        <v>707</v>
      </c>
    </row>
    <row r="494" spans="1:36" ht="16" hidden="1" thickBot="1" x14ac:dyDescent="0.25">
      <c r="A494" s="119" t="s">
        <v>285</v>
      </c>
      <c r="B494" s="120" t="s">
        <v>1230</v>
      </c>
      <c r="C494" s="108" t="str">
        <f t="shared" si="121"/>
        <v>/Applications/Stellarium.app/Contents/Resources/nebulae/default/n2300.png</v>
      </c>
      <c r="D494" s="121" t="s">
        <v>1924</v>
      </c>
      <c r="E494" s="109"/>
      <c r="F494" s="122">
        <v>7</v>
      </c>
      <c r="G494" s="123">
        <v>34</v>
      </c>
      <c r="H494" s="122">
        <v>85</v>
      </c>
      <c r="I494" s="124">
        <v>32</v>
      </c>
      <c r="J494" s="112" t="s">
        <v>864</v>
      </c>
      <c r="K494" s="125">
        <v>13.5</v>
      </c>
      <c r="L494" s="196"/>
      <c r="M494" s="110">
        <f t="shared" si="122"/>
        <v>85.533333333333331</v>
      </c>
      <c r="N494" s="111">
        <f t="shared" si="123"/>
        <v>123.31333333333333</v>
      </c>
      <c r="O494" s="112">
        <f t="shared" si="124"/>
        <v>7.5666666666666664</v>
      </c>
      <c r="P494" s="113">
        <f t="shared" ca="1" si="125"/>
        <v>46389.678487999998</v>
      </c>
      <c r="Q494" s="114">
        <f t="shared" ca="1" si="126"/>
        <v>46404.678487999998</v>
      </c>
      <c r="R494" s="114" t="b">
        <f t="shared" ca="1" si="113"/>
        <v>0</v>
      </c>
      <c r="S494" s="115">
        <f t="shared" ca="1" si="114"/>
        <v>0</v>
      </c>
      <c r="T494" s="126">
        <f t="shared" ca="1" si="115"/>
        <v>46404.678487999998</v>
      </c>
      <c r="U494" s="127" t="str">
        <f t="shared" si="112"/>
        <v>N</v>
      </c>
      <c r="V494" s="128">
        <f t="shared" si="127"/>
        <v>56.686666666666667</v>
      </c>
      <c r="W494" s="129">
        <f t="shared" si="116"/>
        <v>56.686666666666667</v>
      </c>
      <c r="X494" s="197"/>
      <c r="Y494" s="115">
        <f t="shared" ca="1" si="117"/>
        <v>124</v>
      </c>
      <c r="Z494" s="118">
        <f t="shared" ca="1" si="118"/>
        <v>0.66027397260273979</v>
      </c>
      <c r="AA494" s="116"/>
      <c r="AB494" s="117">
        <f t="shared" si="119"/>
        <v>14.886767317021276</v>
      </c>
      <c r="AC494" s="118">
        <f t="shared" si="120"/>
        <v>0.70361530487588642</v>
      </c>
      <c r="AE494" s="55"/>
      <c r="AF494" s="72"/>
      <c r="AG494" s="72"/>
      <c r="AH494" s="66"/>
      <c r="AJ494" t="s">
        <v>285</v>
      </c>
    </row>
    <row r="495" spans="1:36" ht="16" hidden="1" thickBot="1" x14ac:dyDescent="0.25">
      <c r="A495" s="119" t="s">
        <v>294</v>
      </c>
      <c r="B495" s="120" t="s">
        <v>1230</v>
      </c>
      <c r="C495" s="108" t="str">
        <f t="shared" si="121"/>
        <v>/Applications/Stellarium.app/Contents/Resources/nebulae/default/n2434.png</v>
      </c>
      <c r="D495" s="121" t="s">
        <v>1925</v>
      </c>
      <c r="E495" s="109"/>
      <c r="F495" s="122">
        <v>7</v>
      </c>
      <c r="G495" s="123">
        <v>35</v>
      </c>
      <c r="H495" s="122">
        <v>-70</v>
      </c>
      <c r="I495" s="124">
        <v>39</v>
      </c>
      <c r="J495" s="112" t="s">
        <v>871</v>
      </c>
      <c r="K495" s="125">
        <v>14.5</v>
      </c>
      <c r="L495" s="196"/>
      <c r="M495" s="110">
        <f t="shared" si="122"/>
        <v>-69.349999999999994</v>
      </c>
      <c r="N495" s="111">
        <f t="shared" si="123"/>
        <v>-31.569999999999993</v>
      </c>
      <c r="O495" s="112">
        <f t="shared" si="124"/>
        <v>7.583333333333333</v>
      </c>
      <c r="P495" s="113">
        <f t="shared" ca="1" si="125"/>
        <v>46389.932128</v>
      </c>
      <c r="Q495" s="114">
        <f t="shared" ca="1" si="126"/>
        <v>46404.932128</v>
      </c>
      <c r="R495" s="114" t="b">
        <f t="shared" ca="1" si="113"/>
        <v>0</v>
      </c>
      <c r="S495" s="115">
        <f t="shared" ca="1" si="114"/>
        <v>0</v>
      </c>
      <c r="T495" s="126">
        <f t="shared" ca="1" si="115"/>
        <v>46404.932128</v>
      </c>
      <c r="U495" s="127" t="str">
        <f t="shared" si="112"/>
        <v>S</v>
      </c>
      <c r="V495" s="128">
        <f t="shared" si="127"/>
        <v>-31.569999999999993</v>
      </c>
      <c r="W495" s="129">
        <f t="shared" si="116"/>
        <v>-31.569999999999993</v>
      </c>
      <c r="X495" s="197"/>
      <c r="Y495" s="115">
        <f t="shared" ca="1" si="117"/>
        <v>124</v>
      </c>
      <c r="Z495" s="118">
        <f t="shared" ca="1" si="118"/>
        <v>0.66027397260273979</v>
      </c>
      <c r="AA495" s="116"/>
      <c r="AB495" s="117">
        <f t="shared" si="119"/>
        <v>14.903388476460107</v>
      </c>
      <c r="AC495" s="118">
        <f t="shared" si="120"/>
        <v>0.70430785318583788</v>
      </c>
      <c r="AE495" s="55"/>
      <c r="AF495" s="72"/>
      <c r="AG495" s="72"/>
      <c r="AH495" s="66"/>
      <c r="AJ495" t="s">
        <v>294</v>
      </c>
    </row>
    <row r="496" spans="1:36" ht="16" hidden="1" thickBot="1" x14ac:dyDescent="0.25">
      <c r="A496" s="119" t="s">
        <v>136</v>
      </c>
      <c r="B496" s="120" t="s">
        <v>1207</v>
      </c>
      <c r="C496" s="108" t="str">
        <f t="shared" si="121"/>
        <v>/Applications/Stellarium.app/Contents/Resources/nebulae/default/m47-trev.png</v>
      </c>
      <c r="D496" s="121" t="s">
        <v>1926</v>
      </c>
      <c r="E496" s="109"/>
      <c r="F496" s="122">
        <v>7</v>
      </c>
      <c r="G496" s="123">
        <v>37</v>
      </c>
      <c r="H496" s="122">
        <v>-15</v>
      </c>
      <c r="I496" s="124">
        <v>16</v>
      </c>
      <c r="J496" s="112" t="s">
        <v>723</v>
      </c>
      <c r="K496" s="125">
        <v>12.4</v>
      </c>
      <c r="L496" s="196"/>
      <c r="M496" s="110">
        <f t="shared" si="122"/>
        <v>-14.733333333333333</v>
      </c>
      <c r="N496" s="111">
        <f t="shared" si="123"/>
        <v>23.046666666666667</v>
      </c>
      <c r="O496" s="112">
        <f t="shared" si="124"/>
        <v>7.6166666666666671</v>
      </c>
      <c r="P496" s="113">
        <f t="shared" ca="1" si="125"/>
        <v>46390.439407999998</v>
      </c>
      <c r="Q496" s="114">
        <f t="shared" ca="1" si="126"/>
        <v>46405.439407999998</v>
      </c>
      <c r="R496" s="114" t="b">
        <f t="shared" ca="1" si="113"/>
        <v>0</v>
      </c>
      <c r="S496" s="115">
        <f t="shared" ca="1" si="114"/>
        <v>0</v>
      </c>
      <c r="T496" s="126">
        <f t="shared" ca="1" si="115"/>
        <v>46405.439407999998</v>
      </c>
      <c r="U496" s="127" t="str">
        <f t="shared" si="112"/>
        <v>S</v>
      </c>
      <c r="V496" s="128">
        <f t="shared" si="127"/>
        <v>23.046666666666667</v>
      </c>
      <c r="W496" s="129">
        <f t="shared" si="116"/>
        <v>23.046666666666667</v>
      </c>
      <c r="X496" s="197"/>
      <c r="Y496" s="115">
        <f t="shared" ca="1" si="117"/>
        <v>124</v>
      </c>
      <c r="Z496" s="118">
        <f t="shared" ca="1" si="118"/>
        <v>0.66027397260273979</v>
      </c>
      <c r="AA496" s="116"/>
      <c r="AB496" s="117">
        <f t="shared" si="119"/>
        <v>14.93663079533777</v>
      </c>
      <c r="AC496" s="118">
        <f t="shared" si="120"/>
        <v>0.70569294980574038</v>
      </c>
      <c r="AE496" s="55"/>
      <c r="AF496" s="72"/>
      <c r="AG496" s="72"/>
      <c r="AH496" s="66"/>
      <c r="AJ496" t="s">
        <v>136</v>
      </c>
    </row>
    <row r="497" spans="1:36" ht="16" hidden="1" thickBot="1" x14ac:dyDescent="0.25">
      <c r="A497" s="119" t="s">
        <v>293</v>
      </c>
      <c r="B497" s="120" t="s">
        <v>1287</v>
      </c>
      <c r="C497" s="108" t="str">
        <f t="shared" si="121"/>
        <v>/Applications/Stellarium.app/Contents/Resources/nebulae/default/n2419.png</v>
      </c>
      <c r="D497" s="121" t="s">
        <v>1927</v>
      </c>
      <c r="E497" s="109"/>
      <c r="F497" s="122">
        <v>7</v>
      </c>
      <c r="G497" s="123">
        <v>38</v>
      </c>
      <c r="H497" s="122">
        <v>38</v>
      </c>
      <c r="I497" s="124">
        <v>52</v>
      </c>
      <c r="J497" s="112" t="s">
        <v>870</v>
      </c>
      <c r="K497" s="125">
        <v>13</v>
      </c>
      <c r="L497" s="196"/>
      <c r="M497" s="110">
        <f t="shared" si="122"/>
        <v>38.866666666666667</v>
      </c>
      <c r="N497" s="111">
        <f t="shared" si="123"/>
        <v>76.646666666666675</v>
      </c>
      <c r="O497" s="112">
        <f t="shared" si="124"/>
        <v>7.6333333333333329</v>
      </c>
      <c r="P497" s="113">
        <f t="shared" ca="1" si="125"/>
        <v>46390.693048000001</v>
      </c>
      <c r="Q497" s="114">
        <f t="shared" ca="1" si="126"/>
        <v>46405.693048000001</v>
      </c>
      <c r="R497" s="114" t="b">
        <f t="shared" ca="1" si="113"/>
        <v>0</v>
      </c>
      <c r="S497" s="115">
        <f t="shared" ca="1" si="114"/>
        <v>0</v>
      </c>
      <c r="T497" s="126">
        <f t="shared" ca="1" si="115"/>
        <v>46405.693048000001</v>
      </c>
      <c r="U497" s="127" t="str">
        <f t="shared" si="112"/>
        <v>S</v>
      </c>
      <c r="V497" s="128">
        <f t="shared" si="127"/>
        <v>76.646666666666675</v>
      </c>
      <c r="W497" s="129">
        <f t="shared" si="116"/>
        <v>76.646666666666675</v>
      </c>
      <c r="X497" s="197"/>
      <c r="Y497" s="115">
        <f t="shared" ca="1" si="117"/>
        <v>123</v>
      </c>
      <c r="Z497" s="118">
        <f t="shared" ca="1" si="118"/>
        <v>0.66301369863013693</v>
      </c>
      <c r="AA497" s="116"/>
      <c r="AB497" s="117">
        <f t="shared" si="119"/>
        <v>14.953251954776601</v>
      </c>
      <c r="AC497" s="118">
        <f t="shared" si="120"/>
        <v>0.70638549811569173</v>
      </c>
      <c r="AE497" s="55"/>
      <c r="AF497" s="72"/>
      <c r="AG497" s="72"/>
      <c r="AH497" s="66"/>
      <c r="AJ497" t="s">
        <v>293</v>
      </c>
    </row>
    <row r="498" spans="1:36" ht="16" hidden="1" thickBot="1" x14ac:dyDescent="0.25">
      <c r="A498" s="119" t="s">
        <v>296</v>
      </c>
      <c r="B498" s="120" t="s">
        <v>1272</v>
      </c>
      <c r="C498" s="108" t="str">
        <f t="shared" si="121"/>
        <v>/Applications/Stellarium.app/Contents/Resources/nebulae/default/n2442.png</v>
      </c>
      <c r="D498" s="121" t="s">
        <v>1928</v>
      </c>
      <c r="E498" s="109"/>
      <c r="F498" s="122">
        <v>7</v>
      </c>
      <c r="G498" s="123">
        <v>38</v>
      </c>
      <c r="H498" s="122">
        <v>-70</v>
      </c>
      <c r="I498" s="124">
        <v>20</v>
      </c>
      <c r="J498" s="112" t="s">
        <v>770</v>
      </c>
      <c r="K498" s="125">
        <v>14.5</v>
      </c>
      <c r="L498" s="196"/>
      <c r="M498" s="110">
        <f t="shared" si="122"/>
        <v>-69.666666666666671</v>
      </c>
      <c r="N498" s="111">
        <f t="shared" si="123"/>
        <v>-31.88666666666667</v>
      </c>
      <c r="O498" s="112">
        <f t="shared" si="124"/>
        <v>7.6333333333333329</v>
      </c>
      <c r="P498" s="113">
        <f t="shared" ca="1" si="125"/>
        <v>46390.693048000001</v>
      </c>
      <c r="Q498" s="114">
        <f t="shared" ca="1" si="126"/>
        <v>46405.693048000001</v>
      </c>
      <c r="R498" s="114" t="b">
        <f t="shared" ca="1" si="113"/>
        <v>0</v>
      </c>
      <c r="S498" s="115">
        <f t="shared" ca="1" si="114"/>
        <v>0</v>
      </c>
      <c r="T498" s="126">
        <f t="shared" ca="1" si="115"/>
        <v>46405.693048000001</v>
      </c>
      <c r="U498" s="127" t="str">
        <f t="shared" si="112"/>
        <v>S</v>
      </c>
      <c r="V498" s="128">
        <f t="shared" si="127"/>
        <v>-31.88666666666667</v>
      </c>
      <c r="W498" s="129">
        <f t="shared" si="116"/>
        <v>-31.88666666666667</v>
      </c>
      <c r="X498" s="197"/>
      <c r="Y498" s="115">
        <f t="shared" ca="1" si="117"/>
        <v>123</v>
      </c>
      <c r="Z498" s="118">
        <f t="shared" ca="1" si="118"/>
        <v>0.66301369863013693</v>
      </c>
      <c r="AA498" s="116"/>
      <c r="AB498" s="117">
        <f t="shared" si="119"/>
        <v>14.953251954776601</v>
      </c>
      <c r="AC498" s="118">
        <f t="shared" si="120"/>
        <v>0.70638549811569173</v>
      </c>
      <c r="AE498" s="55"/>
      <c r="AF498" s="72"/>
      <c r="AG498" s="72"/>
      <c r="AH498" s="66"/>
      <c r="AJ498" t="s">
        <v>296</v>
      </c>
    </row>
    <row r="499" spans="1:36" ht="16" hidden="1" thickBot="1" x14ac:dyDescent="0.25">
      <c r="A499" s="119" t="s">
        <v>292</v>
      </c>
      <c r="B499" s="120" t="s">
        <v>1269</v>
      </c>
      <c r="C499" s="108" t="str">
        <f t="shared" si="121"/>
        <v>/Applications/Stellarium.app/Contents/Resources/nebulae/default/n2403-vasey.png</v>
      </c>
      <c r="D499" s="121" t="s">
        <v>1929</v>
      </c>
      <c r="E499" s="109"/>
      <c r="F499" s="122">
        <v>7</v>
      </c>
      <c r="G499" s="123">
        <v>39</v>
      </c>
      <c r="H499" s="122">
        <v>65</v>
      </c>
      <c r="I499" s="124">
        <v>25</v>
      </c>
      <c r="J499" s="112" t="s">
        <v>869</v>
      </c>
      <c r="K499" s="125">
        <v>13.4</v>
      </c>
      <c r="L499" s="196"/>
      <c r="M499" s="110">
        <f t="shared" si="122"/>
        <v>65.416666666666671</v>
      </c>
      <c r="N499" s="111">
        <f t="shared" si="123"/>
        <v>103.19666666666667</v>
      </c>
      <c r="O499" s="112">
        <f t="shared" si="124"/>
        <v>7.65</v>
      </c>
      <c r="P499" s="113">
        <f t="shared" ca="1" si="125"/>
        <v>46390.946688000004</v>
      </c>
      <c r="Q499" s="114">
        <f t="shared" ca="1" si="126"/>
        <v>46405.946688000004</v>
      </c>
      <c r="R499" s="114" t="b">
        <f t="shared" ca="1" si="113"/>
        <v>0</v>
      </c>
      <c r="S499" s="115">
        <f t="shared" ca="1" si="114"/>
        <v>0</v>
      </c>
      <c r="T499" s="126">
        <f t="shared" ca="1" si="115"/>
        <v>46405.946688000004</v>
      </c>
      <c r="U499" s="127" t="str">
        <f t="shared" si="112"/>
        <v>N</v>
      </c>
      <c r="V499" s="128">
        <f t="shared" si="127"/>
        <v>76.803333333333327</v>
      </c>
      <c r="W499" s="129">
        <f t="shared" si="116"/>
        <v>76.803333333333327</v>
      </c>
      <c r="X499" s="197"/>
      <c r="Y499" s="115">
        <f t="shared" ca="1" si="117"/>
        <v>123</v>
      </c>
      <c r="Z499" s="118">
        <f t="shared" ca="1" si="118"/>
        <v>0.66301369863013693</v>
      </c>
      <c r="AA499" s="116"/>
      <c r="AB499" s="117">
        <f t="shared" si="119"/>
        <v>14.969873114215432</v>
      </c>
      <c r="AC499" s="118">
        <f t="shared" si="120"/>
        <v>0.70707804642564298</v>
      </c>
      <c r="AE499" s="55"/>
      <c r="AF499" s="72"/>
      <c r="AG499" s="72"/>
      <c r="AH499" s="66"/>
      <c r="AJ499" t="s">
        <v>292</v>
      </c>
    </row>
    <row r="500" spans="1:36" ht="16" hidden="1" thickBot="1" x14ac:dyDescent="0.25">
      <c r="A500" s="119" t="s">
        <v>135</v>
      </c>
      <c r="B500" s="120" t="s">
        <v>1223</v>
      </c>
      <c r="C500" s="108" t="str">
        <f t="shared" si="121"/>
        <v>/Applications/Stellarium.app/Contents/Resources/nebulae/default/m46.png</v>
      </c>
      <c r="D500" s="121" t="s">
        <v>1930</v>
      </c>
      <c r="E500" s="109"/>
      <c r="F500" s="122">
        <v>7</v>
      </c>
      <c r="G500" s="123">
        <v>42</v>
      </c>
      <c r="H500" s="122">
        <v>-15</v>
      </c>
      <c r="I500" s="124">
        <v>9</v>
      </c>
      <c r="J500" s="112" t="s">
        <v>727</v>
      </c>
      <c r="K500" s="125">
        <v>13.8</v>
      </c>
      <c r="L500" s="196"/>
      <c r="M500" s="110">
        <f t="shared" si="122"/>
        <v>-14.85</v>
      </c>
      <c r="N500" s="111">
        <f t="shared" si="123"/>
        <v>22.93</v>
      </c>
      <c r="O500" s="112">
        <f t="shared" si="124"/>
        <v>7.7</v>
      </c>
      <c r="P500" s="113">
        <f t="shared" ca="1" si="125"/>
        <v>46391.707607999997</v>
      </c>
      <c r="Q500" s="114">
        <f t="shared" ca="1" si="126"/>
        <v>46406.707607999997</v>
      </c>
      <c r="R500" s="114" t="b">
        <f t="shared" ca="1" si="113"/>
        <v>0</v>
      </c>
      <c r="S500" s="115">
        <f t="shared" ca="1" si="114"/>
        <v>0</v>
      </c>
      <c r="T500" s="126">
        <f t="shared" ca="1" si="115"/>
        <v>46406.707607999997</v>
      </c>
      <c r="U500" s="127" t="str">
        <f t="shared" ref="U500:U563" si="128">IF(N500&lt;90,"S","N")</f>
        <v>S</v>
      </c>
      <c r="V500" s="128">
        <f t="shared" si="127"/>
        <v>22.93</v>
      </c>
      <c r="W500" s="129">
        <f t="shared" si="116"/>
        <v>22.93</v>
      </c>
      <c r="X500" s="197"/>
      <c r="Y500" s="115">
        <f t="shared" ca="1" si="117"/>
        <v>122</v>
      </c>
      <c r="Z500" s="118">
        <f t="shared" ca="1" si="118"/>
        <v>0.66575342465753429</v>
      </c>
      <c r="AA500" s="116"/>
      <c r="AB500" s="117">
        <f t="shared" si="119"/>
        <v>15.019736592531926</v>
      </c>
      <c r="AC500" s="118">
        <f t="shared" si="120"/>
        <v>0.70915569135549694</v>
      </c>
      <c r="AE500" s="55"/>
      <c r="AF500" s="72"/>
      <c r="AG500" s="72"/>
      <c r="AH500" s="66"/>
      <c r="AJ500" t="s">
        <v>135</v>
      </c>
    </row>
    <row r="501" spans="1:36" ht="16" hidden="1" thickBot="1" x14ac:dyDescent="0.25">
      <c r="A501" s="119" t="s">
        <v>295</v>
      </c>
      <c r="B501" s="120" t="s">
        <v>1288</v>
      </c>
      <c r="C501" s="108" t="str">
        <f t="shared" si="121"/>
        <v>/Applications/Stellarium.app/Contents/Resources/nebulae/default/n2440.png</v>
      </c>
      <c r="D501" s="121" t="s">
        <v>1931</v>
      </c>
      <c r="E501" s="109"/>
      <c r="F501" s="122">
        <v>7</v>
      </c>
      <c r="G501" s="123">
        <v>42</v>
      </c>
      <c r="H501" s="122">
        <v>-19</v>
      </c>
      <c r="I501" s="124">
        <v>46</v>
      </c>
      <c r="J501" s="112" t="s">
        <v>872</v>
      </c>
      <c r="K501" s="125">
        <v>10.5</v>
      </c>
      <c r="L501" s="196"/>
      <c r="M501" s="110">
        <f t="shared" si="122"/>
        <v>-18.233333333333334</v>
      </c>
      <c r="N501" s="111">
        <f t="shared" si="123"/>
        <v>19.546666666666667</v>
      </c>
      <c r="O501" s="112">
        <f t="shared" si="124"/>
        <v>7.7</v>
      </c>
      <c r="P501" s="113">
        <f t="shared" ca="1" si="125"/>
        <v>46391.707607999997</v>
      </c>
      <c r="Q501" s="114">
        <f t="shared" ca="1" si="126"/>
        <v>46406.707607999997</v>
      </c>
      <c r="R501" s="114" t="b">
        <f t="shared" ca="1" si="113"/>
        <v>0</v>
      </c>
      <c r="S501" s="115">
        <f t="shared" ca="1" si="114"/>
        <v>0</v>
      </c>
      <c r="T501" s="126">
        <f t="shared" ca="1" si="115"/>
        <v>46406.707607999997</v>
      </c>
      <c r="U501" s="127" t="str">
        <f t="shared" si="128"/>
        <v>S</v>
      </c>
      <c r="V501" s="128">
        <f t="shared" si="127"/>
        <v>19.546666666666667</v>
      </c>
      <c r="W501" s="129">
        <f t="shared" si="116"/>
        <v>19.546666666666667</v>
      </c>
      <c r="X501" s="197"/>
      <c r="Y501" s="115">
        <f t="shared" ca="1" si="117"/>
        <v>122</v>
      </c>
      <c r="Z501" s="118">
        <f t="shared" ca="1" si="118"/>
        <v>0.66575342465753429</v>
      </c>
      <c r="AA501" s="116"/>
      <c r="AB501" s="117">
        <f t="shared" si="119"/>
        <v>15.019736592531926</v>
      </c>
      <c r="AC501" s="118">
        <f t="shared" si="120"/>
        <v>0.70915569135549694</v>
      </c>
      <c r="AE501" s="55"/>
      <c r="AF501" s="72"/>
      <c r="AG501" s="72"/>
      <c r="AH501" s="66"/>
      <c r="AJ501" t="s">
        <v>295</v>
      </c>
    </row>
    <row r="502" spans="1:36" ht="16" hidden="1" thickBot="1" x14ac:dyDescent="0.25">
      <c r="A502" s="119" t="s">
        <v>702</v>
      </c>
      <c r="B502" s="120" t="s">
        <v>1432</v>
      </c>
      <c r="C502" s="108" t="str">
        <f t="shared" si="121"/>
        <v>/Applications/Stellarium.app/Contents/Resources/nebulae/default/calabash.png</v>
      </c>
      <c r="D502" s="121" t="s">
        <v>1932</v>
      </c>
      <c r="E502" s="109"/>
      <c r="F502" s="122">
        <v>7</v>
      </c>
      <c r="G502" s="123">
        <v>42</v>
      </c>
      <c r="H502" s="122">
        <v>-15</v>
      </c>
      <c r="I502" s="124">
        <v>16</v>
      </c>
      <c r="J502" s="112" t="s">
        <v>1178</v>
      </c>
      <c r="K502" s="125">
        <v>15.8</v>
      </c>
      <c r="L502" s="196"/>
      <c r="M502" s="110">
        <f t="shared" si="122"/>
        <v>-14.733333333333333</v>
      </c>
      <c r="N502" s="111">
        <f t="shared" si="123"/>
        <v>23.046666666666667</v>
      </c>
      <c r="O502" s="112">
        <f t="shared" si="124"/>
        <v>7.7</v>
      </c>
      <c r="P502" s="113">
        <f t="shared" ca="1" si="125"/>
        <v>46391.707607999997</v>
      </c>
      <c r="Q502" s="114">
        <f t="shared" ca="1" si="126"/>
        <v>46406.707607999997</v>
      </c>
      <c r="R502" s="114" t="b">
        <f t="shared" ca="1" si="113"/>
        <v>0</v>
      </c>
      <c r="S502" s="115">
        <f t="shared" ca="1" si="114"/>
        <v>0</v>
      </c>
      <c r="T502" s="126">
        <f t="shared" ca="1" si="115"/>
        <v>46406.707607999997</v>
      </c>
      <c r="U502" s="127" t="str">
        <f t="shared" si="128"/>
        <v>S</v>
      </c>
      <c r="V502" s="128">
        <f t="shared" si="127"/>
        <v>23.046666666666667</v>
      </c>
      <c r="W502" s="129">
        <f t="shared" si="116"/>
        <v>23.046666666666667</v>
      </c>
      <c r="X502" s="197"/>
      <c r="Y502" s="115">
        <f t="shared" ca="1" si="117"/>
        <v>122</v>
      </c>
      <c r="Z502" s="118">
        <f t="shared" ca="1" si="118"/>
        <v>0.66575342465753429</v>
      </c>
      <c r="AA502" s="116"/>
      <c r="AB502" s="117">
        <f t="shared" si="119"/>
        <v>15.019736592531926</v>
      </c>
      <c r="AC502" s="118">
        <f t="shared" si="120"/>
        <v>0.70915569135549694</v>
      </c>
      <c r="AE502" s="55"/>
      <c r="AF502" s="72"/>
      <c r="AG502" s="72"/>
      <c r="AH502" s="66"/>
      <c r="AJ502" t="s">
        <v>702</v>
      </c>
    </row>
    <row r="503" spans="1:36" ht="16" hidden="1" thickBot="1" x14ac:dyDescent="0.25">
      <c r="A503" s="119" t="s">
        <v>180</v>
      </c>
      <c r="B503" s="120" t="s">
        <v>1194</v>
      </c>
      <c r="C503" s="108" t="str">
        <f t="shared" si="121"/>
        <v>/Applications/Stellarium.app/Contents/Resources/nebulae/default/m93.png</v>
      </c>
      <c r="D503" s="121" t="s">
        <v>1933</v>
      </c>
      <c r="E503" s="109"/>
      <c r="F503" s="122">
        <v>7</v>
      </c>
      <c r="G503" s="123">
        <v>44</v>
      </c>
      <c r="H503" s="122">
        <v>-24</v>
      </c>
      <c r="I503" s="124">
        <v>1</v>
      </c>
      <c r="J503" s="112" t="s">
        <v>92</v>
      </c>
      <c r="K503" s="125">
        <v>14</v>
      </c>
      <c r="L503" s="196"/>
      <c r="M503" s="110">
        <f t="shared" si="122"/>
        <v>-23.983333333333334</v>
      </c>
      <c r="N503" s="111">
        <f t="shared" si="123"/>
        <v>13.796666666666667</v>
      </c>
      <c r="O503" s="112">
        <f t="shared" si="124"/>
        <v>7.7333333333333334</v>
      </c>
      <c r="P503" s="113">
        <f t="shared" ca="1" si="125"/>
        <v>46392.214888000002</v>
      </c>
      <c r="Q503" s="114">
        <f t="shared" ca="1" si="126"/>
        <v>46407.214888000002</v>
      </c>
      <c r="R503" s="114" t="b">
        <f t="shared" ca="1" si="113"/>
        <v>0</v>
      </c>
      <c r="S503" s="115">
        <f t="shared" ca="1" si="114"/>
        <v>0</v>
      </c>
      <c r="T503" s="126">
        <f t="shared" ca="1" si="115"/>
        <v>46407.214888000002</v>
      </c>
      <c r="U503" s="127" t="str">
        <f t="shared" si="128"/>
        <v>S</v>
      </c>
      <c r="V503" s="128">
        <f t="shared" si="127"/>
        <v>13.796666666666667</v>
      </c>
      <c r="W503" s="129">
        <f t="shared" si="116"/>
        <v>13.796666666666667</v>
      </c>
      <c r="X503" s="197"/>
      <c r="Y503" s="115">
        <f t="shared" ca="1" si="117"/>
        <v>122</v>
      </c>
      <c r="Z503" s="118">
        <f t="shared" ca="1" si="118"/>
        <v>0.66575342465753429</v>
      </c>
      <c r="AA503" s="116"/>
      <c r="AB503" s="117">
        <f t="shared" si="119"/>
        <v>15.052978911409589</v>
      </c>
      <c r="AC503" s="118">
        <f t="shared" si="120"/>
        <v>0.71054078797539955</v>
      </c>
      <c r="AE503" s="55"/>
      <c r="AF503" s="72"/>
      <c r="AG503" s="72"/>
      <c r="AH503" s="66"/>
      <c r="AJ503" t="s">
        <v>180</v>
      </c>
    </row>
    <row r="504" spans="1:36" ht="16" hidden="1" thickBot="1" x14ac:dyDescent="0.25">
      <c r="A504" s="119" t="s">
        <v>298</v>
      </c>
      <c r="B504" s="120" t="s">
        <v>1207</v>
      </c>
      <c r="C504" s="108" t="str">
        <f t="shared" si="121"/>
        <v>/Applications/Stellarium.app/Contents/Resources/nebulae/default/n2477.png</v>
      </c>
      <c r="D504" s="121" t="s">
        <v>1934</v>
      </c>
      <c r="E504" s="109"/>
      <c r="F504" s="122">
        <v>7</v>
      </c>
      <c r="G504" s="123">
        <v>53</v>
      </c>
      <c r="H504" s="122">
        <v>-39</v>
      </c>
      <c r="I504" s="124">
        <v>12</v>
      </c>
      <c r="J504" s="112" t="s">
        <v>727</v>
      </c>
      <c r="K504" s="125">
        <v>13.4</v>
      </c>
      <c r="L504" s="196"/>
      <c r="M504" s="110">
        <f t="shared" si="122"/>
        <v>-38.799999999999997</v>
      </c>
      <c r="N504" s="111">
        <f t="shared" si="123"/>
        <v>-1.019999999999996</v>
      </c>
      <c r="O504" s="112">
        <f t="shared" si="124"/>
        <v>7.8833333333333329</v>
      </c>
      <c r="P504" s="113">
        <f t="shared" ca="1" si="125"/>
        <v>46394.497647999997</v>
      </c>
      <c r="Q504" s="114">
        <f t="shared" ca="1" si="126"/>
        <v>46409.497647999997</v>
      </c>
      <c r="R504" s="114" t="b">
        <f t="shared" ca="1" si="113"/>
        <v>0</v>
      </c>
      <c r="S504" s="115">
        <f t="shared" ca="1" si="114"/>
        <v>0</v>
      </c>
      <c r="T504" s="126">
        <f t="shared" ca="1" si="115"/>
        <v>46409.497647999997</v>
      </c>
      <c r="U504" s="127" t="str">
        <f t="shared" si="128"/>
        <v>S</v>
      </c>
      <c r="V504" s="128">
        <f t="shared" si="127"/>
        <v>-1.019999999999996</v>
      </c>
      <c r="W504" s="129">
        <f t="shared" si="116"/>
        <v>-1.019999999999996</v>
      </c>
      <c r="X504" s="197"/>
      <c r="Y504" s="115">
        <f t="shared" ca="1" si="117"/>
        <v>120</v>
      </c>
      <c r="Z504" s="118">
        <f t="shared" ca="1" si="118"/>
        <v>0.67123287671232879</v>
      </c>
      <c r="AA504" s="116"/>
      <c r="AB504" s="117">
        <f t="shared" si="119"/>
        <v>15.20256934635907</v>
      </c>
      <c r="AC504" s="118">
        <f t="shared" si="120"/>
        <v>0.71677372276496121</v>
      </c>
      <c r="AE504" s="55"/>
      <c r="AF504" s="72"/>
      <c r="AG504" s="72"/>
      <c r="AH504" s="66"/>
      <c r="AJ504" t="s">
        <v>298</v>
      </c>
    </row>
    <row r="505" spans="1:36" ht="16" hidden="1" thickBot="1" x14ac:dyDescent="0.25">
      <c r="A505" s="119" t="s">
        <v>297</v>
      </c>
      <c r="B505" s="120" t="s">
        <v>1207</v>
      </c>
      <c r="C505" s="108" t="str">
        <f t="shared" si="121"/>
        <v>/Applications/Stellarium.app/Contents/Resources/nebulae/default/n2467.png</v>
      </c>
      <c r="D505" s="121" t="s">
        <v>1935</v>
      </c>
      <c r="E505" s="109"/>
      <c r="F505" s="122">
        <v>7</v>
      </c>
      <c r="G505" s="123">
        <v>54</v>
      </c>
      <c r="H505" s="122">
        <v>-27</v>
      </c>
      <c r="I505" s="124">
        <v>17</v>
      </c>
      <c r="J505" s="112" t="s">
        <v>740</v>
      </c>
      <c r="K505" s="125">
        <v>12.8</v>
      </c>
      <c r="L505" s="196"/>
      <c r="M505" s="110">
        <f t="shared" si="122"/>
        <v>-26.716666666666665</v>
      </c>
      <c r="N505" s="111">
        <f t="shared" si="123"/>
        <v>11.063333333333336</v>
      </c>
      <c r="O505" s="112">
        <f t="shared" si="124"/>
        <v>7.9</v>
      </c>
      <c r="P505" s="113">
        <f t="shared" ca="1" si="125"/>
        <v>46394.751287999999</v>
      </c>
      <c r="Q505" s="114">
        <f t="shared" ca="1" si="126"/>
        <v>46409.751287999999</v>
      </c>
      <c r="R505" s="114" t="b">
        <f t="shared" ca="1" si="113"/>
        <v>0</v>
      </c>
      <c r="S505" s="115">
        <f t="shared" ca="1" si="114"/>
        <v>0</v>
      </c>
      <c r="T505" s="126">
        <f t="shared" ca="1" si="115"/>
        <v>46409.751287999999</v>
      </c>
      <c r="U505" s="127" t="str">
        <f t="shared" si="128"/>
        <v>S</v>
      </c>
      <c r="V505" s="128">
        <f t="shared" si="127"/>
        <v>11.063333333333336</v>
      </c>
      <c r="W505" s="129">
        <f t="shared" si="116"/>
        <v>11.063333333333336</v>
      </c>
      <c r="X505" s="197"/>
      <c r="Y505" s="115">
        <f t="shared" ca="1" si="117"/>
        <v>119</v>
      </c>
      <c r="Z505" s="118">
        <f t="shared" ca="1" si="118"/>
        <v>0.67397260273972603</v>
      </c>
      <c r="AA505" s="116"/>
      <c r="AB505" s="117">
        <f t="shared" si="119"/>
        <v>15.219190505797901</v>
      </c>
      <c r="AC505" s="118">
        <f t="shared" si="120"/>
        <v>0.71746627107491256</v>
      </c>
      <c r="AE505" s="55"/>
      <c r="AF505" s="72"/>
      <c r="AG505" s="72"/>
      <c r="AH505" s="66"/>
      <c r="AJ505" t="s">
        <v>297</v>
      </c>
    </row>
    <row r="506" spans="1:36" ht="16" hidden="1" thickBot="1" x14ac:dyDescent="0.25">
      <c r="A506" s="119" t="s">
        <v>586</v>
      </c>
      <c r="B506" s="120" t="s">
        <v>1372</v>
      </c>
      <c r="C506" s="108" t="str">
        <f t="shared" si="121"/>
        <v>/Applications/Stellarium.app/Contents/Resources/nebulae/default/ic2220.png</v>
      </c>
      <c r="D506" s="121" t="s">
        <v>1936</v>
      </c>
      <c r="E506" s="109"/>
      <c r="F506" s="122">
        <v>7</v>
      </c>
      <c r="G506" s="123">
        <v>58</v>
      </c>
      <c r="H506" s="122">
        <v>-60</v>
      </c>
      <c r="I506" s="124">
        <v>41</v>
      </c>
      <c r="J506" s="112" t="s">
        <v>1104</v>
      </c>
      <c r="K506" s="125">
        <v>14.4</v>
      </c>
      <c r="L506" s="196"/>
      <c r="M506" s="110">
        <f t="shared" si="122"/>
        <v>-59.31666666666667</v>
      </c>
      <c r="N506" s="111">
        <f t="shared" si="123"/>
        <v>-21.536666666666669</v>
      </c>
      <c r="O506" s="112">
        <f t="shared" si="124"/>
        <v>7.9666666666666668</v>
      </c>
      <c r="P506" s="113">
        <f t="shared" ca="1" si="125"/>
        <v>46395.765848000003</v>
      </c>
      <c r="Q506" s="114">
        <f t="shared" ca="1" si="126"/>
        <v>46410.765848000003</v>
      </c>
      <c r="R506" s="114" t="b">
        <f t="shared" ca="1" si="113"/>
        <v>0</v>
      </c>
      <c r="S506" s="115">
        <f t="shared" ca="1" si="114"/>
        <v>0</v>
      </c>
      <c r="T506" s="126">
        <f t="shared" ca="1" si="115"/>
        <v>46410.765848000003</v>
      </c>
      <c r="U506" s="127" t="str">
        <f t="shared" si="128"/>
        <v>S</v>
      </c>
      <c r="V506" s="128">
        <f t="shared" si="127"/>
        <v>-21.536666666666669</v>
      </c>
      <c r="W506" s="129">
        <f t="shared" si="116"/>
        <v>-21.536666666666669</v>
      </c>
      <c r="X506" s="197"/>
      <c r="Y506" s="115">
        <f t="shared" ca="1" si="117"/>
        <v>118</v>
      </c>
      <c r="Z506" s="118">
        <f t="shared" ca="1" si="118"/>
        <v>0.67671232876712328</v>
      </c>
      <c r="AA506" s="116"/>
      <c r="AB506" s="117">
        <f t="shared" si="119"/>
        <v>15.285675143553226</v>
      </c>
      <c r="AC506" s="118">
        <f t="shared" si="120"/>
        <v>0.72023646431471777</v>
      </c>
      <c r="AE506" s="55"/>
      <c r="AF506" s="72"/>
      <c r="AG506" s="72"/>
      <c r="AH506" s="66"/>
      <c r="AJ506" t="s">
        <v>586</v>
      </c>
    </row>
    <row r="507" spans="1:36" ht="16" hidden="1" thickBot="1" x14ac:dyDescent="0.25">
      <c r="A507" s="119" t="s">
        <v>706</v>
      </c>
      <c r="B507" s="120" t="s">
        <v>1277</v>
      </c>
      <c r="C507" s="108" t="str">
        <f t="shared" si="121"/>
        <v>/Applications/Stellarium.app/Contents/Resources/nebulae/default/Jones-Emberson1-vasey.png</v>
      </c>
      <c r="D507" s="121" t="s">
        <v>1937</v>
      </c>
      <c r="E507" s="109"/>
      <c r="F507" s="122">
        <v>7</v>
      </c>
      <c r="G507" s="123">
        <v>59</v>
      </c>
      <c r="H507" s="122">
        <v>53</v>
      </c>
      <c r="I507" s="124">
        <v>16</v>
      </c>
      <c r="J507" s="112" t="s">
        <v>1181</v>
      </c>
      <c r="K507" s="125">
        <v>13.4</v>
      </c>
      <c r="L507" s="196"/>
      <c r="M507" s="110">
        <f t="shared" si="122"/>
        <v>53.266666666666666</v>
      </c>
      <c r="N507" s="111">
        <f t="shared" si="123"/>
        <v>91.046666666666667</v>
      </c>
      <c r="O507" s="112">
        <f t="shared" si="124"/>
        <v>7.9833333333333334</v>
      </c>
      <c r="P507" s="113">
        <f t="shared" ca="1" si="125"/>
        <v>46396.019487999998</v>
      </c>
      <c r="Q507" s="114">
        <f t="shared" ca="1" si="126"/>
        <v>46411.019487999998</v>
      </c>
      <c r="R507" s="114" t="b">
        <f t="shared" ca="1" si="113"/>
        <v>0</v>
      </c>
      <c r="S507" s="115">
        <f t="shared" ca="1" si="114"/>
        <v>0</v>
      </c>
      <c r="T507" s="126">
        <f t="shared" ca="1" si="115"/>
        <v>46411.019487999998</v>
      </c>
      <c r="U507" s="127" t="str">
        <f t="shared" si="128"/>
        <v>N</v>
      </c>
      <c r="V507" s="128">
        <f t="shared" si="127"/>
        <v>88.953333333333333</v>
      </c>
      <c r="W507" s="129">
        <f t="shared" si="116"/>
        <v>88.953333333333333</v>
      </c>
      <c r="X507" s="197"/>
      <c r="Y507" s="115">
        <f t="shared" ca="1" si="117"/>
        <v>118</v>
      </c>
      <c r="Z507" s="118">
        <f t="shared" ca="1" si="118"/>
        <v>0.67671232876712328</v>
      </c>
      <c r="AA507" s="116"/>
      <c r="AB507" s="117">
        <f t="shared" si="119"/>
        <v>15.302296302992058</v>
      </c>
      <c r="AC507" s="118">
        <f t="shared" si="120"/>
        <v>0.72092901262466913</v>
      </c>
      <c r="AE507" s="55"/>
      <c r="AF507" s="72"/>
      <c r="AG507" s="72"/>
      <c r="AH507" s="66"/>
      <c r="AJ507" t="s">
        <v>706</v>
      </c>
    </row>
    <row r="508" spans="1:36" ht="16" hidden="1" thickBot="1" x14ac:dyDescent="0.25">
      <c r="A508" s="119" t="s">
        <v>299</v>
      </c>
      <c r="B508" s="120" t="s">
        <v>1207</v>
      </c>
      <c r="C508" s="108" t="str">
        <f t="shared" si="121"/>
        <v>/Applications/Stellarium.app/Contents/Resources/nebulae/default/n2506-vasey.png</v>
      </c>
      <c r="D508" s="121" t="s">
        <v>1938</v>
      </c>
      <c r="E508" s="109"/>
      <c r="F508" s="122">
        <v>8</v>
      </c>
      <c r="G508" s="123">
        <v>0</v>
      </c>
      <c r="H508" s="122">
        <v>-11</v>
      </c>
      <c r="I508" s="124">
        <v>1</v>
      </c>
      <c r="J508" s="112" t="s">
        <v>726</v>
      </c>
      <c r="K508" s="125">
        <v>13.4</v>
      </c>
      <c r="L508" s="196"/>
      <c r="M508" s="110">
        <f t="shared" si="122"/>
        <v>-10.983333333333333</v>
      </c>
      <c r="N508" s="111">
        <f t="shared" si="123"/>
        <v>26.796666666666667</v>
      </c>
      <c r="O508" s="112">
        <f t="shared" si="124"/>
        <v>8</v>
      </c>
      <c r="P508" s="113">
        <f t="shared" ca="1" si="125"/>
        <v>46396.273128000001</v>
      </c>
      <c r="Q508" s="114">
        <f t="shared" ca="1" si="126"/>
        <v>46411.273128000001</v>
      </c>
      <c r="R508" s="114" t="b">
        <f t="shared" ca="1" si="113"/>
        <v>0</v>
      </c>
      <c r="S508" s="115">
        <f t="shared" ca="1" si="114"/>
        <v>0</v>
      </c>
      <c r="T508" s="126">
        <f t="shared" ca="1" si="115"/>
        <v>46411.273128000001</v>
      </c>
      <c r="U508" s="127" t="str">
        <f t="shared" si="128"/>
        <v>S</v>
      </c>
      <c r="V508" s="128">
        <f t="shared" si="127"/>
        <v>26.796666666666667</v>
      </c>
      <c r="W508" s="129">
        <f t="shared" si="116"/>
        <v>26.796666666666667</v>
      </c>
      <c r="X508" s="197"/>
      <c r="Y508" s="115">
        <f t="shared" ca="1" si="117"/>
        <v>118</v>
      </c>
      <c r="Z508" s="118">
        <f t="shared" ca="1" si="118"/>
        <v>0.67671232876712328</v>
      </c>
      <c r="AA508" s="116"/>
      <c r="AB508" s="117">
        <f t="shared" si="119"/>
        <v>15.318917462430889</v>
      </c>
      <c r="AC508" s="118">
        <f t="shared" si="120"/>
        <v>0.72162156093462038</v>
      </c>
      <c r="AE508" s="55"/>
      <c r="AF508" s="72"/>
      <c r="AG508" s="72"/>
      <c r="AH508" s="66"/>
      <c r="AJ508" t="s">
        <v>299</v>
      </c>
    </row>
    <row r="509" spans="1:36" ht="16" hidden="1" thickBot="1" x14ac:dyDescent="0.25">
      <c r="A509" s="119" t="s">
        <v>300</v>
      </c>
      <c r="B509" s="120" t="s">
        <v>1207</v>
      </c>
      <c r="C509" s="108" t="str">
        <f t="shared" si="121"/>
        <v>/Applications/Stellarium.app/Contents/Resources/nebulae/default/n2516-dss.png</v>
      </c>
      <c r="D509" s="121" t="s">
        <v>1939</v>
      </c>
      <c r="E509" s="109"/>
      <c r="F509" s="122">
        <v>8</v>
      </c>
      <c r="G509" s="123">
        <v>0</v>
      </c>
      <c r="H509" s="122">
        <v>-62</v>
      </c>
      <c r="I509" s="124">
        <v>59</v>
      </c>
      <c r="J509" s="112" t="s">
        <v>873</v>
      </c>
      <c r="K509" s="125">
        <v>13.2</v>
      </c>
      <c r="L509" s="196"/>
      <c r="M509" s="110">
        <f t="shared" si="122"/>
        <v>-61.016666666666666</v>
      </c>
      <c r="N509" s="111">
        <f t="shared" si="123"/>
        <v>-23.236666666666665</v>
      </c>
      <c r="O509" s="112">
        <f t="shared" si="124"/>
        <v>8</v>
      </c>
      <c r="P509" s="113">
        <f t="shared" ca="1" si="125"/>
        <v>46396.273128000001</v>
      </c>
      <c r="Q509" s="114">
        <f t="shared" ca="1" si="126"/>
        <v>46411.273128000001</v>
      </c>
      <c r="R509" s="114" t="b">
        <f t="shared" ca="1" si="113"/>
        <v>0</v>
      </c>
      <c r="S509" s="115">
        <f t="shared" ca="1" si="114"/>
        <v>0</v>
      </c>
      <c r="T509" s="126">
        <f t="shared" ca="1" si="115"/>
        <v>46411.273128000001</v>
      </c>
      <c r="U509" s="127" t="str">
        <f t="shared" si="128"/>
        <v>S</v>
      </c>
      <c r="V509" s="128">
        <f t="shared" si="127"/>
        <v>-23.236666666666665</v>
      </c>
      <c r="W509" s="129">
        <f t="shared" si="116"/>
        <v>-23.236666666666665</v>
      </c>
      <c r="X509" s="197"/>
      <c r="Y509" s="115">
        <f t="shared" ca="1" si="117"/>
        <v>118</v>
      </c>
      <c r="Z509" s="118">
        <f t="shared" ca="1" si="118"/>
        <v>0.67671232876712328</v>
      </c>
      <c r="AA509" s="116"/>
      <c r="AB509" s="117">
        <f t="shared" si="119"/>
        <v>15.318917462430889</v>
      </c>
      <c r="AC509" s="118">
        <f t="shared" si="120"/>
        <v>0.72162156093462038</v>
      </c>
      <c r="AE509" s="55"/>
      <c r="AF509" s="72"/>
      <c r="AG509" s="72"/>
      <c r="AH509" s="66"/>
      <c r="AJ509" t="s">
        <v>300</v>
      </c>
    </row>
    <row r="510" spans="1:36" ht="16" hidden="1" thickBot="1" x14ac:dyDescent="0.25">
      <c r="A510" s="119" t="s">
        <v>301</v>
      </c>
      <c r="B510" s="120" t="s">
        <v>1207</v>
      </c>
      <c r="C510" s="108" t="str">
        <f t="shared" si="121"/>
        <v>/Applications/Stellarium.app/Contents/Resources/nebulae/default/n2547.png</v>
      </c>
      <c r="D510" s="121" t="s">
        <v>1940</v>
      </c>
      <c r="E510" s="109"/>
      <c r="F510" s="122">
        <v>8</v>
      </c>
      <c r="G510" s="123">
        <v>11</v>
      </c>
      <c r="H510" s="122">
        <v>-50</v>
      </c>
      <c r="I510" s="124">
        <v>32</v>
      </c>
      <c r="J510" s="112" t="s">
        <v>723</v>
      </c>
      <c r="K510" s="125">
        <v>14.3</v>
      </c>
      <c r="L510" s="196"/>
      <c r="M510" s="110">
        <f t="shared" si="122"/>
        <v>-49.466666666666669</v>
      </c>
      <c r="N510" s="111">
        <f t="shared" si="123"/>
        <v>-11.686666666666667</v>
      </c>
      <c r="O510" s="112">
        <f t="shared" si="124"/>
        <v>8.1833333333333336</v>
      </c>
      <c r="P510" s="113">
        <f t="shared" ca="1" si="125"/>
        <v>46399.063168000001</v>
      </c>
      <c r="Q510" s="114">
        <f t="shared" ca="1" si="126"/>
        <v>46414.063168000001</v>
      </c>
      <c r="R510" s="114" t="b">
        <f t="shared" ca="1" si="113"/>
        <v>0</v>
      </c>
      <c r="S510" s="115">
        <f t="shared" ca="1" si="114"/>
        <v>0</v>
      </c>
      <c r="T510" s="126">
        <f t="shared" ca="1" si="115"/>
        <v>46414.063168000001</v>
      </c>
      <c r="U510" s="127" t="str">
        <f t="shared" si="128"/>
        <v>S</v>
      </c>
      <c r="V510" s="128">
        <f t="shared" si="127"/>
        <v>-11.686666666666667</v>
      </c>
      <c r="W510" s="129">
        <f t="shared" si="116"/>
        <v>-11.686666666666667</v>
      </c>
      <c r="X510" s="197"/>
      <c r="Y510" s="115">
        <f t="shared" ca="1" si="117"/>
        <v>115</v>
      </c>
      <c r="Z510" s="118">
        <f t="shared" ca="1" si="118"/>
        <v>0.68493150684931514</v>
      </c>
      <c r="AA510" s="116"/>
      <c r="AB510" s="117">
        <f t="shared" si="119"/>
        <v>15.501750216258031</v>
      </c>
      <c r="AC510" s="118">
        <f t="shared" si="120"/>
        <v>0.72923959234408464</v>
      </c>
      <c r="AE510" s="55"/>
      <c r="AF510" s="72"/>
      <c r="AG510" s="72"/>
      <c r="AH510" s="66"/>
      <c r="AJ510" t="s">
        <v>301</v>
      </c>
    </row>
    <row r="511" spans="1:36" ht="16" hidden="1" thickBot="1" x14ac:dyDescent="0.25">
      <c r="A511" s="119" t="s">
        <v>137</v>
      </c>
      <c r="B511" s="120" t="s">
        <v>1207</v>
      </c>
      <c r="C511" s="108" t="str">
        <f t="shared" si="121"/>
        <v>/Applications/Stellarium.app/Contents/Resources/nebulae/default/m48.png</v>
      </c>
      <c r="D511" s="121" t="s">
        <v>1941</v>
      </c>
      <c r="E511" s="109"/>
      <c r="F511" s="122">
        <v>8</v>
      </c>
      <c r="G511" s="123">
        <v>14</v>
      </c>
      <c r="H511" s="122">
        <v>-6</v>
      </c>
      <c r="I511" s="124">
        <v>8</v>
      </c>
      <c r="J511" s="112" t="s">
        <v>746</v>
      </c>
      <c r="K511" s="125">
        <v>14.4</v>
      </c>
      <c r="L511" s="196"/>
      <c r="M511" s="110">
        <f t="shared" si="122"/>
        <v>-5.8666666666666663</v>
      </c>
      <c r="N511" s="111">
        <f t="shared" si="123"/>
        <v>31.913333333333334</v>
      </c>
      <c r="O511" s="112">
        <f t="shared" si="124"/>
        <v>8.2333333333333325</v>
      </c>
      <c r="P511" s="113">
        <f t="shared" ca="1" si="125"/>
        <v>46399.824088000001</v>
      </c>
      <c r="Q511" s="114">
        <f t="shared" ca="1" si="126"/>
        <v>46414.824088000001</v>
      </c>
      <c r="R511" s="114" t="b">
        <f t="shared" ca="1" si="113"/>
        <v>0</v>
      </c>
      <c r="S511" s="115">
        <f t="shared" ca="1" si="114"/>
        <v>0</v>
      </c>
      <c r="T511" s="126">
        <f t="shared" ca="1" si="115"/>
        <v>46414.824088000001</v>
      </c>
      <c r="U511" s="127" t="str">
        <f t="shared" si="128"/>
        <v>S</v>
      </c>
      <c r="V511" s="128">
        <f t="shared" si="127"/>
        <v>31.913333333333334</v>
      </c>
      <c r="W511" s="129">
        <f t="shared" si="116"/>
        <v>31.913333333333334</v>
      </c>
      <c r="X511" s="197"/>
      <c r="Y511" s="115">
        <f t="shared" ca="1" si="117"/>
        <v>114</v>
      </c>
      <c r="Z511" s="118">
        <f t="shared" ca="1" si="118"/>
        <v>0.68767123287671228</v>
      </c>
      <c r="AA511" s="116"/>
      <c r="AB511" s="117">
        <f t="shared" si="119"/>
        <v>15.551613694574526</v>
      </c>
      <c r="AC511" s="118">
        <f t="shared" si="120"/>
        <v>0.7313172372739386</v>
      </c>
      <c r="AE511" s="55"/>
      <c r="AF511" s="72"/>
      <c r="AG511" s="72"/>
      <c r="AH511" s="66"/>
      <c r="AJ511" t="s">
        <v>137</v>
      </c>
    </row>
    <row r="512" spans="1:36" ht="16" hidden="1" thickBot="1" x14ac:dyDescent="0.25">
      <c r="A512" s="119" t="s">
        <v>664</v>
      </c>
      <c r="B512" s="120" t="s">
        <v>1415</v>
      </c>
      <c r="C512" s="108" t="str">
        <f t="shared" si="121"/>
        <v>/Applications/Stellarium.app/Contents/Resources/nebulae/default/u4305.png</v>
      </c>
      <c r="D512" s="121" t="s">
        <v>1942</v>
      </c>
      <c r="E512" s="109"/>
      <c r="F512" s="122">
        <v>8</v>
      </c>
      <c r="G512" s="123">
        <v>19</v>
      </c>
      <c r="H512" s="122">
        <v>70</v>
      </c>
      <c r="I512" s="124">
        <v>39</v>
      </c>
      <c r="J512" s="112" t="s">
        <v>809</v>
      </c>
      <c r="K512" s="125">
        <v>14.2</v>
      </c>
      <c r="L512" s="196"/>
      <c r="M512" s="110">
        <f t="shared" si="122"/>
        <v>70.650000000000006</v>
      </c>
      <c r="N512" s="111">
        <f t="shared" si="123"/>
        <v>108.43</v>
      </c>
      <c r="O512" s="112">
        <f t="shared" si="124"/>
        <v>8.3166666666666664</v>
      </c>
      <c r="P512" s="113">
        <f t="shared" ca="1" si="125"/>
        <v>46401.092288</v>
      </c>
      <c r="Q512" s="114">
        <f t="shared" ca="1" si="126"/>
        <v>46416.092288</v>
      </c>
      <c r="R512" s="114" t="b">
        <f t="shared" ca="1" si="113"/>
        <v>0</v>
      </c>
      <c r="S512" s="115">
        <f t="shared" ca="1" si="114"/>
        <v>0</v>
      </c>
      <c r="T512" s="126">
        <f t="shared" ca="1" si="115"/>
        <v>46416.092288</v>
      </c>
      <c r="U512" s="127" t="str">
        <f t="shared" si="128"/>
        <v>N</v>
      </c>
      <c r="V512" s="128">
        <f t="shared" si="127"/>
        <v>71.569999999999993</v>
      </c>
      <c r="W512" s="129">
        <f t="shared" si="116"/>
        <v>71.569999999999993</v>
      </c>
      <c r="X512" s="197"/>
      <c r="Y512" s="115">
        <f t="shared" ca="1" si="117"/>
        <v>113</v>
      </c>
      <c r="Z512" s="118">
        <f t="shared" ca="1" si="118"/>
        <v>0.69041095890410964</v>
      </c>
      <c r="AA512" s="116"/>
      <c r="AB512" s="117">
        <f t="shared" si="119"/>
        <v>15.634719491768681</v>
      </c>
      <c r="AC512" s="118">
        <f t="shared" si="120"/>
        <v>0.73477997882369506</v>
      </c>
      <c r="AE512" s="55"/>
      <c r="AF512" s="72"/>
      <c r="AG512" s="72"/>
      <c r="AH512" s="66"/>
      <c r="AJ512" t="s">
        <v>664</v>
      </c>
    </row>
    <row r="513" spans="1:36" ht="16" hidden="1" thickBot="1" x14ac:dyDescent="0.25">
      <c r="A513" s="119" t="s">
        <v>302</v>
      </c>
      <c r="B513" s="120" t="s">
        <v>1207</v>
      </c>
      <c r="C513" s="108" t="str">
        <f t="shared" si="121"/>
        <v>/Applications/Stellarium.app/Contents/Resources/nebulae/default/n2579.png</v>
      </c>
      <c r="D513" s="121" t="s">
        <v>1943</v>
      </c>
      <c r="E513" s="109"/>
      <c r="F513" s="122">
        <v>8</v>
      </c>
      <c r="G513" s="123">
        <v>21</v>
      </c>
      <c r="H513" s="122">
        <v>-37</v>
      </c>
      <c r="I513" s="124">
        <v>44</v>
      </c>
      <c r="J513" s="112" t="s">
        <v>749</v>
      </c>
      <c r="K513" s="125">
        <v>14.3</v>
      </c>
      <c r="L513" s="196"/>
      <c r="M513" s="110">
        <f t="shared" si="122"/>
        <v>-36.266666666666666</v>
      </c>
      <c r="N513" s="111">
        <f t="shared" si="123"/>
        <v>1.5133333333333354</v>
      </c>
      <c r="O513" s="112">
        <f t="shared" si="124"/>
        <v>8.35</v>
      </c>
      <c r="P513" s="113">
        <f t="shared" ca="1" si="125"/>
        <v>46401.599567999998</v>
      </c>
      <c r="Q513" s="114">
        <f t="shared" ca="1" si="126"/>
        <v>46416.599567999998</v>
      </c>
      <c r="R513" s="114" t="b">
        <f t="shared" ca="1" si="113"/>
        <v>0</v>
      </c>
      <c r="S513" s="115">
        <f t="shared" ca="1" si="114"/>
        <v>0</v>
      </c>
      <c r="T513" s="126">
        <f t="shared" ca="1" si="115"/>
        <v>46416.599567999998</v>
      </c>
      <c r="U513" s="127" t="str">
        <f t="shared" si="128"/>
        <v>S</v>
      </c>
      <c r="V513" s="128">
        <f t="shared" si="127"/>
        <v>1.5133333333333354</v>
      </c>
      <c r="W513" s="129">
        <f t="shared" si="116"/>
        <v>1.5133333333333354</v>
      </c>
      <c r="X513" s="197"/>
      <c r="Y513" s="115">
        <f t="shared" ca="1" si="117"/>
        <v>112</v>
      </c>
      <c r="Z513" s="118">
        <f t="shared" ca="1" si="118"/>
        <v>0.69315068493150678</v>
      </c>
      <c r="AA513" s="116"/>
      <c r="AB513" s="117">
        <f t="shared" si="119"/>
        <v>15.667961810646345</v>
      </c>
      <c r="AC513" s="118">
        <f t="shared" si="120"/>
        <v>0.73616507544359777</v>
      </c>
      <c r="AE513" s="55"/>
      <c r="AF513" s="72"/>
      <c r="AG513" s="72"/>
      <c r="AH513" s="66"/>
      <c r="AJ513" t="s">
        <v>302</v>
      </c>
    </row>
    <row r="514" spans="1:36" ht="16" hidden="1" thickBot="1" x14ac:dyDescent="0.25">
      <c r="A514" s="119" t="s">
        <v>645</v>
      </c>
      <c r="B514" s="120" t="s">
        <v>1411</v>
      </c>
      <c r="C514" s="108" t="str">
        <f t="shared" si="121"/>
        <v>/Applications/Stellarium.app/Contents/Resources/nebulae/default/rcw29.png</v>
      </c>
      <c r="D514" s="121" t="s">
        <v>1944</v>
      </c>
      <c r="E514" s="109"/>
      <c r="F514" s="122">
        <v>8</v>
      </c>
      <c r="G514" s="123">
        <v>22</v>
      </c>
      <c r="H514" s="122">
        <v>-43</v>
      </c>
      <c r="I514" s="124">
        <v>7</v>
      </c>
      <c r="J514" s="112" t="s">
        <v>1142</v>
      </c>
      <c r="K514" s="125">
        <v>14.6</v>
      </c>
      <c r="L514" s="196"/>
      <c r="M514" s="110">
        <f t="shared" si="122"/>
        <v>-42.883333333333333</v>
      </c>
      <c r="N514" s="111">
        <f t="shared" si="123"/>
        <v>-5.1033333333333317</v>
      </c>
      <c r="O514" s="112">
        <f t="shared" si="124"/>
        <v>8.3666666666666671</v>
      </c>
      <c r="P514" s="113">
        <f t="shared" ca="1" si="125"/>
        <v>46401.853208</v>
      </c>
      <c r="Q514" s="114">
        <f t="shared" ca="1" si="126"/>
        <v>46416.853208</v>
      </c>
      <c r="R514" s="114" t="b">
        <f t="shared" ca="1" si="113"/>
        <v>0</v>
      </c>
      <c r="S514" s="115">
        <f t="shared" ca="1" si="114"/>
        <v>0</v>
      </c>
      <c r="T514" s="126">
        <f t="shared" ca="1" si="115"/>
        <v>46416.853208</v>
      </c>
      <c r="U514" s="127" t="str">
        <f t="shared" si="128"/>
        <v>S</v>
      </c>
      <c r="V514" s="128">
        <f t="shared" si="127"/>
        <v>-5.1033333333333317</v>
      </c>
      <c r="W514" s="129">
        <f t="shared" si="116"/>
        <v>-5.1033333333333317</v>
      </c>
      <c r="X514" s="197"/>
      <c r="Y514" s="115">
        <f t="shared" ca="1" si="117"/>
        <v>112</v>
      </c>
      <c r="Z514" s="118">
        <f t="shared" ca="1" si="118"/>
        <v>0.69315068493150678</v>
      </c>
      <c r="AA514" s="116"/>
      <c r="AB514" s="117">
        <f t="shared" si="119"/>
        <v>15.684582970085176</v>
      </c>
      <c r="AC514" s="118">
        <f t="shared" si="120"/>
        <v>0.73685762375354891</v>
      </c>
      <c r="AE514" s="55"/>
      <c r="AF514" s="72"/>
      <c r="AG514" s="72"/>
      <c r="AH514" s="66"/>
      <c r="AJ514" t="s">
        <v>645</v>
      </c>
    </row>
    <row r="515" spans="1:36" ht="16" hidden="1" thickBot="1" x14ac:dyDescent="0.25">
      <c r="A515" s="119" t="s">
        <v>303</v>
      </c>
      <c r="B515" s="120" t="s">
        <v>1269</v>
      </c>
      <c r="C515" s="108" t="str">
        <f t="shared" si="121"/>
        <v>/Applications/Stellarium.app/Contents/Resources/nebulae/default/n2613.png</v>
      </c>
      <c r="D515" s="121" t="s">
        <v>1945</v>
      </c>
      <c r="E515" s="109"/>
      <c r="F515" s="122">
        <v>8</v>
      </c>
      <c r="G515" s="123">
        <v>33</v>
      </c>
      <c r="H515" s="122">
        <v>-24</v>
      </c>
      <c r="I515" s="124">
        <v>56</v>
      </c>
      <c r="J515" s="112" t="s">
        <v>874</v>
      </c>
      <c r="K515" s="125">
        <v>13.5</v>
      </c>
      <c r="L515" s="196"/>
      <c r="M515" s="110">
        <f t="shared" si="122"/>
        <v>-23.066666666666666</v>
      </c>
      <c r="N515" s="111">
        <f t="shared" si="123"/>
        <v>14.713333333333335</v>
      </c>
      <c r="O515" s="112">
        <f t="shared" si="124"/>
        <v>8.5500000000000007</v>
      </c>
      <c r="P515" s="113">
        <f t="shared" ca="1" si="125"/>
        <v>46404.643248</v>
      </c>
      <c r="Q515" s="114">
        <f t="shared" ca="1" si="126"/>
        <v>46419.643248</v>
      </c>
      <c r="R515" s="114" t="b">
        <f t="shared" ca="1" si="113"/>
        <v>0</v>
      </c>
      <c r="S515" s="115">
        <f t="shared" ca="1" si="114"/>
        <v>0</v>
      </c>
      <c r="T515" s="126">
        <f t="shared" ca="1" si="115"/>
        <v>46419.643248</v>
      </c>
      <c r="U515" s="127" t="str">
        <f t="shared" si="128"/>
        <v>S</v>
      </c>
      <c r="V515" s="128">
        <f t="shared" si="127"/>
        <v>14.713333333333335</v>
      </c>
      <c r="W515" s="129">
        <f t="shared" si="116"/>
        <v>14.713333333333335</v>
      </c>
      <c r="X515" s="197"/>
      <c r="Y515" s="115">
        <f t="shared" ca="1" si="117"/>
        <v>109</v>
      </c>
      <c r="Z515" s="118">
        <f t="shared" ca="1" si="118"/>
        <v>0.70136986301369864</v>
      </c>
      <c r="AA515" s="116"/>
      <c r="AB515" s="117">
        <f t="shared" si="119"/>
        <v>15.86741572391232</v>
      </c>
      <c r="AC515" s="118">
        <f t="shared" si="120"/>
        <v>0.74447565516301328</v>
      </c>
      <c r="AE515" s="55"/>
      <c r="AF515" s="72"/>
      <c r="AG515" s="72"/>
      <c r="AH515" s="66"/>
      <c r="AJ515" t="s">
        <v>303</v>
      </c>
    </row>
    <row r="516" spans="1:36" ht="16" hidden="1" thickBot="1" x14ac:dyDescent="0.25">
      <c r="A516" s="119" t="s">
        <v>307</v>
      </c>
      <c r="B516" s="120" t="s">
        <v>1269</v>
      </c>
      <c r="C516" s="108" t="str">
        <f t="shared" si="121"/>
        <v>/Applications/Stellarium.app/Contents/Resources/nebulae/default/n2623.png</v>
      </c>
      <c r="D516" s="121" t="s">
        <v>1946</v>
      </c>
      <c r="E516" s="109"/>
      <c r="F516" s="122">
        <v>8</v>
      </c>
      <c r="G516" s="123">
        <v>38</v>
      </c>
      <c r="H516" s="122">
        <v>25</v>
      </c>
      <c r="I516" s="124">
        <v>43</v>
      </c>
      <c r="J516" s="112" t="s">
        <v>878</v>
      </c>
      <c r="K516" s="125">
        <v>13.4</v>
      </c>
      <c r="L516" s="196"/>
      <c r="M516" s="110">
        <f t="shared" si="122"/>
        <v>25.716666666666665</v>
      </c>
      <c r="N516" s="111">
        <f t="shared" si="123"/>
        <v>63.49666666666667</v>
      </c>
      <c r="O516" s="112">
        <f t="shared" si="124"/>
        <v>8.6333333333333329</v>
      </c>
      <c r="P516" s="113">
        <f t="shared" ca="1" si="125"/>
        <v>46405.911447999999</v>
      </c>
      <c r="Q516" s="114">
        <f t="shared" ca="1" si="126"/>
        <v>46420.911447999999</v>
      </c>
      <c r="R516" s="114" t="b">
        <f t="shared" ca="1" si="113"/>
        <v>0</v>
      </c>
      <c r="S516" s="115">
        <f t="shared" ca="1" si="114"/>
        <v>0</v>
      </c>
      <c r="T516" s="126">
        <f t="shared" ca="1" si="115"/>
        <v>46420.911447999999</v>
      </c>
      <c r="U516" s="127" t="str">
        <f t="shared" si="128"/>
        <v>S</v>
      </c>
      <c r="V516" s="128">
        <f t="shared" si="127"/>
        <v>63.49666666666667</v>
      </c>
      <c r="W516" s="129">
        <f t="shared" si="116"/>
        <v>63.49666666666667</v>
      </c>
      <c r="X516" s="197"/>
      <c r="Y516" s="115">
        <f t="shared" ca="1" si="117"/>
        <v>108</v>
      </c>
      <c r="Z516" s="118">
        <f t="shared" ca="1" si="118"/>
        <v>0.70410958904109588</v>
      </c>
      <c r="AA516" s="116"/>
      <c r="AB516" s="117">
        <f t="shared" si="119"/>
        <v>15.950521521106475</v>
      </c>
      <c r="AC516" s="118">
        <f t="shared" si="120"/>
        <v>0.74793839671276974</v>
      </c>
      <c r="AE516" s="55"/>
      <c r="AF516" s="72"/>
      <c r="AG516" s="72"/>
      <c r="AH516" s="66"/>
      <c r="AJ516" t="s">
        <v>307</v>
      </c>
    </row>
    <row r="517" spans="1:36" ht="16" hidden="1" thickBot="1" x14ac:dyDescent="0.25">
      <c r="A517" s="119" t="s">
        <v>133</v>
      </c>
      <c r="B517" s="120" t="s">
        <v>1221</v>
      </c>
      <c r="C517" s="108" t="str">
        <f t="shared" si="121"/>
        <v>/Applications/Stellarium.app/Contents/Resources/nebulae/default/m44.png</v>
      </c>
      <c r="D517" s="121" t="s">
        <v>1947</v>
      </c>
      <c r="E517" s="109"/>
      <c r="F517" s="122">
        <v>8</v>
      </c>
      <c r="G517" s="123">
        <v>42</v>
      </c>
      <c r="H517" s="122">
        <v>19</v>
      </c>
      <c r="I517" s="124">
        <v>1</v>
      </c>
      <c r="J517" s="112" t="s">
        <v>744</v>
      </c>
      <c r="K517" s="125">
        <v>13.6</v>
      </c>
      <c r="L517" s="196"/>
      <c r="M517" s="110">
        <f t="shared" si="122"/>
        <v>19.016666666666666</v>
      </c>
      <c r="N517" s="111">
        <f t="shared" si="123"/>
        <v>56.796666666666667</v>
      </c>
      <c r="O517" s="112">
        <f t="shared" si="124"/>
        <v>8.6999999999999993</v>
      </c>
      <c r="P517" s="113">
        <f t="shared" ca="1" si="125"/>
        <v>46406.926008000002</v>
      </c>
      <c r="Q517" s="114">
        <f t="shared" ca="1" si="126"/>
        <v>46421.926008000002</v>
      </c>
      <c r="R517" s="114" t="b">
        <f t="shared" ca="1" si="113"/>
        <v>0</v>
      </c>
      <c r="S517" s="115">
        <f t="shared" ca="1" si="114"/>
        <v>0</v>
      </c>
      <c r="T517" s="126">
        <f t="shared" ca="1" si="115"/>
        <v>46421.926008000002</v>
      </c>
      <c r="U517" s="127" t="str">
        <f t="shared" si="128"/>
        <v>S</v>
      </c>
      <c r="V517" s="128">
        <f t="shared" si="127"/>
        <v>56.796666666666667</v>
      </c>
      <c r="W517" s="129">
        <f t="shared" si="116"/>
        <v>56.796666666666667</v>
      </c>
      <c r="X517" s="197"/>
      <c r="Y517" s="115">
        <f t="shared" ca="1" si="117"/>
        <v>107</v>
      </c>
      <c r="Z517" s="118">
        <f t="shared" ca="1" si="118"/>
        <v>0.70684931506849313</v>
      </c>
      <c r="AA517" s="116"/>
      <c r="AB517" s="117">
        <f t="shared" si="119"/>
        <v>16.0170061588618</v>
      </c>
      <c r="AC517" s="118">
        <f t="shared" si="120"/>
        <v>0.75070858995257506</v>
      </c>
      <c r="AE517" s="55"/>
      <c r="AF517" s="72"/>
      <c r="AG517" s="72"/>
      <c r="AH517" s="66"/>
      <c r="AJ517" t="s">
        <v>133</v>
      </c>
    </row>
    <row r="518" spans="1:36" ht="16" hidden="1" thickBot="1" x14ac:dyDescent="0.25">
      <c r="A518" s="119" t="s">
        <v>587</v>
      </c>
      <c r="B518" s="120" t="s">
        <v>1207</v>
      </c>
      <c r="C518" s="108" t="str">
        <f t="shared" si="121"/>
        <v>/Applications/Stellarium.app/Contents/Resources/nebulae/default/ic2395.png</v>
      </c>
      <c r="D518" s="121" t="s">
        <v>1948</v>
      </c>
      <c r="E518" s="109"/>
      <c r="F518" s="122">
        <v>8</v>
      </c>
      <c r="G518" s="123">
        <v>45</v>
      </c>
      <c r="H518" s="122">
        <v>-49</v>
      </c>
      <c r="I518" s="124">
        <v>33</v>
      </c>
      <c r="J518" s="112" t="s">
        <v>56</v>
      </c>
      <c r="K518" s="125">
        <v>13.4</v>
      </c>
      <c r="L518" s="196"/>
      <c r="M518" s="110">
        <f t="shared" si="122"/>
        <v>-48.45</v>
      </c>
      <c r="N518" s="111">
        <f t="shared" si="123"/>
        <v>-10.670000000000002</v>
      </c>
      <c r="O518" s="112">
        <f t="shared" si="124"/>
        <v>8.75</v>
      </c>
      <c r="P518" s="113">
        <f t="shared" ca="1" si="125"/>
        <v>46407.686928000003</v>
      </c>
      <c r="Q518" s="114">
        <f t="shared" ca="1" si="126"/>
        <v>46422.686928000003</v>
      </c>
      <c r="R518" s="114" t="b">
        <f t="shared" ca="1" si="113"/>
        <v>0</v>
      </c>
      <c r="S518" s="115">
        <f t="shared" ca="1" si="114"/>
        <v>0</v>
      </c>
      <c r="T518" s="126">
        <f t="shared" ca="1" si="115"/>
        <v>46422.686928000003</v>
      </c>
      <c r="U518" s="127" t="str">
        <f t="shared" si="128"/>
        <v>S</v>
      </c>
      <c r="V518" s="128">
        <f t="shared" si="127"/>
        <v>-10.670000000000002</v>
      </c>
      <c r="W518" s="129">
        <f t="shared" si="116"/>
        <v>-10.670000000000002</v>
      </c>
      <c r="X518" s="197"/>
      <c r="Y518" s="115">
        <f t="shared" ca="1" si="117"/>
        <v>106</v>
      </c>
      <c r="Z518" s="118">
        <f t="shared" ca="1" si="118"/>
        <v>0.70958904109589049</v>
      </c>
      <c r="AA518" s="116"/>
      <c r="AB518" s="117">
        <f t="shared" si="119"/>
        <v>16.066869637178293</v>
      </c>
      <c r="AC518" s="118">
        <f t="shared" si="120"/>
        <v>0.75278623488242891</v>
      </c>
      <c r="AE518" s="55"/>
      <c r="AF518" s="72"/>
      <c r="AG518" s="72"/>
      <c r="AH518" s="66"/>
      <c r="AJ518" t="s">
        <v>587</v>
      </c>
    </row>
    <row r="519" spans="1:36" ht="16" hidden="1" thickBot="1" x14ac:dyDescent="0.25">
      <c r="A519" s="119" t="s">
        <v>156</v>
      </c>
      <c r="B519" s="120" t="s">
        <v>1236</v>
      </c>
      <c r="C519" s="108" t="str">
        <f t="shared" si="121"/>
        <v>/Applications/Stellarium.app/Contents/Resources/nebulae/default/m67.png</v>
      </c>
      <c r="D519" s="121" t="s">
        <v>1949</v>
      </c>
      <c r="E519" s="109"/>
      <c r="F519" s="122">
        <v>8</v>
      </c>
      <c r="G519" s="123">
        <v>51</v>
      </c>
      <c r="H519" s="122">
        <v>11</v>
      </c>
      <c r="I519" s="124">
        <v>40</v>
      </c>
      <c r="J519" s="112" t="s">
        <v>723</v>
      </c>
      <c r="K519" s="125">
        <v>15.1</v>
      </c>
      <c r="L519" s="196"/>
      <c r="M519" s="110">
        <f t="shared" si="122"/>
        <v>11.666666666666666</v>
      </c>
      <c r="N519" s="111">
        <f t="shared" si="123"/>
        <v>49.446666666666665</v>
      </c>
      <c r="O519" s="112">
        <f t="shared" si="124"/>
        <v>8.85</v>
      </c>
      <c r="P519" s="113">
        <f t="shared" ca="1" si="125"/>
        <v>46409.208767999997</v>
      </c>
      <c r="Q519" s="114">
        <f t="shared" ca="1" si="126"/>
        <v>46424.208767999997</v>
      </c>
      <c r="R519" s="114" t="b">
        <f t="shared" ca="1" si="113"/>
        <v>0</v>
      </c>
      <c r="S519" s="115">
        <f t="shared" ca="1" si="114"/>
        <v>0</v>
      </c>
      <c r="T519" s="126">
        <f t="shared" ca="1" si="115"/>
        <v>46424.208767999997</v>
      </c>
      <c r="U519" s="127" t="str">
        <f t="shared" si="128"/>
        <v>S</v>
      </c>
      <c r="V519" s="128">
        <f t="shared" si="127"/>
        <v>49.446666666666665</v>
      </c>
      <c r="W519" s="129">
        <f t="shared" si="116"/>
        <v>49.446666666666665</v>
      </c>
      <c r="X519" s="197"/>
      <c r="Y519" s="115">
        <f t="shared" ca="1" si="117"/>
        <v>105</v>
      </c>
      <c r="Z519" s="118">
        <f t="shared" ca="1" si="118"/>
        <v>0.71232876712328763</v>
      </c>
      <c r="AA519" s="116"/>
      <c r="AB519" s="117">
        <f t="shared" si="119"/>
        <v>16.166596593811285</v>
      </c>
      <c r="AC519" s="118">
        <f t="shared" si="120"/>
        <v>0.75694152474213683</v>
      </c>
      <c r="AE519" s="55"/>
      <c r="AF519" s="72"/>
      <c r="AG519" s="72"/>
      <c r="AH519" s="66"/>
      <c r="AJ519" t="s">
        <v>156</v>
      </c>
    </row>
    <row r="520" spans="1:36" ht="16" hidden="1" thickBot="1" x14ac:dyDescent="0.25">
      <c r="A520" s="119" t="s">
        <v>305</v>
      </c>
      <c r="B520" s="120" t="s">
        <v>1269</v>
      </c>
      <c r="C520" s="108" t="str">
        <f t="shared" si="121"/>
        <v>/Applications/Stellarium.app/Contents/Resources/nebulae/default/n2681.png</v>
      </c>
      <c r="D520" s="121" t="s">
        <v>1950</v>
      </c>
      <c r="E520" s="109"/>
      <c r="F520" s="122">
        <v>8</v>
      </c>
      <c r="G520" s="123">
        <v>53</v>
      </c>
      <c r="H520" s="122">
        <v>51</v>
      </c>
      <c r="I520" s="124">
        <v>16</v>
      </c>
      <c r="J520" s="112" t="s">
        <v>876</v>
      </c>
      <c r="K520" s="125">
        <v>13.4</v>
      </c>
      <c r="L520" s="196"/>
      <c r="M520" s="110">
        <f t="shared" si="122"/>
        <v>51.266666666666666</v>
      </c>
      <c r="N520" s="111">
        <f t="shared" si="123"/>
        <v>89.046666666666667</v>
      </c>
      <c r="O520" s="112">
        <f t="shared" si="124"/>
        <v>8.8833333333333329</v>
      </c>
      <c r="P520" s="113">
        <f t="shared" ca="1" si="125"/>
        <v>46409.716048000002</v>
      </c>
      <c r="Q520" s="114">
        <f t="shared" ca="1" si="126"/>
        <v>46424.716048000002</v>
      </c>
      <c r="R520" s="114" t="b">
        <f t="shared" ca="1" si="113"/>
        <v>0</v>
      </c>
      <c r="S520" s="115">
        <f t="shared" ca="1" si="114"/>
        <v>0</v>
      </c>
      <c r="T520" s="126">
        <f t="shared" ca="1" si="115"/>
        <v>46424.716048000002</v>
      </c>
      <c r="U520" s="127" t="str">
        <f t="shared" si="128"/>
        <v>S</v>
      </c>
      <c r="V520" s="128">
        <f t="shared" si="127"/>
        <v>89.046666666666667</v>
      </c>
      <c r="W520" s="129">
        <f t="shared" si="116"/>
        <v>89.046666666666667</v>
      </c>
      <c r="X520" s="197"/>
      <c r="Y520" s="115">
        <f t="shared" ca="1" si="117"/>
        <v>104</v>
      </c>
      <c r="Z520" s="118">
        <f t="shared" ca="1" si="118"/>
        <v>0.71506849315068499</v>
      </c>
      <c r="AA520" s="116"/>
      <c r="AB520" s="117">
        <f t="shared" si="119"/>
        <v>16.199838912688943</v>
      </c>
      <c r="AC520" s="118">
        <f t="shared" si="120"/>
        <v>0.75832662136203932</v>
      </c>
      <c r="AE520" s="55"/>
      <c r="AF520" s="72"/>
      <c r="AG520" s="72"/>
      <c r="AH520" s="66"/>
      <c r="AJ520" t="s">
        <v>305</v>
      </c>
    </row>
    <row r="521" spans="1:36" ht="16" hidden="1" thickBot="1" x14ac:dyDescent="0.25">
      <c r="A521" s="119" t="s">
        <v>82</v>
      </c>
      <c r="B521" s="120" t="s">
        <v>1289</v>
      </c>
      <c r="C521" s="108" t="str">
        <f t="shared" si="121"/>
        <v>/Applications/Stellarium.app/Contents/Resources/nebulae/default/n2683.png</v>
      </c>
      <c r="D521" s="121" t="s">
        <v>1951</v>
      </c>
      <c r="E521" s="109"/>
      <c r="F521" s="122">
        <v>8</v>
      </c>
      <c r="G521" s="123">
        <v>53</v>
      </c>
      <c r="H521" s="122">
        <v>33</v>
      </c>
      <c r="I521" s="124">
        <v>19</v>
      </c>
      <c r="J521" s="112" t="s">
        <v>879</v>
      </c>
      <c r="K521" s="125">
        <v>13.4</v>
      </c>
      <c r="L521" s="196"/>
      <c r="M521" s="110">
        <f t="shared" si="122"/>
        <v>33.31666666666667</v>
      </c>
      <c r="N521" s="111">
        <f t="shared" si="123"/>
        <v>71.096666666666664</v>
      </c>
      <c r="O521" s="112">
        <f t="shared" si="124"/>
        <v>8.8833333333333329</v>
      </c>
      <c r="P521" s="113">
        <f t="shared" ca="1" si="125"/>
        <v>46409.716048000002</v>
      </c>
      <c r="Q521" s="114">
        <f t="shared" ca="1" si="126"/>
        <v>46424.716048000002</v>
      </c>
      <c r="R521" s="114" t="b">
        <f t="shared" ca="1" si="113"/>
        <v>0</v>
      </c>
      <c r="S521" s="115">
        <f t="shared" ca="1" si="114"/>
        <v>0</v>
      </c>
      <c r="T521" s="126">
        <f t="shared" ca="1" si="115"/>
        <v>46424.716048000002</v>
      </c>
      <c r="U521" s="127" t="str">
        <f t="shared" si="128"/>
        <v>S</v>
      </c>
      <c r="V521" s="128">
        <f t="shared" si="127"/>
        <v>71.096666666666664</v>
      </c>
      <c r="W521" s="129">
        <f t="shared" si="116"/>
        <v>71.096666666666664</v>
      </c>
      <c r="X521" s="197"/>
      <c r="Y521" s="115">
        <f t="shared" ca="1" si="117"/>
        <v>104</v>
      </c>
      <c r="Z521" s="118">
        <f t="shared" ca="1" si="118"/>
        <v>0.71506849315068499</v>
      </c>
      <c r="AA521" s="116"/>
      <c r="AB521" s="117">
        <f t="shared" si="119"/>
        <v>16.199838912688943</v>
      </c>
      <c r="AC521" s="118">
        <f t="shared" si="120"/>
        <v>0.75832662136203932</v>
      </c>
      <c r="AE521" s="55"/>
      <c r="AF521" s="72"/>
      <c r="AG521" s="72"/>
      <c r="AH521" s="66"/>
      <c r="AJ521" t="s">
        <v>82</v>
      </c>
    </row>
    <row r="522" spans="1:36" ht="16" hidden="1" thickBot="1" x14ac:dyDescent="0.25">
      <c r="A522" s="119" t="s">
        <v>695</v>
      </c>
      <c r="B522" s="120" t="s">
        <v>1426</v>
      </c>
      <c r="C522" s="108" t="str">
        <f t="shared" si="121"/>
        <v>/Applications/Stellarium.app/Contents/Resources/nebulae/default/abell31.png</v>
      </c>
      <c r="D522" s="121" t="s">
        <v>1952</v>
      </c>
      <c r="E522" s="109"/>
      <c r="F522" s="122">
        <v>8</v>
      </c>
      <c r="G522" s="123">
        <v>55</v>
      </c>
      <c r="H522" s="122">
        <v>8</v>
      </c>
      <c r="I522" s="124">
        <v>49</v>
      </c>
      <c r="J522" s="112" t="s">
        <v>1171</v>
      </c>
      <c r="K522" s="125">
        <v>15.5</v>
      </c>
      <c r="L522" s="196"/>
      <c r="M522" s="110">
        <f t="shared" si="122"/>
        <v>8.8166666666666664</v>
      </c>
      <c r="N522" s="111">
        <f t="shared" si="123"/>
        <v>46.596666666666664</v>
      </c>
      <c r="O522" s="112">
        <f t="shared" si="124"/>
        <v>8.9166666666666661</v>
      </c>
      <c r="P522" s="113">
        <f t="shared" ca="1" si="125"/>
        <v>46410.223328</v>
      </c>
      <c r="Q522" s="114">
        <f t="shared" ca="1" si="126"/>
        <v>46425.223328</v>
      </c>
      <c r="R522" s="114" t="b">
        <f t="shared" ca="1" si="113"/>
        <v>0</v>
      </c>
      <c r="S522" s="115">
        <f t="shared" ca="1" si="114"/>
        <v>0</v>
      </c>
      <c r="T522" s="126">
        <f t="shared" ca="1" si="115"/>
        <v>46425.223328</v>
      </c>
      <c r="U522" s="127" t="str">
        <f t="shared" si="128"/>
        <v>S</v>
      </c>
      <c r="V522" s="128">
        <f t="shared" si="127"/>
        <v>46.596666666666664</v>
      </c>
      <c r="W522" s="129">
        <f t="shared" si="116"/>
        <v>46.596666666666664</v>
      </c>
      <c r="X522" s="197"/>
      <c r="Y522" s="115">
        <f t="shared" ca="1" si="117"/>
        <v>104</v>
      </c>
      <c r="Z522" s="118">
        <f t="shared" ca="1" si="118"/>
        <v>0.71506849315068499</v>
      </c>
      <c r="AA522" s="116"/>
      <c r="AB522" s="117">
        <f t="shared" si="119"/>
        <v>16.233081231566604</v>
      </c>
      <c r="AC522" s="118">
        <f t="shared" si="120"/>
        <v>0.75971171798194181</v>
      </c>
      <c r="AE522" s="55"/>
      <c r="AF522" s="72"/>
      <c r="AG522" s="72"/>
      <c r="AH522" s="66"/>
      <c r="AJ522" t="s">
        <v>695</v>
      </c>
    </row>
    <row r="523" spans="1:36" ht="16" hidden="1" thickBot="1" x14ac:dyDescent="0.25">
      <c r="A523" s="119" t="s">
        <v>306</v>
      </c>
      <c r="B523" s="120" t="s">
        <v>1272</v>
      </c>
      <c r="C523" s="108" t="str">
        <f t="shared" si="121"/>
        <v>/Applications/Stellarium.app/Contents/Resources/nebulae/default/n2685-vasey.png</v>
      </c>
      <c r="D523" s="121" t="s">
        <v>1953</v>
      </c>
      <c r="E523" s="109"/>
      <c r="F523" s="122">
        <v>8</v>
      </c>
      <c r="G523" s="123">
        <v>56</v>
      </c>
      <c r="H523" s="122">
        <v>58</v>
      </c>
      <c r="I523" s="124">
        <v>39</v>
      </c>
      <c r="J523" s="112" t="s">
        <v>877</v>
      </c>
      <c r="K523" s="125">
        <v>13.4</v>
      </c>
      <c r="L523" s="196"/>
      <c r="M523" s="110">
        <f t="shared" si="122"/>
        <v>58.65</v>
      </c>
      <c r="N523" s="111">
        <f t="shared" si="123"/>
        <v>96.43</v>
      </c>
      <c r="O523" s="112">
        <f t="shared" si="124"/>
        <v>8.9333333333333336</v>
      </c>
      <c r="P523" s="113">
        <f t="shared" ca="1" si="125"/>
        <v>46410.476968000003</v>
      </c>
      <c r="Q523" s="114">
        <f t="shared" ca="1" si="126"/>
        <v>46425.476968000003</v>
      </c>
      <c r="R523" s="114" t="b">
        <f t="shared" ref="R523:R586" ca="1" si="129">AND(Q523&gt;=DATE(YEAR(Q523),3,31)-WEEKDAY(DATE(YEAR(Q523),3,31),2),Q523&lt;DATE(YEAR(Q523),10,31)-WEEKDAY(DATE(YEAR(Q523),10,31),2))</f>
        <v>0</v>
      </c>
      <c r="S523" s="115">
        <f t="shared" ref="S523:S586" ca="1" si="130">IF(R523,15,0)</f>
        <v>0</v>
      </c>
      <c r="T523" s="126">
        <f t="shared" ref="T523:T586" ca="1" si="131">Q523+S523</f>
        <v>46425.476968000003</v>
      </c>
      <c r="U523" s="127" t="str">
        <f t="shared" si="128"/>
        <v>N</v>
      </c>
      <c r="V523" s="128">
        <f t="shared" si="127"/>
        <v>83.57</v>
      </c>
      <c r="W523" s="129">
        <f t="shared" ref="W523:W586" si="132">IF(M523&lt;&gt;0,V523,"")</f>
        <v>83.57</v>
      </c>
      <c r="X523" s="197"/>
      <c r="Y523" s="115">
        <f t="shared" ref="Y523:Y586" ca="1" si="133">INT(IF(AC$7&gt;T523,AC$7-T523,AC$7+365-T523)+0.5)+S523</f>
        <v>104</v>
      </c>
      <c r="Z523" s="118">
        <f t="shared" ref="Z523:Z586" ca="1" si="134">$AB$5-Y523/365</f>
        <v>0.71506849315068499</v>
      </c>
      <c r="AA523" s="116"/>
      <c r="AB523" s="117">
        <f t="shared" ref="AB523:AB586" si="135">MOD(O523-AB$10,24)/1.00273790935</f>
        <v>16.249702391005439</v>
      </c>
      <c r="AC523" s="118">
        <f t="shared" ref="AC523:AC586" si="136">(IF(M523&lt;&gt;0,MOD(AB523+AB$11,24)/24,""))</f>
        <v>0.76040426629189328</v>
      </c>
      <c r="AE523" s="55"/>
      <c r="AF523" s="72"/>
      <c r="AG523" s="72"/>
      <c r="AH523" s="66"/>
      <c r="AJ523" t="s">
        <v>306</v>
      </c>
    </row>
    <row r="524" spans="1:36" ht="16" hidden="1" thickBot="1" x14ac:dyDescent="0.25">
      <c r="A524" s="119" t="s">
        <v>646</v>
      </c>
      <c r="B524" s="120" t="s">
        <v>1411</v>
      </c>
      <c r="C524" s="108" t="str">
        <f t="shared" ref="C524:C587" si="137">CONCATENATE(A$9&amp;D524)</f>
        <v>/Applications/Stellarium.app/Contents/Resources/nebulae/default/rcw32.png</v>
      </c>
      <c r="D524" s="121" t="s">
        <v>1954</v>
      </c>
      <c r="E524" s="109"/>
      <c r="F524" s="122">
        <v>8</v>
      </c>
      <c r="G524" s="123">
        <v>56</v>
      </c>
      <c r="H524" s="122">
        <v>-44</v>
      </c>
      <c r="I524" s="124">
        <v>44</v>
      </c>
      <c r="J524" s="112" t="s">
        <v>1143</v>
      </c>
      <c r="K524" s="125">
        <v>14.6</v>
      </c>
      <c r="L524" s="196"/>
      <c r="M524" s="110">
        <f t="shared" ref="M524:M587" si="138">H524+I524/60</f>
        <v>-43.266666666666666</v>
      </c>
      <c r="N524" s="111">
        <f t="shared" ref="N524:N587" si="139">90-$B$6+M524</f>
        <v>-5.4866666666666646</v>
      </c>
      <c r="O524" s="112">
        <f t="shared" ref="O524:O587" si="140">F524+G524/60</f>
        <v>8.9333333333333336</v>
      </c>
      <c r="P524" s="113">
        <f t="shared" ref="P524:P587" ca="1" si="141">DATE(YEAR(TODAY()),3,21)+MOD(O524-12-$B$7/15,24)*15.2184</f>
        <v>46410.476968000003</v>
      </c>
      <c r="Q524" s="114">
        <f t="shared" ref="Q524:Q587" ca="1" si="142">DATE(YEAR(TODAY()),3,21)+MOD(O524-12-$B$7/15,24)*15.2184+15</f>
        <v>46425.476968000003</v>
      </c>
      <c r="R524" s="114" t="b">
        <f t="shared" ca="1" si="129"/>
        <v>0</v>
      </c>
      <c r="S524" s="115">
        <f t="shared" ca="1" si="130"/>
        <v>0</v>
      </c>
      <c r="T524" s="126">
        <f t="shared" ca="1" si="131"/>
        <v>46425.476968000003</v>
      </c>
      <c r="U524" s="127" t="str">
        <f t="shared" si="128"/>
        <v>S</v>
      </c>
      <c r="V524" s="128">
        <f t="shared" ref="V524:V587" si="143">IF(90-B$6+M524&gt;90,180-90+B$6-M524,90-B$6+M524)</f>
        <v>-5.4866666666666646</v>
      </c>
      <c r="W524" s="129">
        <f t="shared" si="132"/>
        <v>-5.4866666666666646</v>
      </c>
      <c r="X524" s="197"/>
      <c r="Y524" s="115">
        <f t="shared" ca="1" si="133"/>
        <v>104</v>
      </c>
      <c r="Z524" s="118">
        <f t="shared" ca="1" si="134"/>
        <v>0.71506849315068499</v>
      </c>
      <c r="AA524" s="116"/>
      <c r="AB524" s="117">
        <f t="shared" si="135"/>
        <v>16.249702391005439</v>
      </c>
      <c r="AC524" s="118">
        <f t="shared" si="136"/>
        <v>0.76040426629189328</v>
      </c>
      <c r="AE524" s="55"/>
      <c r="AF524" s="72"/>
      <c r="AG524" s="72"/>
      <c r="AH524" s="66"/>
      <c r="AJ524" t="s">
        <v>646</v>
      </c>
    </row>
    <row r="525" spans="1:36" ht="16" hidden="1" thickBot="1" x14ac:dyDescent="0.25">
      <c r="A525" s="119" t="s">
        <v>304</v>
      </c>
      <c r="B525" s="120" t="s">
        <v>1272</v>
      </c>
      <c r="C525" s="108" t="str">
        <f t="shared" si="137"/>
        <v>/Applications/Stellarium.app/Contents/Resources/nebulae/default/n2655-vasey.png</v>
      </c>
      <c r="D525" s="121" t="s">
        <v>1955</v>
      </c>
      <c r="E525" s="109"/>
      <c r="F525" s="122">
        <v>8</v>
      </c>
      <c r="G525" s="123">
        <v>58</v>
      </c>
      <c r="H525" s="122">
        <v>78</v>
      </c>
      <c r="I525" s="124">
        <v>5</v>
      </c>
      <c r="J525" s="112" t="s">
        <v>875</v>
      </c>
      <c r="K525" s="125">
        <v>13.4</v>
      </c>
      <c r="L525" s="196"/>
      <c r="M525" s="110">
        <f t="shared" si="138"/>
        <v>78.083333333333329</v>
      </c>
      <c r="N525" s="111">
        <f t="shared" si="139"/>
        <v>115.86333333333333</v>
      </c>
      <c r="O525" s="112">
        <f t="shared" si="140"/>
        <v>8.9666666666666668</v>
      </c>
      <c r="P525" s="113">
        <f t="shared" ca="1" si="141"/>
        <v>46410.984248000001</v>
      </c>
      <c r="Q525" s="114">
        <f t="shared" ca="1" si="142"/>
        <v>46425.984248000001</v>
      </c>
      <c r="R525" s="114" t="b">
        <f t="shared" ca="1" si="129"/>
        <v>0</v>
      </c>
      <c r="S525" s="115">
        <f t="shared" ca="1" si="130"/>
        <v>0</v>
      </c>
      <c r="T525" s="126">
        <f t="shared" ca="1" si="131"/>
        <v>46425.984248000001</v>
      </c>
      <c r="U525" s="127" t="str">
        <f t="shared" si="128"/>
        <v>N</v>
      </c>
      <c r="V525" s="128">
        <f t="shared" si="143"/>
        <v>64.13666666666667</v>
      </c>
      <c r="W525" s="129">
        <f t="shared" si="132"/>
        <v>64.13666666666667</v>
      </c>
      <c r="X525" s="197"/>
      <c r="Y525" s="115">
        <f t="shared" ca="1" si="133"/>
        <v>103</v>
      </c>
      <c r="Z525" s="118">
        <f t="shared" ca="1" si="134"/>
        <v>0.71780821917808213</v>
      </c>
      <c r="AA525" s="116"/>
      <c r="AB525" s="117">
        <f t="shared" si="135"/>
        <v>16.282944709883104</v>
      </c>
      <c r="AC525" s="118">
        <f t="shared" si="136"/>
        <v>0.761789362911796</v>
      </c>
      <c r="AE525" s="55"/>
      <c r="AF525" s="72"/>
      <c r="AG525" s="72"/>
      <c r="AH525" s="66"/>
      <c r="AJ525" t="s">
        <v>304</v>
      </c>
    </row>
    <row r="526" spans="1:36" ht="16" hidden="1" thickBot="1" x14ac:dyDescent="0.25">
      <c r="A526" s="119" t="s">
        <v>308</v>
      </c>
      <c r="B526" s="120" t="s">
        <v>1290</v>
      </c>
      <c r="C526" s="108" t="str">
        <f t="shared" si="137"/>
        <v>/Applications/Stellarium.app/Contents/Resources/nebulae/default/n2736.png</v>
      </c>
      <c r="D526" s="121" t="s">
        <v>1956</v>
      </c>
      <c r="E526" s="109"/>
      <c r="F526" s="122">
        <v>9</v>
      </c>
      <c r="G526" s="123">
        <v>1</v>
      </c>
      <c r="H526" s="122">
        <v>-47</v>
      </c>
      <c r="I526" s="124">
        <v>42</v>
      </c>
      <c r="J526" s="112" t="s">
        <v>880</v>
      </c>
      <c r="K526" s="125">
        <v>13.9</v>
      </c>
      <c r="L526" s="196"/>
      <c r="M526" s="110">
        <f t="shared" si="138"/>
        <v>-46.3</v>
      </c>
      <c r="N526" s="111">
        <f t="shared" si="139"/>
        <v>-8.519999999999996</v>
      </c>
      <c r="O526" s="112">
        <f t="shared" si="140"/>
        <v>9.0166666666666675</v>
      </c>
      <c r="P526" s="113">
        <f t="shared" ca="1" si="141"/>
        <v>46411.745168000001</v>
      </c>
      <c r="Q526" s="114">
        <f t="shared" ca="1" si="142"/>
        <v>46426.745168000001</v>
      </c>
      <c r="R526" s="114" t="b">
        <f t="shared" ca="1" si="129"/>
        <v>0</v>
      </c>
      <c r="S526" s="115">
        <f t="shared" ca="1" si="130"/>
        <v>0</v>
      </c>
      <c r="T526" s="126">
        <f t="shared" ca="1" si="131"/>
        <v>46426.745168000001</v>
      </c>
      <c r="U526" s="127" t="str">
        <f t="shared" si="128"/>
        <v>S</v>
      </c>
      <c r="V526" s="128">
        <f t="shared" si="143"/>
        <v>-8.519999999999996</v>
      </c>
      <c r="W526" s="129">
        <f t="shared" si="132"/>
        <v>-8.519999999999996</v>
      </c>
      <c r="X526" s="197"/>
      <c r="Y526" s="115">
        <f t="shared" ca="1" si="133"/>
        <v>102</v>
      </c>
      <c r="Z526" s="118">
        <f t="shared" ca="1" si="134"/>
        <v>0.72054794520547949</v>
      </c>
      <c r="AA526" s="116"/>
      <c r="AB526" s="117">
        <f t="shared" si="135"/>
        <v>16.332808188199593</v>
      </c>
      <c r="AC526" s="118">
        <f t="shared" si="136"/>
        <v>0.76386700784164974</v>
      </c>
      <c r="AE526" s="55"/>
      <c r="AF526" s="72"/>
      <c r="AG526" s="72"/>
      <c r="AH526" s="66"/>
      <c r="AJ526" t="s">
        <v>308</v>
      </c>
    </row>
    <row r="527" spans="1:36" ht="16" hidden="1" thickBot="1" x14ac:dyDescent="0.25">
      <c r="A527" s="119" t="s">
        <v>647</v>
      </c>
      <c r="B527" s="120" t="s">
        <v>1411</v>
      </c>
      <c r="C527" s="108" t="str">
        <f t="shared" si="137"/>
        <v>/Applications/Stellarium.app/Contents/Resources/nebulae/default/rcw38.png</v>
      </c>
      <c r="D527" s="121" t="s">
        <v>1957</v>
      </c>
      <c r="E527" s="109"/>
      <c r="F527" s="122">
        <v>9</v>
      </c>
      <c r="G527" s="123">
        <v>1</v>
      </c>
      <c r="H527" s="122">
        <v>-48</v>
      </c>
      <c r="I527" s="124">
        <v>15</v>
      </c>
      <c r="J527" s="112" t="s">
        <v>1112</v>
      </c>
      <c r="K527" s="125">
        <v>14.3</v>
      </c>
      <c r="L527" s="196"/>
      <c r="M527" s="110">
        <f t="shared" si="138"/>
        <v>-47.75</v>
      </c>
      <c r="N527" s="111">
        <f t="shared" si="139"/>
        <v>-9.9699999999999989</v>
      </c>
      <c r="O527" s="112">
        <f t="shared" si="140"/>
        <v>9.0166666666666675</v>
      </c>
      <c r="P527" s="113">
        <f t="shared" ca="1" si="141"/>
        <v>46411.745168000001</v>
      </c>
      <c r="Q527" s="114">
        <f t="shared" ca="1" si="142"/>
        <v>46426.745168000001</v>
      </c>
      <c r="R527" s="114" t="b">
        <f t="shared" ca="1" si="129"/>
        <v>0</v>
      </c>
      <c r="S527" s="115">
        <f t="shared" ca="1" si="130"/>
        <v>0</v>
      </c>
      <c r="T527" s="126">
        <f t="shared" ca="1" si="131"/>
        <v>46426.745168000001</v>
      </c>
      <c r="U527" s="127" t="str">
        <f t="shared" si="128"/>
        <v>S</v>
      </c>
      <c r="V527" s="128">
        <f t="shared" si="143"/>
        <v>-9.9699999999999989</v>
      </c>
      <c r="W527" s="129">
        <f t="shared" si="132"/>
        <v>-9.9699999999999989</v>
      </c>
      <c r="X527" s="197"/>
      <c r="Y527" s="115">
        <f t="shared" ca="1" si="133"/>
        <v>102</v>
      </c>
      <c r="Z527" s="118">
        <f t="shared" ca="1" si="134"/>
        <v>0.72054794520547949</v>
      </c>
      <c r="AA527" s="116"/>
      <c r="AB527" s="117">
        <f t="shared" si="135"/>
        <v>16.332808188199593</v>
      </c>
      <c r="AC527" s="118">
        <f t="shared" si="136"/>
        <v>0.76386700784164974</v>
      </c>
      <c r="AE527" s="55"/>
      <c r="AF527" s="72"/>
      <c r="AG527" s="72"/>
      <c r="AH527" s="66"/>
      <c r="AJ527" t="s">
        <v>647</v>
      </c>
    </row>
    <row r="528" spans="1:36" ht="16" hidden="1" thickBot="1" x14ac:dyDescent="0.25">
      <c r="A528" s="119" t="s">
        <v>310</v>
      </c>
      <c r="B528" s="120" t="s">
        <v>1269</v>
      </c>
      <c r="C528" s="108" t="str">
        <f t="shared" si="137"/>
        <v>/Applications/Stellarium.app/Contents/Resources/nebulae/default/n2775.png</v>
      </c>
      <c r="D528" s="121" t="s">
        <v>1958</v>
      </c>
      <c r="E528" s="109"/>
      <c r="F528" s="122">
        <v>9</v>
      </c>
      <c r="G528" s="123">
        <v>10</v>
      </c>
      <c r="H528" s="122">
        <v>6</v>
      </c>
      <c r="I528" s="124">
        <v>55</v>
      </c>
      <c r="J528" s="112" t="s">
        <v>882</v>
      </c>
      <c r="K528" s="125">
        <v>13.4</v>
      </c>
      <c r="L528" s="196"/>
      <c r="M528" s="110">
        <f t="shared" si="138"/>
        <v>6.916666666666667</v>
      </c>
      <c r="N528" s="111">
        <f t="shared" si="139"/>
        <v>44.696666666666665</v>
      </c>
      <c r="O528" s="112">
        <f t="shared" si="140"/>
        <v>9.1666666666666661</v>
      </c>
      <c r="P528" s="113">
        <f t="shared" ca="1" si="141"/>
        <v>46414.027928000003</v>
      </c>
      <c r="Q528" s="114">
        <f t="shared" ca="1" si="142"/>
        <v>46429.027928000003</v>
      </c>
      <c r="R528" s="114" t="b">
        <f t="shared" ca="1" si="129"/>
        <v>0</v>
      </c>
      <c r="S528" s="115">
        <f t="shared" ca="1" si="130"/>
        <v>0</v>
      </c>
      <c r="T528" s="126">
        <f t="shared" ca="1" si="131"/>
        <v>46429.027928000003</v>
      </c>
      <c r="U528" s="127" t="str">
        <f t="shared" si="128"/>
        <v>S</v>
      </c>
      <c r="V528" s="128">
        <f t="shared" si="143"/>
        <v>44.696666666666665</v>
      </c>
      <c r="W528" s="129">
        <f t="shared" si="132"/>
        <v>44.696666666666665</v>
      </c>
      <c r="X528" s="197"/>
      <c r="Y528" s="115">
        <f t="shared" ca="1" si="133"/>
        <v>100</v>
      </c>
      <c r="Z528" s="118">
        <f t="shared" ca="1" si="134"/>
        <v>0.72602739726027399</v>
      </c>
      <c r="AA528" s="116"/>
      <c r="AB528" s="117">
        <f t="shared" si="135"/>
        <v>16.482398623149074</v>
      </c>
      <c r="AC528" s="118">
        <f t="shared" si="136"/>
        <v>0.7700999426312114</v>
      </c>
      <c r="AE528" s="55"/>
      <c r="AF528" s="72"/>
      <c r="AG528" s="72"/>
      <c r="AH528" s="66"/>
      <c r="AJ528" t="s">
        <v>310</v>
      </c>
    </row>
    <row r="529" spans="1:36" ht="16" hidden="1" thickBot="1" x14ac:dyDescent="0.25">
      <c r="A529" s="119" t="s">
        <v>309</v>
      </c>
      <c r="B529" s="120" t="s">
        <v>1230</v>
      </c>
      <c r="C529" s="108" t="str">
        <f t="shared" si="137"/>
        <v>/Applications/Stellarium.app/Contents/Resources/nebulae/default/n2768.png</v>
      </c>
      <c r="D529" s="121" t="s">
        <v>1959</v>
      </c>
      <c r="E529" s="109"/>
      <c r="F529" s="122">
        <v>9</v>
      </c>
      <c r="G529" s="123">
        <v>12</v>
      </c>
      <c r="H529" s="122">
        <v>59</v>
      </c>
      <c r="I529" s="124">
        <v>55</v>
      </c>
      <c r="J529" s="112" t="s">
        <v>881</v>
      </c>
      <c r="K529" s="125">
        <v>13.9</v>
      </c>
      <c r="L529" s="196"/>
      <c r="M529" s="110">
        <f t="shared" si="138"/>
        <v>59.916666666666664</v>
      </c>
      <c r="N529" s="111">
        <f t="shared" si="139"/>
        <v>97.696666666666658</v>
      </c>
      <c r="O529" s="112">
        <f t="shared" si="140"/>
        <v>9.1999999999999993</v>
      </c>
      <c r="P529" s="113">
        <f t="shared" ca="1" si="141"/>
        <v>46414.535208000001</v>
      </c>
      <c r="Q529" s="114">
        <f t="shared" ca="1" si="142"/>
        <v>46429.535208000001</v>
      </c>
      <c r="R529" s="114" t="b">
        <f t="shared" ca="1" si="129"/>
        <v>0</v>
      </c>
      <c r="S529" s="115">
        <f t="shared" ca="1" si="130"/>
        <v>0</v>
      </c>
      <c r="T529" s="126">
        <f t="shared" ca="1" si="131"/>
        <v>46429.535208000001</v>
      </c>
      <c r="U529" s="127" t="str">
        <f t="shared" si="128"/>
        <v>N</v>
      </c>
      <c r="V529" s="128">
        <f t="shared" si="143"/>
        <v>82.303333333333342</v>
      </c>
      <c r="W529" s="129">
        <f t="shared" si="132"/>
        <v>82.303333333333342</v>
      </c>
      <c r="X529" s="197"/>
      <c r="Y529" s="115">
        <f t="shared" ca="1" si="133"/>
        <v>99</v>
      </c>
      <c r="Z529" s="118">
        <f t="shared" ca="1" si="134"/>
        <v>0.72876712328767124</v>
      </c>
      <c r="AA529" s="116"/>
      <c r="AB529" s="117">
        <f t="shared" si="135"/>
        <v>16.515640942026739</v>
      </c>
      <c r="AC529" s="118">
        <f t="shared" si="136"/>
        <v>0.77148503925111411</v>
      </c>
      <c r="AE529" s="55"/>
      <c r="AF529" s="72"/>
      <c r="AG529" s="72"/>
      <c r="AH529" s="66"/>
      <c r="AJ529" t="s">
        <v>309</v>
      </c>
    </row>
    <row r="530" spans="1:36" ht="16" hidden="1" thickBot="1" x14ac:dyDescent="0.25">
      <c r="A530" s="119" t="s">
        <v>312</v>
      </c>
      <c r="B530" s="120" t="s">
        <v>1191</v>
      </c>
      <c r="C530" s="108" t="str">
        <f t="shared" si="137"/>
        <v>/Applications/Stellarium.app/Contents/Resources/nebulae/default/n2808.png</v>
      </c>
      <c r="D530" s="121" t="s">
        <v>1960</v>
      </c>
      <c r="E530" s="109"/>
      <c r="F530" s="122">
        <v>9</v>
      </c>
      <c r="G530" s="123">
        <v>13</v>
      </c>
      <c r="H530" s="122">
        <v>-66</v>
      </c>
      <c r="I530" s="124">
        <v>58</v>
      </c>
      <c r="J530" s="112" t="s">
        <v>884</v>
      </c>
      <c r="K530" s="125">
        <v>9.5</v>
      </c>
      <c r="L530" s="196"/>
      <c r="M530" s="110">
        <f t="shared" si="138"/>
        <v>-65.033333333333331</v>
      </c>
      <c r="N530" s="111">
        <f t="shared" si="139"/>
        <v>-27.25333333333333</v>
      </c>
      <c r="O530" s="112">
        <f t="shared" si="140"/>
        <v>9.2166666666666668</v>
      </c>
      <c r="P530" s="113">
        <f t="shared" ca="1" si="141"/>
        <v>46414.788847999997</v>
      </c>
      <c r="Q530" s="114">
        <f t="shared" ca="1" si="142"/>
        <v>46429.788847999997</v>
      </c>
      <c r="R530" s="114" t="b">
        <f t="shared" ca="1" si="129"/>
        <v>0</v>
      </c>
      <c r="S530" s="115">
        <f t="shared" ca="1" si="130"/>
        <v>0</v>
      </c>
      <c r="T530" s="126">
        <f t="shared" ca="1" si="131"/>
        <v>46429.788847999997</v>
      </c>
      <c r="U530" s="127" t="str">
        <f t="shared" si="128"/>
        <v>S</v>
      </c>
      <c r="V530" s="128">
        <f t="shared" si="143"/>
        <v>-27.25333333333333</v>
      </c>
      <c r="W530" s="129">
        <f t="shared" si="132"/>
        <v>-27.25333333333333</v>
      </c>
      <c r="X530" s="197"/>
      <c r="Y530" s="115">
        <f t="shared" ca="1" si="133"/>
        <v>99</v>
      </c>
      <c r="Z530" s="118">
        <f t="shared" ca="1" si="134"/>
        <v>0.72876712328767124</v>
      </c>
      <c r="AA530" s="116"/>
      <c r="AB530" s="117">
        <f t="shared" si="135"/>
        <v>16.532262101465573</v>
      </c>
      <c r="AC530" s="118">
        <f t="shared" si="136"/>
        <v>0.77217758756106558</v>
      </c>
      <c r="AE530" s="55"/>
      <c r="AF530" s="72"/>
      <c r="AG530" s="72"/>
      <c r="AH530" s="66"/>
      <c r="AJ530" t="s">
        <v>312</v>
      </c>
    </row>
    <row r="531" spans="1:36" ht="16" hidden="1" thickBot="1" x14ac:dyDescent="0.25">
      <c r="A531" s="119" t="s">
        <v>313</v>
      </c>
      <c r="B531" s="120" t="s">
        <v>1277</v>
      </c>
      <c r="C531" s="108" t="str">
        <f t="shared" si="137"/>
        <v>/Applications/Stellarium.app/Contents/Resources/nebulae/default/n2818.png</v>
      </c>
      <c r="D531" s="121" t="s">
        <v>1961</v>
      </c>
      <c r="E531" s="109"/>
      <c r="F531" s="122">
        <v>9</v>
      </c>
      <c r="G531" s="123">
        <v>16</v>
      </c>
      <c r="H531" s="122">
        <v>-37</v>
      </c>
      <c r="I531" s="124">
        <v>21</v>
      </c>
      <c r="J531" s="112" t="s">
        <v>885</v>
      </c>
      <c r="K531" s="125">
        <v>8.5</v>
      </c>
      <c r="L531" s="196"/>
      <c r="M531" s="110">
        <f t="shared" si="138"/>
        <v>-36.65</v>
      </c>
      <c r="N531" s="111">
        <f t="shared" si="139"/>
        <v>1.1300000000000026</v>
      </c>
      <c r="O531" s="112">
        <f t="shared" si="140"/>
        <v>9.2666666666666675</v>
      </c>
      <c r="P531" s="113">
        <f t="shared" ca="1" si="141"/>
        <v>46415.549767999997</v>
      </c>
      <c r="Q531" s="114">
        <f t="shared" ca="1" si="142"/>
        <v>46430.549767999997</v>
      </c>
      <c r="R531" s="114" t="b">
        <f t="shared" ca="1" si="129"/>
        <v>0</v>
      </c>
      <c r="S531" s="115">
        <f t="shared" ca="1" si="130"/>
        <v>0</v>
      </c>
      <c r="T531" s="126">
        <f t="shared" ca="1" si="131"/>
        <v>46430.549767999997</v>
      </c>
      <c r="U531" s="127" t="str">
        <f t="shared" si="128"/>
        <v>S</v>
      </c>
      <c r="V531" s="128">
        <f t="shared" si="143"/>
        <v>1.1300000000000026</v>
      </c>
      <c r="W531" s="129">
        <f t="shared" si="132"/>
        <v>1.1300000000000026</v>
      </c>
      <c r="X531" s="197"/>
      <c r="Y531" s="115">
        <f t="shared" ca="1" si="133"/>
        <v>98</v>
      </c>
      <c r="Z531" s="118">
        <f t="shared" ca="1" si="134"/>
        <v>0.73150684931506849</v>
      </c>
      <c r="AA531" s="116"/>
      <c r="AB531" s="117">
        <f t="shared" si="135"/>
        <v>16.582125579782062</v>
      </c>
      <c r="AC531" s="118">
        <f t="shared" si="136"/>
        <v>0.77425523249091921</v>
      </c>
      <c r="AE531" s="55"/>
      <c r="AF531" s="72"/>
      <c r="AG531" s="72"/>
      <c r="AH531" s="66"/>
      <c r="AJ531" t="s">
        <v>313</v>
      </c>
    </row>
    <row r="532" spans="1:36" ht="16" hidden="1" thickBot="1" x14ac:dyDescent="0.25">
      <c r="A532" s="119" t="s">
        <v>315</v>
      </c>
      <c r="B532" s="120" t="s">
        <v>1277</v>
      </c>
      <c r="C532" s="108" t="str">
        <f t="shared" si="137"/>
        <v>/Applications/Stellarium.app/Contents/Resources/nebulae/default/n2867.png</v>
      </c>
      <c r="D532" s="121" t="s">
        <v>1962</v>
      </c>
      <c r="E532" s="109"/>
      <c r="F532" s="122">
        <v>9</v>
      </c>
      <c r="G532" s="123">
        <v>21</v>
      </c>
      <c r="H532" s="122">
        <v>-59</v>
      </c>
      <c r="I532" s="124">
        <v>41</v>
      </c>
      <c r="J532" s="112" t="s">
        <v>887</v>
      </c>
      <c r="K532" s="125">
        <v>12.8</v>
      </c>
      <c r="L532" s="196"/>
      <c r="M532" s="110">
        <f t="shared" si="138"/>
        <v>-58.31666666666667</v>
      </c>
      <c r="N532" s="111">
        <f t="shared" si="139"/>
        <v>-20.536666666666669</v>
      </c>
      <c r="O532" s="112">
        <f t="shared" si="140"/>
        <v>9.35</v>
      </c>
      <c r="P532" s="113">
        <f t="shared" ca="1" si="141"/>
        <v>46416.817968000003</v>
      </c>
      <c r="Q532" s="114">
        <f t="shared" ca="1" si="142"/>
        <v>46431.817968000003</v>
      </c>
      <c r="R532" s="114" t="b">
        <f t="shared" ca="1" si="129"/>
        <v>0</v>
      </c>
      <c r="S532" s="115">
        <f t="shared" ca="1" si="130"/>
        <v>0</v>
      </c>
      <c r="T532" s="126">
        <f t="shared" ca="1" si="131"/>
        <v>46431.817968000003</v>
      </c>
      <c r="U532" s="127" t="str">
        <f t="shared" si="128"/>
        <v>S</v>
      </c>
      <c r="V532" s="128">
        <f t="shared" si="143"/>
        <v>-20.536666666666669</v>
      </c>
      <c r="W532" s="129">
        <f t="shared" si="132"/>
        <v>-20.536666666666669</v>
      </c>
      <c r="X532" s="197"/>
      <c r="Y532" s="115">
        <f t="shared" ca="1" si="133"/>
        <v>97</v>
      </c>
      <c r="Z532" s="118">
        <f t="shared" ca="1" si="134"/>
        <v>0.73424657534246573</v>
      </c>
      <c r="AA532" s="116"/>
      <c r="AB532" s="117">
        <f t="shared" si="135"/>
        <v>16.665231376976219</v>
      </c>
      <c r="AC532" s="118">
        <f t="shared" si="136"/>
        <v>0.77771797404067577</v>
      </c>
      <c r="AE532" s="55"/>
      <c r="AF532" s="72"/>
      <c r="AG532" s="72"/>
      <c r="AH532" s="66"/>
      <c r="AJ532" t="s">
        <v>315</v>
      </c>
    </row>
    <row r="533" spans="1:36" ht="16" hidden="1" thickBot="1" x14ac:dyDescent="0.25">
      <c r="A533" s="119" t="s">
        <v>311</v>
      </c>
      <c r="B533" s="120" t="s">
        <v>1272</v>
      </c>
      <c r="C533" s="108" t="str">
        <f t="shared" si="137"/>
        <v>/Applications/Stellarium.app/Contents/Resources/nebulae/default/n2805-vasey.png</v>
      </c>
      <c r="D533" s="121" t="s">
        <v>1963</v>
      </c>
      <c r="E533" s="109"/>
      <c r="F533" s="122">
        <v>9</v>
      </c>
      <c r="G533" s="123">
        <v>22</v>
      </c>
      <c r="H533" s="122">
        <v>64</v>
      </c>
      <c r="I533" s="124">
        <v>1</v>
      </c>
      <c r="J533" s="112" t="s">
        <v>883</v>
      </c>
      <c r="K533" s="125">
        <v>13.4</v>
      </c>
      <c r="L533" s="196"/>
      <c r="M533" s="110">
        <f t="shared" si="138"/>
        <v>64.016666666666666</v>
      </c>
      <c r="N533" s="111">
        <f t="shared" si="139"/>
        <v>101.79666666666667</v>
      </c>
      <c r="O533" s="112">
        <f t="shared" si="140"/>
        <v>9.3666666666666671</v>
      </c>
      <c r="P533" s="113">
        <f t="shared" ca="1" si="141"/>
        <v>46417.071607999998</v>
      </c>
      <c r="Q533" s="114">
        <f t="shared" ca="1" si="142"/>
        <v>46432.071607999998</v>
      </c>
      <c r="R533" s="114" t="b">
        <f t="shared" ca="1" si="129"/>
        <v>0</v>
      </c>
      <c r="S533" s="115">
        <f t="shared" ca="1" si="130"/>
        <v>0</v>
      </c>
      <c r="T533" s="126">
        <f t="shared" ca="1" si="131"/>
        <v>46432.071607999998</v>
      </c>
      <c r="U533" s="127" t="str">
        <f t="shared" si="128"/>
        <v>N</v>
      </c>
      <c r="V533" s="128">
        <f t="shared" si="143"/>
        <v>78.203333333333333</v>
      </c>
      <c r="W533" s="129">
        <f t="shared" si="132"/>
        <v>78.203333333333333</v>
      </c>
      <c r="X533" s="197"/>
      <c r="Y533" s="115">
        <f t="shared" ca="1" si="133"/>
        <v>97</v>
      </c>
      <c r="Z533" s="118">
        <f t="shared" ca="1" si="134"/>
        <v>0.73424657534246573</v>
      </c>
      <c r="AA533" s="116"/>
      <c r="AB533" s="117">
        <f t="shared" si="135"/>
        <v>16.68185253641505</v>
      </c>
      <c r="AC533" s="118">
        <f t="shared" si="136"/>
        <v>0.77841052235062713</v>
      </c>
      <c r="AE533" s="55"/>
      <c r="AF533" s="72"/>
      <c r="AG533" s="72"/>
      <c r="AH533" s="66"/>
      <c r="AJ533" t="s">
        <v>311</v>
      </c>
    </row>
    <row r="534" spans="1:36" ht="16" hidden="1" thickBot="1" x14ac:dyDescent="0.25">
      <c r="A534" s="119" t="s">
        <v>314</v>
      </c>
      <c r="B534" s="120" t="s">
        <v>1230</v>
      </c>
      <c r="C534" s="108" t="str">
        <f t="shared" si="137"/>
        <v>/Applications/Stellarium.app/Contents/Resources/nebulae/default/n2841-vasey.png</v>
      </c>
      <c r="D534" s="121" t="s">
        <v>1964</v>
      </c>
      <c r="E534" s="109"/>
      <c r="F534" s="122">
        <v>9</v>
      </c>
      <c r="G534" s="123">
        <v>23</v>
      </c>
      <c r="H534" s="122">
        <v>50</v>
      </c>
      <c r="I534" s="124">
        <v>56</v>
      </c>
      <c r="J534" s="112" t="s">
        <v>886</v>
      </c>
      <c r="K534" s="125">
        <v>13.4</v>
      </c>
      <c r="L534" s="196"/>
      <c r="M534" s="110">
        <f t="shared" si="138"/>
        <v>50.93333333333333</v>
      </c>
      <c r="N534" s="111">
        <f t="shared" si="139"/>
        <v>88.713333333333338</v>
      </c>
      <c r="O534" s="112">
        <f t="shared" si="140"/>
        <v>9.3833333333333329</v>
      </c>
      <c r="P534" s="113">
        <f t="shared" ca="1" si="141"/>
        <v>46417.325248000001</v>
      </c>
      <c r="Q534" s="114">
        <f t="shared" ca="1" si="142"/>
        <v>46432.325248000001</v>
      </c>
      <c r="R534" s="114" t="b">
        <f t="shared" ca="1" si="129"/>
        <v>0</v>
      </c>
      <c r="S534" s="115">
        <f t="shared" ca="1" si="130"/>
        <v>0</v>
      </c>
      <c r="T534" s="126">
        <f t="shared" ca="1" si="131"/>
        <v>46432.325248000001</v>
      </c>
      <c r="U534" s="127" t="str">
        <f t="shared" si="128"/>
        <v>S</v>
      </c>
      <c r="V534" s="128">
        <f t="shared" si="143"/>
        <v>88.713333333333338</v>
      </c>
      <c r="W534" s="129">
        <f t="shared" si="132"/>
        <v>88.713333333333338</v>
      </c>
      <c r="X534" s="197"/>
      <c r="Y534" s="115">
        <f t="shared" ca="1" si="133"/>
        <v>97</v>
      </c>
      <c r="Z534" s="118">
        <f t="shared" ca="1" si="134"/>
        <v>0.73424657534246573</v>
      </c>
      <c r="AA534" s="116"/>
      <c r="AB534" s="117">
        <f t="shared" si="135"/>
        <v>16.698473695853881</v>
      </c>
      <c r="AC534" s="118">
        <f t="shared" si="136"/>
        <v>0.77910307066057838</v>
      </c>
      <c r="AE534" s="55"/>
      <c r="AF534" s="72"/>
      <c r="AG534" s="72"/>
      <c r="AH534" s="66"/>
      <c r="AJ534" t="s">
        <v>314</v>
      </c>
    </row>
    <row r="535" spans="1:36" ht="16" hidden="1" thickBot="1" x14ac:dyDescent="0.25">
      <c r="A535" s="119" t="s">
        <v>316</v>
      </c>
      <c r="B535" s="120" t="s">
        <v>1277</v>
      </c>
      <c r="C535" s="108" t="str">
        <f t="shared" si="137"/>
        <v>/Applications/Stellarium.app/Contents/Resources/nebulae/default/n2899.png</v>
      </c>
      <c r="D535" s="121" t="s">
        <v>1965</v>
      </c>
      <c r="E535" s="109"/>
      <c r="F535" s="122">
        <v>9</v>
      </c>
      <c r="G535" s="123">
        <v>27</v>
      </c>
      <c r="H535" s="122">
        <v>-57</v>
      </c>
      <c r="I535" s="124">
        <v>51</v>
      </c>
      <c r="J535" s="112" t="s">
        <v>888</v>
      </c>
      <c r="K535" s="125">
        <v>12.8</v>
      </c>
      <c r="L535" s="196"/>
      <c r="M535" s="110">
        <f t="shared" si="138"/>
        <v>-56.15</v>
      </c>
      <c r="N535" s="111">
        <f t="shared" si="139"/>
        <v>-18.369999999999997</v>
      </c>
      <c r="O535" s="112">
        <f t="shared" si="140"/>
        <v>9.4499999999999993</v>
      </c>
      <c r="P535" s="113">
        <f t="shared" ca="1" si="141"/>
        <v>46418.339807999997</v>
      </c>
      <c r="Q535" s="114">
        <f t="shared" ca="1" si="142"/>
        <v>46433.339807999997</v>
      </c>
      <c r="R535" s="114" t="b">
        <f t="shared" ca="1" si="129"/>
        <v>0</v>
      </c>
      <c r="S535" s="115">
        <f t="shared" ca="1" si="130"/>
        <v>0</v>
      </c>
      <c r="T535" s="126">
        <f t="shared" ca="1" si="131"/>
        <v>46433.339807999997</v>
      </c>
      <c r="U535" s="127" t="str">
        <f t="shared" si="128"/>
        <v>S</v>
      </c>
      <c r="V535" s="128">
        <f t="shared" si="143"/>
        <v>-18.369999999999997</v>
      </c>
      <c r="W535" s="129">
        <f t="shared" si="132"/>
        <v>-18.369999999999997</v>
      </c>
      <c r="X535" s="197"/>
      <c r="Y535" s="115">
        <f t="shared" ca="1" si="133"/>
        <v>96</v>
      </c>
      <c r="Z535" s="118">
        <f t="shared" ca="1" si="134"/>
        <v>0.73698630136986298</v>
      </c>
      <c r="AA535" s="116"/>
      <c r="AB535" s="117">
        <f t="shared" si="135"/>
        <v>16.764958333609208</v>
      </c>
      <c r="AC535" s="118">
        <f t="shared" si="136"/>
        <v>0.7818732639003837</v>
      </c>
      <c r="AE535" s="55"/>
      <c r="AF535" s="72"/>
      <c r="AG535" s="72"/>
      <c r="AH535" s="66"/>
      <c r="AJ535" t="s">
        <v>316</v>
      </c>
    </row>
    <row r="536" spans="1:36" ht="16" hidden="1" thickBot="1" x14ac:dyDescent="0.25">
      <c r="A536" s="119" t="s">
        <v>317</v>
      </c>
      <c r="B536" s="120" t="s">
        <v>1230</v>
      </c>
      <c r="C536" s="108" t="str">
        <f t="shared" si="137"/>
        <v>/Applications/Stellarium.app/Contents/Resources/nebulae/default/n2903oleg.png</v>
      </c>
      <c r="D536" s="121" t="s">
        <v>1966</v>
      </c>
      <c r="E536" s="109"/>
      <c r="F536" s="122">
        <v>9</v>
      </c>
      <c r="G536" s="123">
        <v>33</v>
      </c>
      <c r="H536" s="122">
        <v>21</v>
      </c>
      <c r="I536" s="124">
        <v>15</v>
      </c>
      <c r="J536" s="112" t="s">
        <v>889</v>
      </c>
      <c r="K536" s="125">
        <v>13.5</v>
      </c>
      <c r="L536" s="196"/>
      <c r="M536" s="110">
        <f t="shared" si="138"/>
        <v>21.25</v>
      </c>
      <c r="N536" s="111">
        <f t="shared" si="139"/>
        <v>59.03</v>
      </c>
      <c r="O536" s="112">
        <f t="shared" si="140"/>
        <v>9.5500000000000007</v>
      </c>
      <c r="P536" s="113">
        <f t="shared" ca="1" si="141"/>
        <v>46419.861647999998</v>
      </c>
      <c r="Q536" s="114">
        <f t="shared" ca="1" si="142"/>
        <v>46434.861647999998</v>
      </c>
      <c r="R536" s="114" t="b">
        <f t="shared" ca="1" si="129"/>
        <v>0</v>
      </c>
      <c r="S536" s="115">
        <f t="shared" ca="1" si="130"/>
        <v>0</v>
      </c>
      <c r="T536" s="126">
        <f t="shared" ca="1" si="131"/>
        <v>46434.861647999998</v>
      </c>
      <c r="U536" s="127" t="str">
        <f t="shared" si="128"/>
        <v>S</v>
      </c>
      <c r="V536" s="128">
        <f t="shared" si="143"/>
        <v>59.03</v>
      </c>
      <c r="W536" s="129">
        <f t="shared" si="132"/>
        <v>59.03</v>
      </c>
      <c r="X536" s="197"/>
      <c r="Y536" s="115">
        <f t="shared" ca="1" si="133"/>
        <v>94</v>
      </c>
      <c r="Z536" s="118">
        <f t="shared" ca="1" si="134"/>
        <v>0.74246575342465748</v>
      </c>
      <c r="AA536" s="116"/>
      <c r="AB536" s="117">
        <f t="shared" si="135"/>
        <v>16.864685290242196</v>
      </c>
      <c r="AC536" s="118">
        <f t="shared" si="136"/>
        <v>0.78602855376009151</v>
      </c>
      <c r="AE536" s="55"/>
      <c r="AF536" s="72"/>
      <c r="AG536" s="72"/>
      <c r="AH536" s="66"/>
      <c r="AJ536" t="s">
        <v>317</v>
      </c>
    </row>
    <row r="537" spans="1:36" ht="16" hidden="1" thickBot="1" x14ac:dyDescent="0.25">
      <c r="A537" s="119" t="s">
        <v>318</v>
      </c>
      <c r="B537" s="120" t="s">
        <v>1230</v>
      </c>
      <c r="C537" s="108" t="str">
        <f t="shared" si="137"/>
        <v>/Applications/Stellarium.app/Contents/Resources/nebulae/default/n2936.png</v>
      </c>
      <c r="D537" s="121" t="s">
        <v>1967</v>
      </c>
      <c r="E537" s="109"/>
      <c r="F537" s="122">
        <v>9</v>
      </c>
      <c r="G537" s="123">
        <v>37</v>
      </c>
      <c r="H537" s="122">
        <v>2</v>
      </c>
      <c r="I537" s="124">
        <v>44</v>
      </c>
      <c r="J537" s="112" t="s">
        <v>890</v>
      </c>
      <c r="K537" s="125">
        <v>14.5</v>
      </c>
      <c r="L537" s="196"/>
      <c r="M537" s="110">
        <f t="shared" si="138"/>
        <v>2.7333333333333334</v>
      </c>
      <c r="N537" s="111">
        <f t="shared" si="139"/>
        <v>40.513333333333335</v>
      </c>
      <c r="O537" s="112">
        <f t="shared" si="140"/>
        <v>9.6166666666666671</v>
      </c>
      <c r="P537" s="113">
        <f t="shared" ca="1" si="141"/>
        <v>46420.876208000001</v>
      </c>
      <c r="Q537" s="114">
        <f t="shared" ca="1" si="142"/>
        <v>46435.876208000001</v>
      </c>
      <c r="R537" s="114" t="b">
        <f t="shared" ca="1" si="129"/>
        <v>0</v>
      </c>
      <c r="S537" s="115">
        <f t="shared" ca="1" si="130"/>
        <v>0</v>
      </c>
      <c r="T537" s="126">
        <f t="shared" ca="1" si="131"/>
        <v>46435.876208000001</v>
      </c>
      <c r="U537" s="127" t="str">
        <f t="shared" si="128"/>
        <v>S</v>
      </c>
      <c r="V537" s="128">
        <f t="shared" si="143"/>
        <v>40.513333333333335</v>
      </c>
      <c r="W537" s="129">
        <f t="shared" si="132"/>
        <v>40.513333333333335</v>
      </c>
      <c r="X537" s="197"/>
      <c r="Y537" s="115">
        <f t="shared" ca="1" si="133"/>
        <v>93</v>
      </c>
      <c r="Z537" s="118">
        <f t="shared" ca="1" si="134"/>
        <v>0.74520547945205484</v>
      </c>
      <c r="AA537" s="116"/>
      <c r="AB537" s="117">
        <f t="shared" si="135"/>
        <v>16.931169927997519</v>
      </c>
      <c r="AC537" s="118">
        <f t="shared" si="136"/>
        <v>0.78879874699989661</v>
      </c>
      <c r="AE537" s="55"/>
      <c r="AF537" s="72"/>
      <c r="AG537" s="72"/>
      <c r="AH537" s="66"/>
      <c r="AJ537" t="s">
        <v>318</v>
      </c>
    </row>
    <row r="538" spans="1:36" ht="16" hidden="1" thickBot="1" x14ac:dyDescent="0.25">
      <c r="A538" s="119" t="s">
        <v>696</v>
      </c>
      <c r="B538" s="120" t="s">
        <v>1427</v>
      </c>
      <c r="C538" s="108" t="str">
        <f t="shared" si="137"/>
        <v>/Applications/Stellarium.app/Contents/Resources/nebulae/default/abell33.png</v>
      </c>
      <c r="D538" s="121" t="s">
        <v>1968</v>
      </c>
      <c r="E538" s="109"/>
      <c r="F538" s="122">
        <v>9</v>
      </c>
      <c r="G538" s="123">
        <v>39</v>
      </c>
      <c r="H538" s="122">
        <v>-3</v>
      </c>
      <c r="I538" s="124">
        <v>7</v>
      </c>
      <c r="J538" s="112" t="s">
        <v>1172</v>
      </c>
      <c r="K538" s="125">
        <v>15.6</v>
      </c>
      <c r="L538" s="196"/>
      <c r="M538" s="110">
        <f t="shared" si="138"/>
        <v>-2.8833333333333333</v>
      </c>
      <c r="N538" s="111">
        <f t="shared" si="139"/>
        <v>34.896666666666668</v>
      </c>
      <c r="O538" s="112">
        <f t="shared" si="140"/>
        <v>9.65</v>
      </c>
      <c r="P538" s="113">
        <f t="shared" ca="1" si="141"/>
        <v>46421.383487999999</v>
      </c>
      <c r="Q538" s="114">
        <f t="shared" ca="1" si="142"/>
        <v>46436.383487999999</v>
      </c>
      <c r="R538" s="114" t="b">
        <f t="shared" ca="1" si="129"/>
        <v>0</v>
      </c>
      <c r="S538" s="115">
        <f t="shared" ca="1" si="130"/>
        <v>0</v>
      </c>
      <c r="T538" s="126">
        <f t="shared" ca="1" si="131"/>
        <v>46436.383487999999</v>
      </c>
      <c r="U538" s="127" t="str">
        <f t="shared" si="128"/>
        <v>S</v>
      </c>
      <c r="V538" s="128">
        <f t="shared" si="143"/>
        <v>34.896666666666668</v>
      </c>
      <c r="W538" s="129">
        <f t="shared" si="132"/>
        <v>34.896666666666668</v>
      </c>
      <c r="X538" s="197"/>
      <c r="Y538" s="115">
        <f t="shared" ca="1" si="133"/>
        <v>93</v>
      </c>
      <c r="Z538" s="118">
        <f t="shared" ca="1" si="134"/>
        <v>0.74520547945205484</v>
      </c>
      <c r="AA538" s="116"/>
      <c r="AB538" s="117">
        <f t="shared" si="135"/>
        <v>16.964412246875181</v>
      </c>
      <c r="AC538" s="118">
        <f t="shared" si="136"/>
        <v>0.79018384361979921</v>
      </c>
      <c r="AE538" s="55"/>
      <c r="AF538" s="72"/>
      <c r="AG538" s="72"/>
      <c r="AH538" s="66"/>
      <c r="AJ538" t="s">
        <v>696</v>
      </c>
    </row>
    <row r="539" spans="1:36" ht="16" hidden="1" thickBot="1" x14ac:dyDescent="0.25">
      <c r="A539" s="119" t="s">
        <v>704</v>
      </c>
      <c r="B539" s="120" t="s">
        <v>1434</v>
      </c>
      <c r="C539" s="108" t="str">
        <f t="shared" si="137"/>
        <v>/Applications/Stellarium.app/Contents/Resources/nebulae/default/frosty_leo.png</v>
      </c>
      <c r="D539" s="121" t="s">
        <v>1969</v>
      </c>
      <c r="E539" s="109"/>
      <c r="F539" s="122">
        <v>9</v>
      </c>
      <c r="G539" s="123">
        <v>39</v>
      </c>
      <c r="H539" s="122">
        <v>11</v>
      </c>
      <c r="I539" s="124">
        <v>58</v>
      </c>
      <c r="J539" s="112" t="s">
        <v>1179</v>
      </c>
      <c r="K539" s="125">
        <v>13</v>
      </c>
      <c r="L539" s="196"/>
      <c r="M539" s="110">
        <f t="shared" si="138"/>
        <v>11.966666666666667</v>
      </c>
      <c r="N539" s="111">
        <f t="shared" si="139"/>
        <v>49.74666666666667</v>
      </c>
      <c r="O539" s="112">
        <f t="shared" si="140"/>
        <v>9.65</v>
      </c>
      <c r="P539" s="113">
        <f t="shared" ca="1" si="141"/>
        <v>46421.383487999999</v>
      </c>
      <c r="Q539" s="114">
        <f t="shared" ca="1" si="142"/>
        <v>46436.383487999999</v>
      </c>
      <c r="R539" s="114" t="b">
        <f t="shared" ca="1" si="129"/>
        <v>0</v>
      </c>
      <c r="S539" s="115">
        <f t="shared" ca="1" si="130"/>
        <v>0</v>
      </c>
      <c r="T539" s="126">
        <f t="shared" ca="1" si="131"/>
        <v>46436.383487999999</v>
      </c>
      <c r="U539" s="127" t="str">
        <f t="shared" si="128"/>
        <v>S</v>
      </c>
      <c r="V539" s="128">
        <f t="shared" si="143"/>
        <v>49.74666666666667</v>
      </c>
      <c r="W539" s="129">
        <f t="shared" si="132"/>
        <v>49.74666666666667</v>
      </c>
      <c r="X539" s="197"/>
      <c r="Y539" s="115">
        <f t="shared" ca="1" si="133"/>
        <v>93</v>
      </c>
      <c r="Z539" s="118">
        <f t="shared" ca="1" si="134"/>
        <v>0.74520547945205484</v>
      </c>
      <c r="AA539" s="116"/>
      <c r="AB539" s="117">
        <f t="shared" si="135"/>
        <v>16.964412246875181</v>
      </c>
      <c r="AC539" s="118">
        <f t="shared" si="136"/>
        <v>0.79018384361979921</v>
      </c>
      <c r="AE539" s="55"/>
      <c r="AF539" s="72"/>
      <c r="AG539" s="72"/>
      <c r="AH539" s="66"/>
      <c r="AJ539" t="s">
        <v>704</v>
      </c>
    </row>
    <row r="540" spans="1:36" ht="16" hidden="1" thickBot="1" x14ac:dyDescent="0.25">
      <c r="A540" s="119" t="s">
        <v>321</v>
      </c>
      <c r="B540" s="120" t="s">
        <v>1269</v>
      </c>
      <c r="C540" s="108" t="str">
        <f t="shared" si="137"/>
        <v>/Applications/Stellarium.app/Contents/Resources/nebulae/default/n2997.png</v>
      </c>
      <c r="D540" s="121" t="s">
        <v>1970</v>
      </c>
      <c r="E540" s="109"/>
      <c r="F540" s="122">
        <v>9</v>
      </c>
      <c r="G540" s="123">
        <v>45</v>
      </c>
      <c r="H540" s="122">
        <v>-32</v>
      </c>
      <c r="I540" s="124">
        <v>40</v>
      </c>
      <c r="J540" s="112" t="s">
        <v>893</v>
      </c>
      <c r="K540" s="125">
        <v>13.9</v>
      </c>
      <c r="L540" s="196"/>
      <c r="M540" s="110">
        <f t="shared" si="138"/>
        <v>-31.333333333333332</v>
      </c>
      <c r="N540" s="111">
        <f t="shared" si="139"/>
        <v>6.446666666666669</v>
      </c>
      <c r="O540" s="112">
        <f t="shared" si="140"/>
        <v>9.75</v>
      </c>
      <c r="P540" s="113">
        <f t="shared" ca="1" si="141"/>
        <v>46422.905328000001</v>
      </c>
      <c r="Q540" s="114">
        <f t="shared" ca="1" si="142"/>
        <v>46437.905328000001</v>
      </c>
      <c r="R540" s="114" t="b">
        <f t="shared" ca="1" si="129"/>
        <v>0</v>
      </c>
      <c r="S540" s="115">
        <f t="shared" ca="1" si="130"/>
        <v>0</v>
      </c>
      <c r="T540" s="126">
        <f t="shared" ca="1" si="131"/>
        <v>46437.905328000001</v>
      </c>
      <c r="U540" s="127" t="str">
        <f t="shared" si="128"/>
        <v>S</v>
      </c>
      <c r="V540" s="128">
        <f t="shared" si="143"/>
        <v>6.446666666666669</v>
      </c>
      <c r="W540" s="129">
        <f t="shared" si="132"/>
        <v>6.446666666666669</v>
      </c>
      <c r="X540" s="197"/>
      <c r="Y540" s="115">
        <f t="shared" ca="1" si="133"/>
        <v>91</v>
      </c>
      <c r="Z540" s="118">
        <f t="shared" ca="1" si="134"/>
        <v>0.75068493150684934</v>
      </c>
      <c r="AA540" s="116"/>
      <c r="AB540" s="117">
        <f t="shared" si="135"/>
        <v>17.064139203508169</v>
      </c>
      <c r="AC540" s="118">
        <f t="shared" si="136"/>
        <v>0.79433913347950702</v>
      </c>
      <c r="AE540" s="55"/>
      <c r="AF540" s="72"/>
      <c r="AG540" s="72"/>
      <c r="AH540" s="66"/>
      <c r="AJ540" t="s">
        <v>321</v>
      </c>
    </row>
    <row r="541" spans="1:36" ht="16" hidden="1" thickBot="1" x14ac:dyDescent="0.25">
      <c r="A541" s="119" t="s">
        <v>319</v>
      </c>
      <c r="B541" s="120" t="s">
        <v>1269</v>
      </c>
      <c r="C541" s="108" t="str">
        <f t="shared" si="137"/>
        <v>/Applications/Stellarium.app/Contents/Resources/nebulae/default/n2976-sdss.png</v>
      </c>
      <c r="D541" s="121" t="s">
        <v>1971</v>
      </c>
      <c r="E541" s="109"/>
      <c r="F541" s="122">
        <v>9</v>
      </c>
      <c r="G541" s="123">
        <v>47</v>
      </c>
      <c r="H541" s="122">
        <v>67</v>
      </c>
      <c r="I541" s="124">
        <v>50</v>
      </c>
      <c r="J541" s="112" t="s">
        <v>891</v>
      </c>
      <c r="K541" s="125">
        <v>13.5</v>
      </c>
      <c r="L541" s="196"/>
      <c r="M541" s="110">
        <f t="shared" si="138"/>
        <v>67.833333333333329</v>
      </c>
      <c r="N541" s="111">
        <f t="shared" si="139"/>
        <v>105.61333333333333</v>
      </c>
      <c r="O541" s="112">
        <f t="shared" si="140"/>
        <v>9.7833333333333332</v>
      </c>
      <c r="P541" s="113">
        <f t="shared" ca="1" si="141"/>
        <v>46423.412607999999</v>
      </c>
      <c r="Q541" s="114">
        <f t="shared" ca="1" si="142"/>
        <v>46438.412607999999</v>
      </c>
      <c r="R541" s="114" t="b">
        <f t="shared" ca="1" si="129"/>
        <v>0</v>
      </c>
      <c r="S541" s="115">
        <f t="shared" ca="1" si="130"/>
        <v>0</v>
      </c>
      <c r="T541" s="126">
        <f t="shared" ca="1" si="131"/>
        <v>46438.412607999999</v>
      </c>
      <c r="U541" s="127" t="str">
        <f t="shared" si="128"/>
        <v>N</v>
      </c>
      <c r="V541" s="128">
        <f t="shared" si="143"/>
        <v>74.38666666666667</v>
      </c>
      <c r="W541" s="129">
        <f t="shared" si="132"/>
        <v>74.38666666666667</v>
      </c>
      <c r="X541" s="197"/>
      <c r="Y541" s="115">
        <f t="shared" ca="1" si="133"/>
        <v>91</v>
      </c>
      <c r="Z541" s="118">
        <f t="shared" ca="1" si="134"/>
        <v>0.75068493150684934</v>
      </c>
      <c r="AA541" s="116"/>
      <c r="AB541" s="117">
        <f t="shared" si="135"/>
        <v>17.097381522385831</v>
      </c>
      <c r="AC541" s="118">
        <f t="shared" si="136"/>
        <v>0.79572423009940962</v>
      </c>
      <c r="AE541" s="55"/>
      <c r="AF541" s="72"/>
      <c r="AG541" s="72"/>
      <c r="AH541" s="66"/>
      <c r="AJ541" t="s">
        <v>319</v>
      </c>
    </row>
    <row r="542" spans="1:36" ht="16" hidden="1" thickBot="1" x14ac:dyDescent="0.25">
      <c r="A542" s="119" t="s">
        <v>320</v>
      </c>
      <c r="B542" s="120" t="s">
        <v>1269</v>
      </c>
      <c r="C542" s="108" t="str">
        <f t="shared" si="137"/>
        <v>/Applications/Stellarium.app/Contents/Resources/nebulae/default/n2985.png</v>
      </c>
      <c r="D542" s="121" t="s">
        <v>1972</v>
      </c>
      <c r="E542" s="109"/>
      <c r="F542" s="122">
        <v>9</v>
      </c>
      <c r="G542" s="123">
        <v>56</v>
      </c>
      <c r="H542" s="122">
        <v>72</v>
      </c>
      <c r="I542" s="124">
        <v>9</v>
      </c>
      <c r="J542" s="112" t="s">
        <v>892</v>
      </c>
      <c r="K542" s="125">
        <v>13.5</v>
      </c>
      <c r="L542" s="196"/>
      <c r="M542" s="110">
        <f t="shared" si="138"/>
        <v>72.150000000000006</v>
      </c>
      <c r="N542" s="111">
        <f t="shared" si="139"/>
        <v>109.93</v>
      </c>
      <c r="O542" s="112">
        <f t="shared" si="140"/>
        <v>9.9333333333333336</v>
      </c>
      <c r="P542" s="113">
        <f t="shared" ca="1" si="141"/>
        <v>46425.695368000001</v>
      </c>
      <c r="Q542" s="114">
        <f t="shared" ca="1" si="142"/>
        <v>46440.695368000001</v>
      </c>
      <c r="R542" s="114" t="b">
        <f t="shared" ca="1" si="129"/>
        <v>0</v>
      </c>
      <c r="S542" s="115">
        <f t="shared" ca="1" si="130"/>
        <v>0</v>
      </c>
      <c r="T542" s="126">
        <f t="shared" ca="1" si="131"/>
        <v>46440.695368000001</v>
      </c>
      <c r="U542" s="127" t="str">
        <f t="shared" si="128"/>
        <v>N</v>
      </c>
      <c r="V542" s="128">
        <f t="shared" si="143"/>
        <v>70.069999999999993</v>
      </c>
      <c r="W542" s="129">
        <f t="shared" si="132"/>
        <v>70.069999999999993</v>
      </c>
      <c r="X542" s="197"/>
      <c r="Y542" s="115">
        <f t="shared" ca="1" si="133"/>
        <v>88</v>
      </c>
      <c r="Z542" s="118">
        <f t="shared" ca="1" si="134"/>
        <v>0.75890410958904109</v>
      </c>
      <c r="AA542" s="116"/>
      <c r="AB542" s="117">
        <f t="shared" si="135"/>
        <v>17.246971957335315</v>
      </c>
      <c r="AC542" s="118">
        <f t="shared" si="136"/>
        <v>0.80195716488897151</v>
      </c>
      <c r="AE542" s="55"/>
      <c r="AF542" s="72"/>
      <c r="AG542" s="72"/>
      <c r="AH542" s="66"/>
      <c r="AJ542" t="s">
        <v>320</v>
      </c>
    </row>
    <row r="543" spans="1:36" ht="16" thickBot="1" x14ac:dyDescent="0.25">
      <c r="A543" s="119" t="s">
        <v>171</v>
      </c>
      <c r="B543" s="120" t="s">
        <v>1242</v>
      </c>
      <c r="C543" s="108" t="str">
        <f t="shared" si="137"/>
        <v>/Applications/Stellarium.app/Contents/Resources/nebulae/default/m82-vasey.png</v>
      </c>
      <c r="D543" s="121" t="s">
        <v>1973</v>
      </c>
      <c r="E543" s="109"/>
      <c r="F543" s="122">
        <v>9</v>
      </c>
      <c r="G543" s="123">
        <v>57</v>
      </c>
      <c r="H543" s="122">
        <v>69</v>
      </c>
      <c r="I543" s="124">
        <v>31</v>
      </c>
      <c r="J543" s="112" t="s">
        <v>768</v>
      </c>
      <c r="K543" s="125">
        <v>12.7</v>
      </c>
      <c r="L543" s="196"/>
      <c r="M543" s="110">
        <f t="shared" si="138"/>
        <v>69.516666666666666</v>
      </c>
      <c r="N543" s="111">
        <f t="shared" si="139"/>
        <v>107.29666666666667</v>
      </c>
      <c r="O543" s="112">
        <f t="shared" si="140"/>
        <v>9.9499999999999993</v>
      </c>
      <c r="P543" s="113">
        <f t="shared" ca="1" si="141"/>
        <v>46425.949008000003</v>
      </c>
      <c r="Q543" s="114">
        <f t="shared" ca="1" si="142"/>
        <v>46440.949008000003</v>
      </c>
      <c r="R543" s="114" t="b">
        <f t="shared" ca="1" si="129"/>
        <v>0</v>
      </c>
      <c r="S543" s="115">
        <f t="shared" ca="1" si="130"/>
        <v>0</v>
      </c>
      <c r="T543" s="126">
        <f t="shared" ca="1" si="131"/>
        <v>46440.949008000003</v>
      </c>
      <c r="U543" s="127" t="str">
        <f t="shared" si="128"/>
        <v>N</v>
      </c>
      <c r="V543" s="128">
        <f t="shared" si="143"/>
        <v>72.703333333333333</v>
      </c>
      <c r="W543" s="129">
        <f t="shared" si="132"/>
        <v>72.703333333333333</v>
      </c>
      <c r="X543" s="197"/>
      <c r="Y543" s="115">
        <f t="shared" ca="1" si="133"/>
        <v>88</v>
      </c>
      <c r="Z543" s="118">
        <f t="shared" ca="1" si="134"/>
        <v>0.75890410958904109</v>
      </c>
      <c r="AA543" s="116"/>
      <c r="AB543" s="117">
        <f t="shared" si="135"/>
        <v>17.263593116774143</v>
      </c>
      <c r="AC543" s="118">
        <f t="shared" si="136"/>
        <v>0.80264971319892264</v>
      </c>
      <c r="AE543" s="55"/>
      <c r="AF543" s="72"/>
      <c r="AG543" s="72"/>
      <c r="AH543" s="66"/>
      <c r="AJ543" t="s">
        <v>171</v>
      </c>
    </row>
    <row r="544" spans="1:36" ht="16" thickBot="1" x14ac:dyDescent="0.25">
      <c r="A544" s="119" t="s">
        <v>170</v>
      </c>
      <c r="B544" s="120" t="s">
        <v>1241</v>
      </c>
      <c r="C544" s="108" t="str">
        <f t="shared" si="137"/>
        <v>/Applications/Stellarium.app/Contents/Resources/nebulae/default/m81.png</v>
      </c>
      <c r="D544" s="121" t="s">
        <v>1974</v>
      </c>
      <c r="E544" s="109"/>
      <c r="F544" s="122">
        <v>9</v>
      </c>
      <c r="G544" s="123">
        <v>58</v>
      </c>
      <c r="H544" s="122">
        <v>68</v>
      </c>
      <c r="I544" s="124">
        <v>49</v>
      </c>
      <c r="J544" s="112" t="s">
        <v>767</v>
      </c>
      <c r="K544" s="125">
        <v>13.4</v>
      </c>
      <c r="L544" s="196"/>
      <c r="M544" s="110">
        <f t="shared" si="138"/>
        <v>68.816666666666663</v>
      </c>
      <c r="N544" s="111">
        <f t="shared" si="139"/>
        <v>106.59666666666666</v>
      </c>
      <c r="O544" s="112">
        <f t="shared" si="140"/>
        <v>9.9666666666666668</v>
      </c>
      <c r="P544" s="113">
        <f t="shared" ca="1" si="141"/>
        <v>46426.202647999999</v>
      </c>
      <c r="Q544" s="114">
        <f t="shared" ca="1" si="142"/>
        <v>46441.202647999999</v>
      </c>
      <c r="R544" s="114" t="b">
        <f t="shared" ca="1" si="129"/>
        <v>0</v>
      </c>
      <c r="S544" s="115">
        <f t="shared" ca="1" si="130"/>
        <v>0</v>
      </c>
      <c r="T544" s="126">
        <f t="shared" ca="1" si="131"/>
        <v>46441.202647999999</v>
      </c>
      <c r="U544" s="127" t="str">
        <f t="shared" si="128"/>
        <v>N</v>
      </c>
      <c r="V544" s="128">
        <f t="shared" si="143"/>
        <v>73.403333333333336</v>
      </c>
      <c r="W544" s="129">
        <f t="shared" si="132"/>
        <v>73.403333333333336</v>
      </c>
      <c r="X544" s="197"/>
      <c r="Y544" s="115">
        <f t="shared" ca="1" si="133"/>
        <v>88</v>
      </c>
      <c r="Z544" s="118">
        <f t="shared" ca="1" si="134"/>
        <v>0.75890410958904109</v>
      </c>
      <c r="AA544" s="116"/>
      <c r="AB544" s="117">
        <f t="shared" si="135"/>
        <v>17.280214276212977</v>
      </c>
      <c r="AC544" s="118">
        <f t="shared" si="136"/>
        <v>0.803342261508874</v>
      </c>
      <c r="AE544" s="55"/>
      <c r="AF544" s="72"/>
      <c r="AG544" s="72"/>
      <c r="AH544" s="66"/>
      <c r="AJ544" t="s">
        <v>170</v>
      </c>
    </row>
    <row r="545" spans="1:36" ht="16" hidden="1" thickBot="1" x14ac:dyDescent="0.25">
      <c r="A545" s="119" t="s">
        <v>665</v>
      </c>
      <c r="B545" s="120" t="s">
        <v>1415</v>
      </c>
      <c r="C545" s="108" t="str">
        <f t="shared" si="137"/>
        <v>/Applications/Stellarium.app/Contents/Resources/nebulae/default/u5373.png</v>
      </c>
      <c r="D545" s="121" t="s">
        <v>1975</v>
      </c>
      <c r="E545" s="109"/>
      <c r="F545" s="122">
        <v>10</v>
      </c>
      <c r="G545" s="123">
        <v>0</v>
      </c>
      <c r="H545" s="122">
        <v>5</v>
      </c>
      <c r="I545" s="124">
        <v>13</v>
      </c>
      <c r="J545" s="112" t="s">
        <v>1150</v>
      </c>
      <c r="K545" s="125">
        <v>15</v>
      </c>
      <c r="L545" s="196"/>
      <c r="M545" s="110">
        <f t="shared" si="138"/>
        <v>5.2166666666666668</v>
      </c>
      <c r="N545" s="111">
        <f t="shared" si="139"/>
        <v>42.99666666666667</v>
      </c>
      <c r="O545" s="112">
        <f t="shared" si="140"/>
        <v>10</v>
      </c>
      <c r="P545" s="113">
        <f t="shared" ca="1" si="141"/>
        <v>46426.709927999997</v>
      </c>
      <c r="Q545" s="114">
        <f t="shared" ca="1" si="142"/>
        <v>46441.709927999997</v>
      </c>
      <c r="R545" s="114" t="b">
        <f t="shared" ca="1" si="129"/>
        <v>0</v>
      </c>
      <c r="S545" s="115">
        <f t="shared" ca="1" si="130"/>
        <v>0</v>
      </c>
      <c r="T545" s="126">
        <f t="shared" ca="1" si="131"/>
        <v>46441.709927999997</v>
      </c>
      <c r="U545" s="127" t="str">
        <f t="shared" si="128"/>
        <v>S</v>
      </c>
      <c r="V545" s="128">
        <f t="shared" si="143"/>
        <v>42.99666666666667</v>
      </c>
      <c r="W545" s="129">
        <f t="shared" si="132"/>
        <v>42.99666666666667</v>
      </c>
      <c r="X545" s="197"/>
      <c r="Y545" s="115">
        <f t="shared" ca="1" si="133"/>
        <v>87</v>
      </c>
      <c r="Z545" s="118">
        <f t="shared" ca="1" si="134"/>
        <v>0.76164383561643834</v>
      </c>
      <c r="AA545" s="116"/>
      <c r="AB545" s="117">
        <f t="shared" si="135"/>
        <v>17.313456595090639</v>
      </c>
      <c r="AC545" s="118">
        <f t="shared" si="136"/>
        <v>0.8047273581287766</v>
      </c>
      <c r="AE545" s="55"/>
      <c r="AF545" s="72"/>
      <c r="AG545" s="72"/>
      <c r="AH545" s="66"/>
      <c r="AJ545" t="s">
        <v>665</v>
      </c>
    </row>
    <row r="546" spans="1:36" ht="16" hidden="1" thickBot="1" x14ac:dyDescent="0.25">
      <c r="A546" s="119" t="s">
        <v>323</v>
      </c>
      <c r="B546" s="120" t="s">
        <v>1272</v>
      </c>
      <c r="C546" s="108" t="str">
        <f t="shared" si="137"/>
        <v>/Applications/Stellarium.app/Contents/Resources/nebulae/default/n3079-vasey.png</v>
      </c>
      <c r="D546" s="121" t="s">
        <v>1976</v>
      </c>
      <c r="E546" s="109"/>
      <c r="F546" s="122">
        <v>10</v>
      </c>
      <c r="G546" s="123">
        <v>2</v>
      </c>
      <c r="H546" s="122">
        <v>55</v>
      </c>
      <c r="I546" s="124">
        <v>29</v>
      </c>
      <c r="J546" s="112" t="s">
        <v>895</v>
      </c>
      <c r="K546" s="125">
        <v>13.4</v>
      </c>
      <c r="L546" s="196"/>
      <c r="M546" s="110">
        <f t="shared" si="138"/>
        <v>55.483333333333334</v>
      </c>
      <c r="N546" s="111">
        <f t="shared" si="139"/>
        <v>93.263333333333335</v>
      </c>
      <c r="O546" s="112">
        <f t="shared" si="140"/>
        <v>10.033333333333333</v>
      </c>
      <c r="P546" s="113">
        <f t="shared" ca="1" si="141"/>
        <v>46427.217208000002</v>
      </c>
      <c r="Q546" s="114">
        <f t="shared" ca="1" si="142"/>
        <v>46442.217208000002</v>
      </c>
      <c r="R546" s="114" t="b">
        <f t="shared" ca="1" si="129"/>
        <v>0</v>
      </c>
      <c r="S546" s="115">
        <f t="shared" ca="1" si="130"/>
        <v>0</v>
      </c>
      <c r="T546" s="126">
        <f t="shared" ca="1" si="131"/>
        <v>46442.217208000002</v>
      </c>
      <c r="U546" s="127" t="str">
        <f t="shared" si="128"/>
        <v>N</v>
      </c>
      <c r="V546" s="128">
        <f t="shared" si="143"/>
        <v>86.736666666666665</v>
      </c>
      <c r="W546" s="129">
        <f t="shared" si="132"/>
        <v>86.736666666666665</v>
      </c>
      <c r="X546" s="197"/>
      <c r="Y546" s="115">
        <f t="shared" ca="1" si="133"/>
        <v>87</v>
      </c>
      <c r="Z546" s="118">
        <f t="shared" ca="1" si="134"/>
        <v>0.76164383561643834</v>
      </c>
      <c r="AA546" s="116"/>
      <c r="AB546" s="117">
        <f t="shared" si="135"/>
        <v>17.3466989139683</v>
      </c>
      <c r="AC546" s="118">
        <f t="shared" si="136"/>
        <v>0.80611245474867921</v>
      </c>
      <c r="AE546" s="55"/>
      <c r="AF546" s="72"/>
      <c r="AG546" s="72"/>
      <c r="AH546" s="66"/>
      <c r="AJ546" t="s">
        <v>323</v>
      </c>
    </row>
    <row r="547" spans="1:36" ht="16" hidden="1" thickBot="1" x14ac:dyDescent="0.25">
      <c r="A547" s="119" t="s">
        <v>322</v>
      </c>
      <c r="B547" s="120" t="s">
        <v>1291</v>
      </c>
      <c r="C547" s="108" t="str">
        <f t="shared" si="137"/>
        <v>/Applications/Stellarium.app/Contents/Resources/nebulae/default/n3077.png</v>
      </c>
      <c r="D547" s="121" t="s">
        <v>1977</v>
      </c>
      <c r="E547" s="109"/>
      <c r="F547" s="122">
        <v>10</v>
      </c>
      <c r="G547" s="123">
        <v>4</v>
      </c>
      <c r="H547" s="122">
        <v>68</v>
      </c>
      <c r="I547" s="124">
        <v>39</v>
      </c>
      <c r="J547" s="112" t="s">
        <v>894</v>
      </c>
      <c r="K547" s="125">
        <v>13</v>
      </c>
      <c r="L547" s="196"/>
      <c r="M547" s="110">
        <f t="shared" si="138"/>
        <v>68.650000000000006</v>
      </c>
      <c r="N547" s="111">
        <f t="shared" si="139"/>
        <v>106.43</v>
      </c>
      <c r="O547" s="112">
        <f t="shared" si="140"/>
        <v>10.066666666666666</v>
      </c>
      <c r="P547" s="113">
        <f t="shared" ca="1" si="141"/>
        <v>46427.724488</v>
      </c>
      <c r="Q547" s="114">
        <f t="shared" ca="1" si="142"/>
        <v>46442.724488</v>
      </c>
      <c r="R547" s="114" t="b">
        <f t="shared" ca="1" si="129"/>
        <v>0</v>
      </c>
      <c r="S547" s="115">
        <f t="shared" ca="1" si="130"/>
        <v>0</v>
      </c>
      <c r="T547" s="126">
        <f t="shared" ca="1" si="131"/>
        <v>46442.724488</v>
      </c>
      <c r="U547" s="127" t="str">
        <f t="shared" si="128"/>
        <v>N</v>
      </c>
      <c r="V547" s="128">
        <f t="shared" si="143"/>
        <v>73.569999999999993</v>
      </c>
      <c r="W547" s="129">
        <f t="shared" si="132"/>
        <v>73.569999999999993</v>
      </c>
      <c r="X547" s="197"/>
      <c r="Y547" s="115">
        <f t="shared" ca="1" si="133"/>
        <v>86</v>
      </c>
      <c r="Z547" s="118">
        <f t="shared" ca="1" si="134"/>
        <v>0.76438356164383559</v>
      </c>
      <c r="AA547" s="116"/>
      <c r="AB547" s="117">
        <f t="shared" si="135"/>
        <v>17.379941232845962</v>
      </c>
      <c r="AC547" s="118">
        <f t="shared" si="136"/>
        <v>0.8074975513685817</v>
      </c>
      <c r="AE547" s="55"/>
      <c r="AF547" s="72"/>
      <c r="AG547" s="72"/>
      <c r="AH547" s="66"/>
      <c r="AJ547" t="s">
        <v>322</v>
      </c>
    </row>
    <row r="548" spans="1:36" ht="16" hidden="1" thickBot="1" x14ac:dyDescent="0.25">
      <c r="A548" s="119" t="s">
        <v>324</v>
      </c>
      <c r="B548" s="120" t="s">
        <v>1230</v>
      </c>
      <c r="C548" s="108" t="str">
        <f t="shared" si="137"/>
        <v>/Applications/Stellarium.app/Contents/Resources/nebulae/default/n3109.png</v>
      </c>
      <c r="D548" s="121" t="s">
        <v>1978</v>
      </c>
      <c r="E548" s="109"/>
      <c r="F548" s="122">
        <v>10</v>
      </c>
      <c r="G548" s="123">
        <v>4</v>
      </c>
      <c r="H548" s="122">
        <v>-27</v>
      </c>
      <c r="I548" s="124">
        <v>35</v>
      </c>
      <c r="J548" s="112" t="s">
        <v>896</v>
      </c>
      <c r="K548" s="125">
        <v>14.5</v>
      </c>
      <c r="L548" s="196"/>
      <c r="M548" s="110">
        <f t="shared" si="138"/>
        <v>-26.416666666666668</v>
      </c>
      <c r="N548" s="111">
        <f t="shared" si="139"/>
        <v>11.363333333333333</v>
      </c>
      <c r="O548" s="112">
        <f t="shared" si="140"/>
        <v>10.066666666666666</v>
      </c>
      <c r="P548" s="113">
        <f t="shared" ca="1" si="141"/>
        <v>46427.724488</v>
      </c>
      <c r="Q548" s="114">
        <f t="shared" ca="1" si="142"/>
        <v>46442.724488</v>
      </c>
      <c r="R548" s="114" t="b">
        <f t="shared" ca="1" si="129"/>
        <v>0</v>
      </c>
      <c r="S548" s="115">
        <f t="shared" ca="1" si="130"/>
        <v>0</v>
      </c>
      <c r="T548" s="126">
        <f t="shared" ca="1" si="131"/>
        <v>46442.724488</v>
      </c>
      <c r="U548" s="127" t="str">
        <f t="shared" si="128"/>
        <v>S</v>
      </c>
      <c r="V548" s="128">
        <f t="shared" si="143"/>
        <v>11.363333333333333</v>
      </c>
      <c r="W548" s="129">
        <f t="shared" si="132"/>
        <v>11.363333333333333</v>
      </c>
      <c r="X548" s="197"/>
      <c r="Y548" s="115">
        <f t="shared" ca="1" si="133"/>
        <v>86</v>
      </c>
      <c r="Z548" s="118">
        <f t="shared" ca="1" si="134"/>
        <v>0.76438356164383559</v>
      </c>
      <c r="AA548" s="116"/>
      <c r="AB548" s="117">
        <f t="shared" si="135"/>
        <v>17.379941232845962</v>
      </c>
      <c r="AC548" s="118">
        <f t="shared" si="136"/>
        <v>0.8074975513685817</v>
      </c>
      <c r="AE548" s="55"/>
      <c r="AF548" s="72"/>
      <c r="AG548" s="72"/>
      <c r="AH548" s="66"/>
      <c r="AJ548" t="s">
        <v>324</v>
      </c>
    </row>
    <row r="549" spans="1:36" ht="16" hidden="1" thickBot="1" x14ac:dyDescent="0.25">
      <c r="A549" s="119" t="s">
        <v>326</v>
      </c>
      <c r="B549" s="120" t="s">
        <v>1207</v>
      </c>
      <c r="C549" s="108" t="str">
        <f t="shared" si="137"/>
        <v>/Applications/Stellarium.app/Contents/Resources/nebulae/default/n3115.png</v>
      </c>
      <c r="D549" s="121" t="s">
        <v>1979</v>
      </c>
      <c r="E549" s="109"/>
      <c r="F549" s="122">
        <v>10</v>
      </c>
      <c r="G549" s="123">
        <v>5</v>
      </c>
      <c r="H549" s="122">
        <v>-8</v>
      </c>
      <c r="I549" s="124">
        <v>12</v>
      </c>
      <c r="J549" s="112" t="s">
        <v>898</v>
      </c>
      <c r="K549" s="125">
        <v>13.1</v>
      </c>
      <c r="L549" s="196"/>
      <c r="M549" s="110">
        <f t="shared" si="138"/>
        <v>-7.8</v>
      </c>
      <c r="N549" s="111">
        <f t="shared" si="139"/>
        <v>29.98</v>
      </c>
      <c r="O549" s="112">
        <f t="shared" si="140"/>
        <v>10.083333333333334</v>
      </c>
      <c r="P549" s="113">
        <f t="shared" ca="1" si="141"/>
        <v>46427.978128000002</v>
      </c>
      <c r="Q549" s="114">
        <f t="shared" ca="1" si="142"/>
        <v>46442.978128000002</v>
      </c>
      <c r="R549" s="114" t="b">
        <f t="shared" ca="1" si="129"/>
        <v>0</v>
      </c>
      <c r="S549" s="115">
        <f t="shared" ca="1" si="130"/>
        <v>0</v>
      </c>
      <c r="T549" s="126">
        <f t="shared" ca="1" si="131"/>
        <v>46442.978128000002</v>
      </c>
      <c r="U549" s="127" t="str">
        <f t="shared" si="128"/>
        <v>S</v>
      </c>
      <c r="V549" s="128">
        <f t="shared" si="143"/>
        <v>29.98</v>
      </c>
      <c r="W549" s="129">
        <f t="shared" si="132"/>
        <v>29.98</v>
      </c>
      <c r="X549" s="197"/>
      <c r="Y549" s="115">
        <f t="shared" ca="1" si="133"/>
        <v>86</v>
      </c>
      <c r="Z549" s="118">
        <f t="shared" ca="1" si="134"/>
        <v>0.76438356164383559</v>
      </c>
      <c r="AA549" s="116"/>
      <c r="AB549" s="117">
        <f t="shared" si="135"/>
        <v>17.396562392284796</v>
      </c>
      <c r="AC549" s="118">
        <f t="shared" si="136"/>
        <v>0.80819009967853317</v>
      </c>
      <c r="AE549" s="55"/>
      <c r="AF549" s="72"/>
      <c r="AG549" s="72"/>
      <c r="AH549" s="66"/>
      <c r="AJ549" t="s">
        <v>326</v>
      </c>
    </row>
    <row r="550" spans="1:36" ht="16" hidden="1" thickBot="1" x14ac:dyDescent="0.25">
      <c r="A550" s="119" t="s">
        <v>327</v>
      </c>
      <c r="B550" s="120" t="s">
        <v>1230</v>
      </c>
      <c r="C550" s="108" t="str">
        <f t="shared" si="137"/>
        <v>/Applications/Stellarium.app/Contents/Resources/nebulae/default/n3132.png</v>
      </c>
      <c r="D550" s="121" t="s">
        <v>1980</v>
      </c>
      <c r="E550" s="109"/>
      <c r="F550" s="122">
        <v>10</v>
      </c>
      <c r="G550" s="123">
        <v>7</v>
      </c>
      <c r="H550" s="122">
        <v>-41</v>
      </c>
      <c r="I550" s="124">
        <v>32</v>
      </c>
      <c r="J550" s="112" t="s">
        <v>899</v>
      </c>
      <c r="K550" s="125">
        <v>10.5</v>
      </c>
      <c r="L550" s="196"/>
      <c r="M550" s="110">
        <f t="shared" si="138"/>
        <v>-40.466666666666669</v>
      </c>
      <c r="N550" s="111">
        <f t="shared" si="139"/>
        <v>-2.6866666666666674</v>
      </c>
      <c r="O550" s="112">
        <f t="shared" si="140"/>
        <v>10.116666666666667</v>
      </c>
      <c r="P550" s="113">
        <f t="shared" ca="1" si="141"/>
        <v>46428.485408</v>
      </c>
      <c r="Q550" s="114">
        <f t="shared" ca="1" si="142"/>
        <v>46443.485408</v>
      </c>
      <c r="R550" s="114" t="b">
        <f t="shared" ca="1" si="129"/>
        <v>0</v>
      </c>
      <c r="S550" s="115">
        <f t="shared" ca="1" si="130"/>
        <v>0</v>
      </c>
      <c r="T550" s="126">
        <f t="shared" ca="1" si="131"/>
        <v>46443.485408</v>
      </c>
      <c r="U550" s="127" t="str">
        <f t="shared" si="128"/>
        <v>S</v>
      </c>
      <c r="V550" s="128">
        <f t="shared" si="143"/>
        <v>-2.6866666666666674</v>
      </c>
      <c r="W550" s="129">
        <f t="shared" si="132"/>
        <v>-2.6866666666666674</v>
      </c>
      <c r="X550" s="197"/>
      <c r="Y550" s="115">
        <f t="shared" ca="1" si="133"/>
        <v>86</v>
      </c>
      <c r="Z550" s="118">
        <f t="shared" ca="1" si="134"/>
        <v>0.76438356164383559</v>
      </c>
      <c r="AA550" s="116"/>
      <c r="AB550" s="117">
        <f t="shared" si="135"/>
        <v>17.429804711162458</v>
      </c>
      <c r="AC550" s="118">
        <f t="shared" si="136"/>
        <v>0.80957519629843577</v>
      </c>
      <c r="AE550" s="55"/>
      <c r="AF550" s="72"/>
      <c r="AG550" s="72"/>
      <c r="AH550" s="66"/>
      <c r="AJ550" t="s">
        <v>327</v>
      </c>
    </row>
    <row r="551" spans="1:36" ht="16" hidden="1" thickBot="1" x14ac:dyDescent="0.25">
      <c r="A551" s="119" t="s">
        <v>325</v>
      </c>
      <c r="B551" s="120" t="s">
        <v>1207</v>
      </c>
      <c r="C551" s="108" t="str">
        <f t="shared" si="137"/>
        <v>/Applications/Stellarium.app/Contents/Resources/nebulae/default/n3114.png</v>
      </c>
      <c r="D551" s="121" t="s">
        <v>1981</v>
      </c>
      <c r="E551" s="109"/>
      <c r="F551" s="122">
        <v>10</v>
      </c>
      <c r="G551" s="123">
        <v>8</v>
      </c>
      <c r="H551" s="122">
        <v>-61</v>
      </c>
      <c r="I551" s="124">
        <v>5</v>
      </c>
      <c r="J551" s="112" t="s">
        <v>897</v>
      </c>
      <c r="K551" s="125">
        <v>13.6</v>
      </c>
      <c r="L551" s="196"/>
      <c r="M551" s="110">
        <f t="shared" si="138"/>
        <v>-60.916666666666664</v>
      </c>
      <c r="N551" s="111">
        <f t="shared" si="139"/>
        <v>-23.136666666666663</v>
      </c>
      <c r="O551" s="112">
        <f t="shared" si="140"/>
        <v>10.133333333333333</v>
      </c>
      <c r="P551" s="113">
        <f t="shared" ca="1" si="141"/>
        <v>46428.739048000003</v>
      </c>
      <c r="Q551" s="114">
        <f t="shared" ca="1" si="142"/>
        <v>46443.739048000003</v>
      </c>
      <c r="R551" s="114" t="b">
        <f t="shared" ca="1" si="129"/>
        <v>0</v>
      </c>
      <c r="S551" s="115">
        <f t="shared" ca="1" si="130"/>
        <v>0</v>
      </c>
      <c r="T551" s="126">
        <f t="shared" ca="1" si="131"/>
        <v>46443.739048000003</v>
      </c>
      <c r="U551" s="127" t="str">
        <f t="shared" si="128"/>
        <v>S</v>
      </c>
      <c r="V551" s="128">
        <f t="shared" si="143"/>
        <v>-23.136666666666663</v>
      </c>
      <c r="W551" s="129">
        <f t="shared" si="132"/>
        <v>-23.136666666666663</v>
      </c>
      <c r="X551" s="197"/>
      <c r="Y551" s="115">
        <f t="shared" ca="1" si="133"/>
        <v>85</v>
      </c>
      <c r="Z551" s="118">
        <f t="shared" ca="1" si="134"/>
        <v>0.76712328767123283</v>
      </c>
      <c r="AA551" s="116"/>
      <c r="AB551" s="117">
        <f t="shared" si="135"/>
        <v>17.446425870601288</v>
      </c>
      <c r="AC551" s="118">
        <f t="shared" si="136"/>
        <v>0.81026774460838702</v>
      </c>
      <c r="AE551" s="55"/>
      <c r="AF551" s="72"/>
      <c r="AG551" s="72"/>
      <c r="AH551" s="66"/>
      <c r="AJ551" t="s">
        <v>325</v>
      </c>
    </row>
    <row r="552" spans="1:36" ht="16" hidden="1" thickBot="1" x14ac:dyDescent="0.25">
      <c r="A552" s="119" t="s">
        <v>666</v>
      </c>
      <c r="B552" s="120" t="s">
        <v>1415</v>
      </c>
      <c r="C552" s="108" t="str">
        <f t="shared" si="137"/>
        <v>/Applications/Stellarium.app/Contents/Resources/nebulae/default/u5470.png</v>
      </c>
      <c r="D552" s="121" t="s">
        <v>1982</v>
      </c>
      <c r="E552" s="109"/>
      <c r="F552" s="122">
        <v>10</v>
      </c>
      <c r="G552" s="123">
        <v>9</v>
      </c>
      <c r="H552" s="122">
        <v>12</v>
      </c>
      <c r="I552" s="124">
        <v>9</v>
      </c>
      <c r="J552" s="112" t="s">
        <v>1113</v>
      </c>
      <c r="K552" s="125">
        <v>14.8</v>
      </c>
      <c r="L552" s="196"/>
      <c r="M552" s="110">
        <f t="shared" si="138"/>
        <v>12.15</v>
      </c>
      <c r="N552" s="111">
        <f t="shared" si="139"/>
        <v>49.93</v>
      </c>
      <c r="O552" s="112">
        <f t="shared" si="140"/>
        <v>10.15</v>
      </c>
      <c r="P552" s="113">
        <f t="shared" ca="1" si="141"/>
        <v>46428.992687999998</v>
      </c>
      <c r="Q552" s="114">
        <f t="shared" ca="1" si="142"/>
        <v>46443.992687999998</v>
      </c>
      <c r="R552" s="114" t="b">
        <f t="shared" ca="1" si="129"/>
        <v>0</v>
      </c>
      <c r="S552" s="115">
        <f t="shared" ca="1" si="130"/>
        <v>0</v>
      </c>
      <c r="T552" s="126">
        <f t="shared" ca="1" si="131"/>
        <v>46443.992687999998</v>
      </c>
      <c r="U552" s="127" t="str">
        <f t="shared" si="128"/>
        <v>S</v>
      </c>
      <c r="V552" s="128">
        <f t="shared" si="143"/>
        <v>49.93</v>
      </c>
      <c r="W552" s="129">
        <f t="shared" si="132"/>
        <v>49.93</v>
      </c>
      <c r="X552" s="197"/>
      <c r="Y552" s="115">
        <f t="shared" ca="1" si="133"/>
        <v>85</v>
      </c>
      <c r="Z552" s="118">
        <f t="shared" ca="1" si="134"/>
        <v>0.76712328767123283</v>
      </c>
      <c r="AA552" s="116"/>
      <c r="AB552" s="117">
        <f t="shared" si="135"/>
        <v>17.463047030040119</v>
      </c>
      <c r="AC552" s="118">
        <f t="shared" si="136"/>
        <v>0.81096029291833827</v>
      </c>
      <c r="AE552" s="55"/>
      <c r="AF552" s="72"/>
      <c r="AG552" s="72"/>
      <c r="AH552" s="66"/>
      <c r="AJ552" t="s">
        <v>666</v>
      </c>
    </row>
    <row r="553" spans="1:36" ht="16" hidden="1" thickBot="1" x14ac:dyDescent="0.25">
      <c r="A553" s="119" t="s">
        <v>331</v>
      </c>
      <c r="B553" s="120" t="s">
        <v>1277</v>
      </c>
      <c r="C553" s="108" t="str">
        <f t="shared" si="137"/>
        <v>/Applications/Stellarium.app/Contents/Resources/nebulae/default/n3195.png</v>
      </c>
      <c r="D553" s="121" t="s">
        <v>1983</v>
      </c>
      <c r="E553" s="109"/>
      <c r="F553" s="122">
        <v>10</v>
      </c>
      <c r="G553" s="123">
        <v>11</v>
      </c>
      <c r="H553" s="122">
        <v>-81</v>
      </c>
      <c r="I553" s="124">
        <v>3</v>
      </c>
      <c r="J553" s="112" t="s">
        <v>792</v>
      </c>
      <c r="K553" s="125">
        <v>12.6</v>
      </c>
      <c r="L553" s="196"/>
      <c r="M553" s="110">
        <f t="shared" si="138"/>
        <v>-80.95</v>
      </c>
      <c r="N553" s="111">
        <f t="shared" si="139"/>
        <v>-43.17</v>
      </c>
      <c r="O553" s="112">
        <f t="shared" si="140"/>
        <v>10.183333333333334</v>
      </c>
      <c r="P553" s="113">
        <f t="shared" ca="1" si="141"/>
        <v>46429.499967999996</v>
      </c>
      <c r="Q553" s="114">
        <f t="shared" ca="1" si="142"/>
        <v>46444.499967999996</v>
      </c>
      <c r="R553" s="114" t="b">
        <f t="shared" ca="1" si="129"/>
        <v>0</v>
      </c>
      <c r="S553" s="115">
        <f t="shared" ca="1" si="130"/>
        <v>0</v>
      </c>
      <c r="T553" s="126">
        <f t="shared" ca="1" si="131"/>
        <v>46444.499967999996</v>
      </c>
      <c r="U553" s="127" t="str">
        <f t="shared" si="128"/>
        <v>S</v>
      </c>
      <c r="V553" s="128">
        <f t="shared" si="143"/>
        <v>-43.17</v>
      </c>
      <c r="W553" s="129">
        <f t="shared" si="132"/>
        <v>-43.17</v>
      </c>
      <c r="X553" s="197"/>
      <c r="Y553" s="115">
        <f t="shared" ca="1" si="133"/>
        <v>85</v>
      </c>
      <c r="Z553" s="118">
        <f t="shared" ca="1" si="134"/>
        <v>0.76712328767123283</v>
      </c>
      <c r="AA553" s="116"/>
      <c r="AB553" s="117">
        <f t="shared" si="135"/>
        <v>17.496289348917781</v>
      </c>
      <c r="AC553" s="118">
        <f t="shared" si="136"/>
        <v>0.81234538953824087</v>
      </c>
      <c r="AE553" s="55"/>
      <c r="AF553" s="72"/>
      <c r="AG553" s="72"/>
      <c r="AH553" s="66"/>
      <c r="AJ553" t="s">
        <v>331</v>
      </c>
    </row>
    <row r="554" spans="1:36" ht="16" hidden="1" thickBot="1" x14ac:dyDescent="0.25">
      <c r="A554" s="119" t="s">
        <v>681</v>
      </c>
      <c r="B554" s="120" t="s">
        <v>1421</v>
      </c>
      <c r="C554" s="108" t="str">
        <f t="shared" si="137"/>
        <v>/Applications/Stellarium.app/Contents/Resources/nebulae/default/p29653.png</v>
      </c>
      <c r="D554" s="121" t="s">
        <v>1984</v>
      </c>
      <c r="E554" s="109"/>
      <c r="F554" s="122">
        <v>10</v>
      </c>
      <c r="G554" s="123">
        <v>11</v>
      </c>
      <c r="H554" s="122">
        <v>-5</v>
      </c>
      <c r="I554" s="124">
        <v>11</v>
      </c>
      <c r="J554" s="112" t="s">
        <v>1161</v>
      </c>
      <c r="K554" s="125">
        <v>14.8</v>
      </c>
      <c r="L554" s="196"/>
      <c r="M554" s="110">
        <f t="shared" si="138"/>
        <v>-4.8166666666666664</v>
      </c>
      <c r="N554" s="111">
        <f t="shared" si="139"/>
        <v>32.963333333333338</v>
      </c>
      <c r="O554" s="112">
        <f t="shared" si="140"/>
        <v>10.183333333333334</v>
      </c>
      <c r="P554" s="113">
        <f t="shared" ca="1" si="141"/>
        <v>46429.499967999996</v>
      </c>
      <c r="Q554" s="114">
        <f t="shared" ca="1" si="142"/>
        <v>46444.499967999996</v>
      </c>
      <c r="R554" s="114" t="b">
        <f t="shared" ca="1" si="129"/>
        <v>0</v>
      </c>
      <c r="S554" s="115">
        <f t="shared" ca="1" si="130"/>
        <v>0</v>
      </c>
      <c r="T554" s="126">
        <f t="shared" ca="1" si="131"/>
        <v>46444.499967999996</v>
      </c>
      <c r="U554" s="127" t="str">
        <f t="shared" si="128"/>
        <v>S</v>
      </c>
      <c r="V554" s="128">
        <f t="shared" si="143"/>
        <v>32.963333333333338</v>
      </c>
      <c r="W554" s="129">
        <f t="shared" si="132"/>
        <v>32.963333333333338</v>
      </c>
      <c r="X554" s="197"/>
      <c r="Y554" s="115">
        <f t="shared" ca="1" si="133"/>
        <v>85</v>
      </c>
      <c r="Z554" s="118">
        <f t="shared" ca="1" si="134"/>
        <v>0.76712328767123283</v>
      </c>
      <c r="AA554" s="116"/>
      <c r="AB554" s="117">
        <f t="shared" si="135"/>
        <v>17.496289348917781</v>
      </c>
      <c r="AC554" s="118">
        <f t="shared" si="136"/>
        <v>0.81234538953824087</v>
      </c>
      <c r="AE554" s="55"/>
      <c r="AF554" s="72"/>
      <c r="AG554" s="72"/>
      <c r="AH554" s="66"/>
      <c r="AJ554" t="s">
        <v>681</v>
      </c>
    </row>
    <row r="555" spans="1:36" ht="16" hidden="1" thickBot="1" x14ac:dyDescent="0.25">
      <c r="A555" s="119" t="s">
        <v>328</v>
      </c>
      <c r="B555" s="120" t="s">
        <v>1272</v>
      </c>
      <c r="C555" s="108" t="str">
        <f t="shared" si="137"/>
        <v>/Applications/Stellarium.app/Contents/Resources/nebulae/default/n3166-vasey.png</v>
      </c>
      <c r="D555" s="121" t="s">
        <v>1985</v>
      </c>
      <c r="E555" s="109"/>
      <c r="F555" s="122">
        <v>10</v>
      </c>
      <c r="G555" s="123">
        <v>14</v>
      </c>
      <c r="H555" s="122">
        <v>3</v>
      </c>
      <c r="I555" s="124">
        <v>11</v>
      </c>
      <c r="J555" s="112" t="s">
        <v>900</v>
      </c>
      <c r="K555" s="125">
        <v>13.4</v>
      </c>
      <c r="L555" s="196"/>
      <c r="M555" s="110">
        <f t="shared" si="138"/>
        <v>3.1833333333333331</v>
      </c>
      <c r="N555" s="111">
        <f t="shared" si="139"/>
        <v>40.963333333333331</v>
      </c>
      <c r="O555" s="112">
        <f t="shared" si="140"/>
        <v>10.233333333333333</v>
      </c>
      <c r="P555" s="113">
        <f t="shared" ca="1" si="141"/>
        <v>46430.260887999997</v>
      </c>
      <c r="Q555" s="114">
        <f t="shared" ca="1" si="142"/>
        <v>46445.260887999997</v>
      </c>
      <c r="R555" s="114" t="b">
        <f t="shared" ca="1" si="129"/>
        <v>0</v>
      </c>
      <c r="S555" s="115">
        <f t="shared" ca="1" si="130"/>
        <v>0</v>
      </c>
      <c r="T555" s="126">
        <f t="shared" ca="1" si="131"/>
        <v>46445.260887999997</v>
      </c>
      <c r="U555" s="127" t="str">
        <f t="shared" si="128"/>
        <v>S</v>
      </c>
      <c r="V555" s="128">
        <f t="shared" si="143"/>
        <v>40.963333333333331</v>
      </c>
      <c r="W555" s="129">
        <f t="shared" si="132"/>
        <v>40.963333333333331</v>
      </c>
      <c r="X555" s="197"/>
      <c r="Y555" s="115">
        <f t="shared" ca="1" si="133"/>
        <v>84</v>
      </c>
      <c r="Z555" s="118">
        <f t="shared" ca="1" si="134"/>
        <v>0.76986301369863019</v>
      </c>
      <c r="AA555" s="116"/>
      <c r="AB555" s="117">
        <f t="shared" si="135"/>
        <v>17.546152827234277</v>
      </c>
      <c r="AC555" s="118">
        <f t="shared" si="136"/>
        <v>0.81442303446809483</v>
      </c>
      <c r="AE555" s="55"/>
      <c r="AF555" s="72"/>
      <c r="AG555" s="72"/>
      <c r="AH555" s="66"/>
      <c r="AJ555" t="s">
        <v>328</v>
      </c>
    </row>
    <row r="556" spans="1:36" ht="16" hidden="1" thickBot="1" x14ac:dyDescent="0.25">
      <c r="A556" s="119" t="s">
        <v>335</v>
      </c>
      <c r="B556" s="120" t="s">
        <v>1277</v>
      </c>
      <c r="C556" s="108" t="str">
        <f t="shared" si="137"/>
        <v>/Applications/Stellarium.app/Contents/Resources/nebulae/default/n3211.png</v>
      </c>
      <c r="D556" s="121" t="s">
        <v>1986</v>
      </c>
      <c r="E556" s="109"/>
      <c r="F556" s="122">
        <v>10</v>
      </c>
      <c r="G556" s="123">
        <v>17</v>
      </c>
      <c r="H556" s="122">
        <v>-63</v>
      </c>
      <c r="I556" s="124">
        <v>18</v>
      </c>
      <c r="J556" s="112" t="s">
        <v>904</v>
      </c>
      <c r="K556" s="125">
        <v>13.4</v>
      </c>
      <c r="L556" s="196"/>
      <c r="M556" s="110">
        <f t="shared" si="138"/>
        <v>-62.7</v>
      </c>
      <c r="N556" s="111">
        <f t="shared" si="139"/>
        <v>-24.92</v>
      </c>
      <c r="O556" s="112">
        <f t="shared" si="140"/>
        <v>10.283333333333333</v>
      </c>
      <c r="P556" s="113">
        <f t="shared" ca="1" si="141"/>
        <v>46431.021807999998</v>
      </c>
      <c r="Q556" s="114">
        <f t="shared" ca="1" si="142"/>
        <v>46446.021807999998</v>
      </c>
      <c r="R556" s="114" t="b">
        <f t="shared" ca="1" si="129"/>
        <v>0</v>
      </c>
      <c r="S556" s="115">
        <f t="shared" ca="1" si="130"/>
        <v>0</v>
      </c>
      <c r="T556" s="126">
        <f t="shared" ca="1" si="131"/>
        <v>46446.021807999998</v>
      </c>
      <c r="U556" s="127" t="str">
        <f t="shared" si="128"/>
        <v>S</v>
      </c>
      <c r="V556" s="128">
        <f t="shared" si="143"/>
        <v>-24.92</v>
      </c>
      <c r="W556" s="129">
        <f t="shared" si="132"/>
        <v>-24.92</v>
      </c>
      <c r="X556" s="197"/>
      <c r="Y556" s="115">
        <f t="shared" ca="1" si="133"/>
        <v>83</v>
      </c>
      <c r="Z556" s="118">
        <f t="shared" ca="1" si="134"/>
        <v>0.77260273972602733</v>
      </c>
      <c r="AA556" s="116"/>
      <c r="AB556" s="117">
        <f t="shared" si="135"/>
        <v>17.596016305550769</v>
      </c>
      <c r="AC556" s="118">
        <f t="shared" si="136"/>
        <v>0.81650067939794868</v>
      </c>
      <c r="AE556" s="55"/>
      <c r="AF556" s="72"/>
      <c r="AG556" s="72"/>
      <c r="AH556" s="66"/>
      <c r="AJ556" t="s">
        <v>335</v>
      </c>
    </row>
    <row r="557" spans="1:36" ht="16" hidden="1" thickBot="1" x14ac:dyDescent="0.25">
      <c r="A557" s="119" t="s">
        <v>329</v>
      </c>
      <c r="B557" s="120" t="s">
        <v>1292</v>
      </c>
      <c r="C557" s="108" t="str">
        <f t="shared" si="137"/>
        <v>/Applications/Stellarium.app/Contents/Resources/nebulae/default/n3180.png</v>
      </c>
      <c r="D557" s="121" t="s">
        <v>1987</v>
      </c>
      <c r="E557" s="109"/>
      <c r="F557" s="122">
        <v>10</v>
      </c>
      <c r="G557" s="123">
        <v>18</v>
      </c>
      <c r="H557" s="122">
        <v>41</v>
      </c>
      <c r="I557" s="124">
        <v>20</v>
      </c>
      <c r="J557" s="112" t="s">
        <v>901</v>
      </c>
      <c r="K557" s="125">
        <v>13.5</v>
      </c>
      <c r="L557" s="196"/>
      <c r="M557" s="110">
        <f t="shared" si="138"/>
        <v>41.333333333333336</v>
      </c>
      <c r="N557" s="111">
        <f t="shared" si="139"/>
        <v>79.113333333333344</v>
      </c>
      <c r="O557" s="112">
        <f t="shared" si="140"/>
        <v>10.3</v>
      </c>
      <c r="P557" s="113">
        <f t="shared" ca="1" si="141"/>
        <v>46431.275448</v>
      </c>
      <c r="Q557" s="114">
        <f t="shared" ca="1" si="142"/>
        <v>46446.275448</v>
      </c>
      <c r="R557" s="114" t="b">
        <f t="shared" ca="1" si="129"/>
        <v>0</v>
      </c>
      <c r="S557" s="115">
        <f t="shared" ca="1" si="130"/>
        <v>0</v>
      </c>
      <c r="T557" s="126">
        <f t="shared" ca="1" si="131"/>
        <v>46446.275448</v>
      </c>
      <c r="U557" s="127" t="str">
        <f t="shared" si="128"/>
        <v>S</v>
      </c>
      <c r="V557" s="128">
        <f t="shared" si="143"/>
        <v>79.113333333333344</v>
      </c>
      <c r="W557" s="129">
        <f t="shared" si="132"/>
        <v>79.113333333333344</v>
      </c>
      <c r="X557" s="197"/>
      <c r="Y557" s="115">
        <f t="shared" ca="1" si="133"/>
        <v>83</v>
      </c>
      <c r="Z557" s="118">
        <f t="shared" ca="1" si="134"/>
        <v>0.77260273972602733</v>
      </c>
      <c r="AA557" s="116"/>
      <c r="AB557" s="117">
        <f t="shared" si="135"/>
        <v>17.6126374649896</v>
      </c>
      <c r="AC557" s="118">
        <f t="shared" si="136"/>
        <v>0.81719322770790004</v>
      </c>
      <c r="AE557" s="55"/>
      <c r="AF557" s="72"/>
      <c r="AG557" s="72"/>
      <c r="AH557" s="66"/>
      <c r="AJ557" t="s">
        <v>329</v>
      </c>
    </row>
    <row r="558" spans="1:36" ht="16" hidden="1" thickBot="1" x14ac:dyDescent="0.25">
      <c r="A558" s="119" t="s">
        <v>330</v>
      </c>
      <c r="B558" s="120" t="s">
        <v>1269</v>
      </c>
      <c r="C558" s="108" t="str">
        <f t="shared" si="137"/>
        <v>/Applications/Stellarium.app/Contents/Resources/nebulae/default/n3190oleg.png</v>
      </c>
      <c r="D558" s="121" t="s">
        <v>1988</v>
      </c>
      <c r="E558" s="109"/>
      <c r="F558" s="122">
        <v>10</v>
      </c>
      <c r="G558" s="123">
        <v>18</v>
      </c>
      <c r="H558" s="122">
        <v>21</v>
      </c>
      <c r="I558" s="124">
        <v>38</v>
      </c>
      <c r="J558" s="112" t="s">
        <v>902</v>
      </c>
      <c r="K558" s="125">
        <v>16</v>
      </c>
      <c r="L558" s="196"/>
      <c r="M558" s="110">
        <f t="shared" si="138"/>
        <v>21.633333333333333</v>
      </c>
      <c r="N558" s="111">
        <f t="shared" si="139"/>
        <v>59.413333333333334</v>
      </c>
      <c r="O558" s="112">
        <f t="shared" si="140"/>
        <v>10.3</v>
      </c>
      <c r="P558" s="113">
        <f t="shared" ca="1" si="141"/>
        <v>46431.275448</v>
      </c>
      <c r="Q558" s="114">
        <f t="shared" ca="1" si="142"/>
        <v>46446.275448</v>
      </c>
      <c r="R558" s="114" t="b">
        <f t="shared" ca="1" si="129"/>
        <v>0</v>
      </c>
      <c r="S558" s="115">
        <f t="shared" ca="1" si="130"/>
        <v>0</v>
      </c>
      <c r="T558" s="126">
        <f t="shared" ca="1" si="131"/>
        <v>46446.275448</v>
      </c>
      <c r="U558" s="127" t="str">
        <f t="shared" si="128"/>
        <v>S</v>
      </c>
      <c r="V558" s="128">
        <f t="shared" si="143"/>
        <v>59.413333333333334</v>
      </c>
      <c r="W558" s="129">
        <f t="shared" si="132"/>
        <v>59.413333333333334</v>
      </c>
      <c r="X558" s="197"/>
      <c r="Y558" s="115">
        <f t="shared" ca="1" si="133"/>
        <v>83</v>
      </c>
      <c r="Z558" s="118">
        <f t="shared" ca="1" si="134"/>
        <v>0.77260273972602733</v>
      </c>
      <c r="AA558" s="116"/>
      <c r="AB558" s="117">
        <f t="shared" si="135"/>
        <v>17.6126374649896</v>
      </c>
      <c r="AC558" s="118">
        <f t="shared" si="136"/>
        <v>0.81719322770790004</v>
      </c>
      <c r="AE558" s="55"/>
      <c r="AF558" s="72"/>
      <c r="AG558" s="72"/>
      <c r="AH558" s="66"/>
      <c r="AJ558" t="s">
        <v>330</v>
      </c>
    </row>
    <row r="559" spans="1:36" ht="16" hidden="1" thickBot="1" x14ac:dyDescent="0.25">
      <c r="A559" s="119" t="s">
        <v>334</v>
      </c>
      <c r="B559" s="120" t="s">
        <v>1191</v>
      </c>
      <c r="C559" s="108" t="str">
        <f t="shared" si="137"/>
        <v>/Applications/Stellarium.app/Contents/Resources/nebulae/default/n3201.png</v>
      </c>
      <c r="D559" s="121" t="s">
        <v>1989</v>
      </c>
      <c r="E559" s="109"/>
      <c r="F559" s="122">
        <v>10</v>
      </c>
      <c r="G559" s="123">
        <v>18</v>
      </c>
      <c r="H559" s="122">
        <v>-47</v>
      </c>
      <c r="I559" s="124">
        <v>28</v>
      </c>
      <c r="J559" s="112" t="s">
        <v>727</v>
      </c>
      <c r="K559" s="125">
        <v>14.1</v>
      </c>
      <c r="L559" s="196"/>
      <c r="M559" s="110">
        <f t="shared" si="138"/>
        <v>-46.533333333333331</v>
      </c>
      <c r="N559" s="111">
        <f t="shared" si="139"/>
        <v>-8.7533333333333303</v>
      </c>
      <c r="O559" s="112">
        <f t="shared" si="140"/>
        <v>10.3</v>
      </c>
      <c r="P559" s="113">
        <f t="shared" ca="1" si="141"/>
        <v>46431.275448</v>
      </c>
      <c r="Q559" s="114">
        <f t="shared" ca="1" si="142"/>
        <v>46446.275448</v>
      </c>
      <c r="R559" s="114" t="b">
        <f t="shared" ca="1" si="129"/>
        <v>0</v>
      </c>
      <c r="S559" s="115">
        <f t="shared" ca="1" si="130"/>
        <v>0</v>
      </c>
      <c r="T559" s="126">
        <f t="shared" ca="1" si="131"/>
        <v>46446.275448</v>
      </c>
      <c r="U559" s="127" t="str">
        <f t="shared" si="128"/>
        <v>S</v>
      </c>
      <c r="V559" s="128">
        <f t="shared" si="143"/>
        <v>-8.7533333333333303</v>
      </c>
      <c r="W559" s="129">
        <f t="shared" si="132"/>
        <v>-8.7533333333333303</v>
      </c>
      <c r="X559" s="197"/>
      <c r="Y559" s="115">
        <f t="shared" ca="1" si="133"/>
        <v>83</v>
      </c>
      <c r="Z559" s="118">
        <f t="shared" ca="1" si="134"/>
        <v>0.77260273972602733</v>
      </c>
      <c r="AA559" s="116"/>
      <c r="AB559" s="117">
        <f t="shared" si="135"/>
        <v>17.6126374649896</v>
      </c>
      <c r="AC559" s="118">
        <f t="shared" si="136"/>
        <v>0.81719322770790004</v>
      </c>
      <c r="AE559" s="55"/>
      <c r="AF559" s="72"/>
      <c r="AG559" s="72"/>
      <c r="AH559" s="66"/>
      <c r="AJ559" t="s">
        <v>334</v>
      </c>
    </row>
    <row r="560" spans="1:36" ht="16" hidden="1" thickBot="1" x14ac:dyDescent="0.25">
      <c r="A560" s="119" t="s">
        <v>333</v>
      </c>
      <c r="B560" s="120" t="s">
        <v>1293</v>
      </c>
      <c r="C560" s="108" t="str">
        <f t="shared" si="137"/>
        <v>/Applications/Stellarium.app/Contents/Resources/nebulae/default/n3199.png</v>
      </c>
      <c r="D560" s="121" t="s">
        <v>1990</v>
      </c>
      <c r="E560" s="109"/>
      <c r="F560" s="122">
        <v>10</v>
      </c>
      <c r="G560" s="123">
        <v>19</v>
      </c>
      <c r="H560" s="122">
        <v>-59</v>
      </c>
      <c r="I560" s="124">
        <v>50</v>
      </c>
      <c r="J560" s="112" t="s">
        <v>50</v>
      </c>
      <c r="K560" s="125">
        <v>14.2</v>
      </c>
      <c r="L560" s="196"/>
      <c r="M560" s="110">
        <f t="shared" si="138"/>
        <v>-58.166666666666664</v>
      </c>
      <c r="N560" s="111">
        <f t="shared" si="139"/>
        <v>-20.386666666666663</v>
      </c>
      <c r="O560" s="112">
        <f t="shared" si="140"/>
        <v>10.316666666666666</v>
      </c>
      <c r="P560" s="113">
        <f t="shared" ca="1" si="141"/>
        <v>46431.529088000003</v>
      </c>
      <c r="Q560" s="114">
        <f t="shared" ca="1" si="142"/>
        <v>46446.529088000003</v>
      </c>
      <c r="R560" s="114" t="b">
        <f t="shared" ca="1" si="129"/>
        <v>0</v>
      </c>
      <c r="S560" s="115">
        <f t="shared" ca="1" si="130"/>
        <v>0</v>
      </c>
      <c r="T560" s="126">
        <f t="shared" ca="1" si="131"/>
        <v>46446.529088000003</v>
      </c>
      <c r="U560" s="127" t="str">
        <f t="shared" si="128"/>
        <v>S</v>
      </c>
      <c r="V560" s="128">
        <f t="shared" si="143"/>
        <v>-20.386666666666663</v>
      </c>
      <c r="W560" s="129">
        <f t="shared" si="132"/>
        <v>-20.386666666666663</v>
      </c>
      <c r="X560" s="197"/>
      <c r="Y560" s="115">
        <f t="shared" ca="1" si="133"/>
        <v>82</v>
      </c>
      <c r="Z560" s="118">
        <f t="shared" ca="1" si="134"/>
        <v>0.77534246575342469</v>
      </c>
      <c r="AA560" s="116"/>
      <c r="AB560" s="117">
        <f t="shared" si="135"/>
        <v>17.629258624428431</v>
      </c>
      <c r="AC560" s="118">
        <f t="shared" si="136"/>
        <v>0.81788577601785128</v>
      </c>
      <c r="AE560" s="55"/>
      <c r="AF560" s="72"/>
      <c r="AG560" s="72"/>
      <c r="AH560" s="66"/>
      <c r="AJ560" t="s">
        <v>333</v>
      </c>
    </row>
    <row r="561" spans="1:36" ht="16" hidden="1" thickBot="1" x14ac:dyDescent="0.25">
      <c r="A561" s="119" t="s">
        <v>332</v>
      </c>
      <c r="B561" s="120" t="s">
        <v>1272</v>
      </c>
      <c r="C561" s="108" t="str">
        <f t="shared" si="137"/>
        <v>/Applications/Stellarium.app/Contents/Resources/nebulae/default/n3198-sdss.png</v>
      </c>
      <c r="D561" s="121" t="s">
        <v>1991</v>
      </c>
      <c r="E561" s="109"/>
      <c r="F561" s="122">
        <v>10</v>
      </c>
      <c r="G561" s="123">
        <v>20</v>
      </c>
      <c r="H561" s="122">
        <v>45</v>
      </c>
      <c r="I561" s="124">
        <v>28</v>
      </c>
      <c r="J561" s="112" t="s">
        <v>903</v>
      </c>
      <c r="K561" s="125">
        <v>14.5</v>
      </c>
      <c r="L561" s="196"/>
      <c r="M561" s="110">
        <f t="shared" si="138"/>
        <v>45.466666666666669</v>
      </c>
      <c r="N561" s="111">
        <f t="shared" si="139"/>
        <v>83.24666666666667</v>
      </c>
      <c r="O561" s="112">
        <f t="shared" si="140"/>
        <v>10.333333333333334</v>
      </c>
      <c r="P561" s="113">
        <f t="shared" ca="1" si="141"/>
        <v>46431.782727999998</v>
      </c>
      <c r="Q561" s="114">
        <f t="shared" ca="1" si="142"/>
        <v>46446.782727999998</v>
      </c>
      <c r="R561" s="114" t="b">
        <f t="shared" ca="1" si="129"/>
        <v>0</v>
      </c>
      <c r="S561" s="115">
        <f t="shared" ca="1" si="130"/>
        <v>0</v>
      </c>
      <c r="T561" s="126">
        <f t="shared" ca="1" si="131"/>
        <v>46446.782727999998</v>
      </c>
      <c r="U561" s="127" t="str">
        <f t="shared" si="128"/>
        <v>S</v>
      </c>
      <c r="V561" s="128">
        <f t="shared" si="143"/>
        <v>83.24666666666667</v>
      </c>
      <c r="W561" s="129">
        <f t="shared" si="132"/>
        <v>83.24666666666667</v>
      </c>
      <c r="X561" s="197"/>
      <c r="Y561" s="115">
        <f t="shared" ca="1" si="133"/>
        <v>82</v>
      </c>
      <c r="Z561" s="118">
        <f t="shared" ca="1" si="134"/>
        <v>0.77534246575342469</v>
      </c>
      <c r="AA561" s="116"/>
      <c r="AB561" s="117">
        <f t="shared" si="135"/>
        <v>17.645879783867265</v>
      </c>
      <c r="AC561" s="118">
        <f t="shared" si="136"/>
        <v>0.81857832432780275</v>
      </c>
      <c r="AE561" s="55"/>
      <c r="AF561" s="72"/>
      <c r="AG561" s="72"/>
      <c r="AH561" s="66"/>
      <c r="AJ561" t="s">
        <v>332</v>
      </c>
    </row>
    <row r="562" spans="1:36" ht="16" hidden="1" thickBot="1" x14ac:dyDescent="0.25">
      <c r="A562" s="119" t="s">
        <v>336</v>
      </c>
      <c r="B562" s="120" t="s">
        <v>1275</v>
      </c>
      <c r="C562" s="108" t="str">
        <f t="shared" si="137"/>
        <v>/Applications/Stellarium.app/Contents/Resources/nebulae/default/n3227.png</v>
      </c>
      <c r="D562" s="121" t="s">
        <v>1992</v>
      </c>
      <c r="E562" s="109"/>
      <c r="F562" s="122">
        <v>10</v>
      </c>
      <c r="G562" s="123">
        <v>23</v>
      </c>
      <c r="H562" s="122">
        <v>19</v>
      </c>
      <c r="I562" s="124">
        <v>42</v>
      </c>
      <c r="J562" s="112" t="s">
        <v>905</v>
      </c>
      <c r="K562" s="125">
        <v>13.4</v>
      </c>
      <c r="L562" s="196"/>
      <c r="M562" s="110">
        <f t="shared" si="138"/>
        <v>19.7</v>
      </c>
      <c r="N562" s="111">
        <f t="shared" si="139"/>
        <v>57.480000000000004</v>
      </c>
      <c r="O562" s="112">
        <f t="shared" si="140"/>
        <v>10.383333333333333</v>
      </c>
      <c r="P562" s="113">
        <f t="shared" ca="1" si="141"/>
        <v>46432.543647999999</v>
      </c>
      <c r="Q562" s="114">
        <f t="shared" ca="1" si="142"/>
        <v>46447.543647999999</v>
      </c>
      <c r="R562" s="114" t="b">
        <f t="shared" ca="1" si="129"/>
        <v>0</v>
      </c>
      <c r="S562" s="115">
        <f t="shared" ca="1" si="130"/>
        <v>0</v>
      </c>
      <c r="T562" s="126">
        <f t="shared" ca="1" si="131"/>
        <v>46447.543647999999</v>
      </c>
      <c r="U562" s="127" t="str">
        <f t="shared" si="128"/>
        <v>S</v>
      </c>
      <c r="V562" s="128">
        <f t="shared" si="143"/>
        <v>57.480000000000004</v>
      </c>
      <c r="W562" s="129">
        <f t="shared" si="132"/>
        <v>57.480000000000004</v>
      </c>
      <c r="X562" s="197"/>
      <c r="Y562" s="115">
        <f t="shared" ca="1" si="133"/>
        <v>81</v>
      </c>
      <c r="Z562" s="118">
        <f t="shared" ca="1" si="134"/>
        <v>0.77808219178082194</v>
      </c>
      <c r="AA562" s="116"/>
      <c r="AB562" s="117">
        <f t="shared" si="135"/>
        <v>17.695743262183758</v>
      </c>
      <c r="AC562" s="118">
        <f t="shared" si="136"/>
        <v>0.8206559692576566</v>
      </c>
      <c r="AE562" s="55"/>
      <c r="AF562" s="72"/>
      <c r="AG562" s="72"/>
      <c r="AH562" s="66"/>
      <c r="AJ562" t="s">
        <v>336</v>
      </c>
    </row>
    <row r="563" spans="1:36" ht="16" hidden="1" thickBot="1" x14ac:dyDescent="0.25">
      <c r="A563" s="119" t="s">
        <v>337</v>
      </c>
      <c r="B563" s="120" t="s">
        <v>1294</v>
      </c>
      <c r="C563" s="108" t="str">
        <f t="shared" si="137"/>
        <v>/Applications/Stellarium.app/Contents/Resources/nebulae/default/n3242.png</v>
      </c>
      <c r="D563" s="121" t="s">
        <v>1993</v>
      </c>
      <c r="E563" s="109"/>
      <c r="F563" s="122">
        <v>10</v>
      </c>
      <c r="G563" s="123">
        <v>24</v>
      </c>
      <c r="H563" s="122">
        <v>-19</v>
      </c>
      <c r="I563" s="124">
        <v>18</v>
      </c>
      <c r="J563" s="112" t="s">
        <v>906</v>
      </c>
      <c r="K563" s="125">
        <v>8.5</v>
      </c>
      <c r="L563" s="196"/>
      <c r="M563" s="110">
        <f t="shared" si="138"/>
        <v>-18.7</v>
      </c>
      <c r="N563" s="111">
        <f t="shared" si="139"/>
        <v>19.080000000000002</v>
      </c>
      <c r="O563" s="112">
        <f t="shared" si="140"/>
        <v>10.4</v>
      </c>
      <c r="P563" s="113">
        <f t="shared" ca="1" si="141"/>
        <v>46432.797288000002</v>
      </c>
      <c r="Q563" s="114">
        <f t="shared" ca="1" si="142"/>
        <v>46447.797288000002</v>
      </c>
      <c r="R563" s="114" t="b">
        <f t="shared" ca="1" si="129"/>
        <v>0</v>
      </c>
      <c r="S563" s="115">
        <f t="shared" ca="1" si="130"/>
        <v>0</v>
      </c>
      <c r="T563" s="126">
        <f t="shared" ca="1" si="131"/>
        <v>46447.797288000002</v>
      </c>
      <c r="U563" s="127" t="str">
        <f t="shared" si="128"/>
        <v>S</v>
      </c>
      <c r="V563" s="128">
        <f t="shared" si="143"/>
        <v>19.080000000000002</v>
      </c>
      <c r="W563" s="129">
        <f t="shared" si="132"/>
        <v>19.080000000000002</v>
      </c>
      <c r="X563" s="197"/>
      <c r="Y563" s="115">
        <f t="shared" ca="1" si="133"/>
        <v>81</v>
      </c>
      <c r="Z563" s="118">
        <f t="shared" ca="1" si="134"/>
        <v>0.77808219178082194</v>
      </c>
      <c r="AA563" s="116"/>
      <c r="AB563" s="117">
        <f t="shared" si="135"/>
        <v>17.712364421622588</v>
      </c>
      <c r="AC563" s="118">
        <f t="shared" si="136"/>
        <v>0.82134851756760785</v>
      </c>
      <c r="AE563" s="55"/>
      <c r="AF563" s="72"/>
      <c r="AG563" s="72"/>
      <c r="AH563" s="66"/>
      <c r="AJ563" t="s">
        <v>337</v>
      </c>
    </row>
    <row r="564" spans="1:36" ht="16" hidden="1" thickBot="1" x14ac:dyDescent="0.25">
      <c r="A564" s="119" t="s">
        <v>648</v>
      </c>
      <c r="B564" s="120" t="s">
        <v>1411</v>
      </c>
      <c r="C564" s="108" t="str">
        <f t="shared" si="137"/>
        <v>/Applications/Stellarium.app/Contents/Resources/nebulae/default/rcw49.png</v>
      </c>
      <c r="D564" s="121" t="s">
        <v>1994</v>
      </c>
      <c r="E564" s="109"/>
      <c r="F564" s="122">
        <v>10</v>
      </c>
      <c r="G564" s="123">
        <v>26</v>
      </c>
      <c r="H564" s="122">
        <v>-59</v>
      </c>
      <c r="I564" s="124">
        <v>57</v>
      </c>
      <c r="J564" s="112" t="s">
        <v>1144</v>
      </c>
      <c r="K564" s="125">
        <v>14.3</v>
      </c>
      <c r="L564" s="196"/>
      <c r="M564" s="110">
        <f t="shared" si="138"/>
        <v>-58.05</v>
      </c>
      <c r="N564" s="111">
        <f t="shared" si="139"/>
        <v>-20.269999999999996</v>
      </c>
      <c r="O564" s="112">
        <f t="shared" si="140"/>
        <v>10.433333333333334</v>
      </c>
      <c r="P564" s="113">
        <f t="shared" ca="1" si="141"/>
        <v>46433.304568</v>
      </c>
      <c r="Q564" s="114">
        <f t="shared" ca="1" si="142"/>
        <v>46448.304568</v>
      </c>
      <c r="R564" s="114" t="b">
        <f t="shared" ca="1" si="129"/>
        <v>0</v>
      </c>
      <c r="S564" s="115">
        <f t="shared" ca="1" si="130"/>
        <v>0</v>
      </c>
      <c r="T564" s="126">
        <f t="shared" ca="1" si="131"/>
        <v>46448.304568</v>
      </c>
      <c r="U564" s="127" t="str">
        <f t="shared" ref="U564:U627" si="144">IF(N564&lt;90,"S","N")</f>
        <v>S</v>
      </c>
      <c r="V564" s="128">
        <f t="shared" si="143"/>
        <v>-20.269999999999996</v>
      </c>
      <c r="W564" s="129">
        <f t="shared" si="132"/>
        <v>-20.269999999999996</v>
      </c>
      <c r="X564" s="197"/>
      <c r="Y564" s="115">
        <f t="shared" ca="1" si="133"/>
        <v>81</v>
      </c>
      <c r="Z564" s="118">
        <f t="shared" ca="1" si="134"/>
        <v>0.77808219178082194</v>
      </c>
      <c r="AA564" s="116"/>
      <c r="AB564" s="117">
        <f t="shared" si="135"/>
        <v>17.74560674050025</v>
      </c>
      <c r="AC564" s="118">
        <f t="shared" si="136"/>
        <v>0.82273361418751045</v>
      </c>
      <c r="AE564" s="55"/>
      <c r="AF564" s="72"/>
      <c r="AG564" s="72"/>
      <c r="AH564" s="66"/>
      <c r="AJ564" t="s">
        <v>648</v>
      </c>
    </row>
    <row r="565" spans="1:36" ht="16" thickBot="1" x14ac:dyDescent="0.25">
      <c r="A565" s="119" t="s">
        <v>588</v>
      </c>
      <c r="B565" s="120" t="s">
        <v>1373</v>
      </c>
      <c r="C565" s="108" t="str">
        <f t="shared" si="137"/>
        <v>/Applications/Stellarium.app/Contents/Resources/nebulae/default/ic2574.png</v>
      </c>
      <c r="D565" s="121" t="s">
        <v>1995</v>
      </c>
      <c r="E565" s="109"/>
      <c r="F565" s="122">
        <v>10</v>
      </c>
      <c r="G565" s="123">
        <v>29</v>
      </c>
      <c r="H565" s="122">
        <v>68</v>
      </c>
      <c r="I565" s="124">
        <v>17</v>
      </c>
      <c r="J565" s="112" t="s">
        <v>1105</v>
      </c>
      <c r="K565" s="125">
        <v>14.9</v>
      </c>
      <c r="L565" s="196"/>
      <c r="M565" s="110">
        <f t="shared" si="138"/>
        <v>68.283333333333331</v>
      </c>
      <c r="N565" s="111">
        <f t="shared" si="139"/>
        <v>106.06333333333333</v>
      </c>
      <c r="O565" s="112">
        <f t="shared" si="140"/>
        <v>10.483333333333333</v>
      </c>
      <c r="P565" s="113">
        <f t="shared" ca="1" si="141"/>
        <v>46434.065488</v>
      </c>
      <c r="Q565" s="114">
        <f t="shared" ca="1" si="142"/>
        <v>46449.065488</v>
      </c>
      <c r="R565" s="114" t="b">
        <f t="shared" ca="1" si="129"/>
        <v>0</v>
      </c>
      <c r="S565" s="115">
        <f t="shared" ca="1" si="130"/>
        <v>0</v>
      </c>
      <c r="T565" s="126">
        <f t="shared" ca="1" si="131"/>
        <v>46449.065488</v>
      </c>
      <c r="U565" s="127" t="str">
        <f t="shared" si="144"/>
        <v>N</v>
      </c>
      <c r="V565" s="128">
        <f t="shared" si="143"/>
        <v>73.936666666666667</v>
      </c>
      <c r="W565" s="129">
        <f t="shared" si="132"/>
        <v>73.936666666666667</v>
      </c>
      <c r="X565" s="197"/>
      <c r="Y565" s="115">
        <f t="shared" ca="1" si="133"/>
        <v>80</v>
      </c>
      <c r="Z565" s="118">
        <f t="shared" ca="1" si="134"/>
        <v>0.78082191780821919</v>
      </c>
      <c r="AA565" s="116"/>
      <c r="AB565" s="117">
        <f t="shared" si="135"/>
        <v>17.795470218816746</v>
      </c>
      <c r="AC565" s="118">
        <f t="shared" si="136"/>
        <v>0.82481125911736441</v>
      </c>
      <c r="AE565" s="55"/>
      <c r="AF565" s="72"/>
      <c r="AG565" s="72"/>
      <c r="AH565" s="66"/>
      <c r="AJ565" t="s">
        <v>588</v>
      </c>
    </row>
    <row r="566" spans="1:36" ht="16" hidden="1" thickBot="1" x14ac:dyDescent="0.25">
      <c r="A566" s="119" t="s">
        <v>338</v>
      </c>
      <c r="B566" s="120" t="s">
        <v>1207</v>
      </c>
      <c r="C566" s="108" t="str">
        <f t="shared" si="137"/>
        <v>/Applications/Stellarium.app/Contents/Resources/nebulae/default/n3293.png</v>
      </c>
      <c r="D566" s="121" t="s">
        <v>1996</v>
      </c>
      <c r="E566" s="109"/>
      <c r="F566" s="122">
        <v>10</v>
      </c>
      <c r="G566" s="123">
        <v>36</v>
      </c>
      <c r="H566" s="122">
        <v>-59</v>
      </c>
      <c r="I566" s="124">
        <v>40</v>
      </c>
      <c r="J566" s="112" t="s">
        <v>844</v>
      </c>
      <c r="K566" s="125">
        <v>14.4</v>
      </c>
      <c r="L566" s="196"/>
      <c r="M566" s="110">
        <f t="shared" si="138"/>
        <v>-58.333333333333336</v>
      </c>
      <c r="N566" s="111">
        <f t="shared" si="139"/>
        <v>-20.553333333333335</v>
      </c>
      <c r="O566" s="112">
        <f t="shared" si="140"/>
        <v>10.6</v>
      </c>
      <c r="P566" s="113">
        <f t="shared" ca="1" si="141"/>
        <v>46435.840967999997</v>
      </c>
      <c r="Q566" s="114">
        <f t="shared" ca="1" si="142"/>
        <v>46450.840967999997</v>
      </c>
      <c r="R566" s="114" t="b">
        <f t="shared" ca="1" si="129"/>
        <v>0</v>
      </c>
      <c r="S566" s="115">
        <f t="shared" ca="1" si="130"/>
        <v>0</v>
      </c>
      <c r="T566" s="126">
        <f t="shared" ca="1" si="131"/>
        <v>46450.840967999997</v>
      </c>
      <c r="U566" s="127" t="str">
        <f t="shared" si="144"/>
        <v>S</v>
      </c>
      <c r="V566" s="128">
        <f t="shared" si="143"/>
        <v>-20.553333333333335</v>
      </c>
      <c r="W566" s="129">
        <f t="shared" si="132"/>
        <v>-20.553333333333335</v>
      </c>
      <c r="X566" s="197"/>
      <c r="Y566" s="115">
        <f t="shared" ca="1" si="133"/>
        <v>78</v>
      </c>
      <c r="Z566" s="118">
        <f t="shared" ca="1" si="134"/>
        <v>0.78630136986301369</v>
      </c>
      <c r="AA566" s="116"/>
      <c r="AB566" s="117">
        <f t="shared" si="135"/>
        <v>17.911818334888565</v>
      </c>
      <c r="AC566" s="118">
        <f t="shared" si="136"/>
        <v>0.82965909728702358</v>
      </c>
      <c r="AE566" s="55"/>
      <c r="AF566" s="72"/>
      <c r="AG566" s="72"/>
      <c r="AH566" s="66"/>
      <c r="AJ566" t="s">
        <v>338</v>
      </c>
    </row>
    <row r="567" spans="1:36" ht="16" hidden="1" thickBot="1" x14ac:dyDescent="0.25">
      <c r="A567" s="119" t="s">
        <v>340</v>
      </c>
      <c r="B567" s="120" t="s">
        <v>1295</v>
      </c>
      <c r="C567" s="108" t="str">
        <f t="shared" si="137"/>
        <v>/Applications/Stellarium.app/Contents/Resources/nebulae/default/n3314.png</v>
      </c>
      <c r="D567" s="121" t="s">
        <v>1997</v>
      </c>
      <c r="E567" s="109"/>
      <c r="F567" s="122">
        <v>10</v>
      </c>
      <c r="G567" s="123">
        <v>37</v>
      </c>
      <c r="H567" s="122">
        <v>-28</v>
      </c>
      <c r="I567" s="124">
        <v>17</v>
      </c>
      <c r="J567" s="112" t="s">
        <v>908</v>
      </c>
      <c r="K567" s="125">
        <v>14.5</v>
      </c>
      <c r="L567" s="196"/>
      <c r="M567" s="110">
        <f t="shared" si="138"/>
        <v>-27.716666666666665</v>
      </c>
      <c r="N567" s="111">
        <f t="shared" si="139"/>
        <v>10.063333333333336</v>
      </c>
      <c r="O567" s="112">
        <f t="shared" si="140"/>
        <v>10.616666666666667</v>
      </c>
      <c r="P567" s="113">
        <f t="shared" ca="1" si="141"/>
        <v>46436.094607999999</v>
      </c>
      <c r="Q567" s="114">
        <f t="shared" ca="1" si="142"/>
        <v>46451.094607999999</v>
      </c>
      <c r="R567" s="114" t="b">
        <f t="shared" ca="1" si="129"/>
        <v>0</v>
      </c>
      <c r="S567" s="115">
        <f t="shared" ca="1" si="130"/>
        <v>0</v>
      </c>
      <c r="T567" s="126">
        <f t="shared" ca="1" si="131"/>
        <v>46451.094607999999</v>
      </c>
      <c r="U567" s="127" t="str">
        <f t="shared" si="144"/>
        <v>S</v>
      </c>
      <c r="V567" s="128">
        <f t="shared" si="143"/>
        <v>10.063333333333336</v>
      </c>
      <c r="W567" s="129">
        <f t="shared" si="132"/>
        <v>10.063333333333336</v>
      </c>
      <c r="X567" s="197"/>
      <c r="Y567" s="115">
        <f t="shared" ca="1" si="133"/>
        <v>78</v>
      </c>
      <c r="Z567" s="118">
        <f t="shared" ca="1" si="134"/>
        <v>0.78630136986301369</v>
      </c>
      <c r="AA567" s="116"/>
      <c r="AB567" s="117">
        <f t="shared" si="135"/>
        <v>17.928439494327396</v>
      </c>
      <c r="AC567" s="118">
        <f t="shared" si="136"/>
        <v>0.83035164559697483</v>
      </c>
      <c r="AE567" s="55"/>
      <c r="AF567" s="72"/>
      <c r="AG567" s="72"/>
      <c r="AH567" s="66"/>
      <c r="AJ567" t="s">
        <v>340</v>
      </c>
    </row>
    <row r="568" spans="1:36" ht="16" hidden="1" thickBot="1" x14ac:dyDescent="0.25">
      <c r="A568" s="119" t="s">
        <v>716</v>
      </c>
      <c r="B568" s="120" t="s">
        <v>1442</v>
      </c>
      <c r="C568" s="108" t="str">
        <f t="shared" si="137"/>
        <v>/Applications/Stellarium.app/Contents/Resources/nebulae/default/hydra_cluster.png</v>
      </c>
      <c r="D568" s="121" t="s">
        <v>1998</v>
      </c>
      <c r="E568" s="109"/>
      <c r="F568" s="122">
        <v>10</v>
      </c>
      <c r="G568" s="123">
        <v>38</v>
      </c>
      <c r="H568" s="122">
        <v>-28</v>
      </c>
      <c r="I568" s="124">
        <v>30</v>
      </c>
      <c r="J568" s="112" t="s">
        <v>1144</v>
      </c>
      <c r="K568" s="125">
        <v>13.4</v>
      </c>
      <c r="L568" s="196"/>
      <c r="M568" s="110">
        <f t="shared" si="138"/>
        <v>-27.5</v>
      </c>
      <c r="N568" s="111">
        <f t="shared" si="139"/>
        <v>10.280000000000001</v>
      </c>
      <c r="O568" s="112">
        <f t="shared" si="140"/>
        <v>10.633333333333333</v>
      </c>
      <c r="P568" s="113">
        <f t="shared" ca="1" si="141"/>
        <v>46436.348248000002</v>
      </c>
      <c r="Q568" s="114">
        <f t="shared" ca="1" si="142"/>
        <v>46451.348248000002</v>
      </c>
      <c r="R568" s="114" t="b">
        <f t="shared" ca="1" si="129"/>
        <v>0</v>
      </c>
      <c r="S568" s="115">
        <f t="shared" ca="1" si="130"/>
        <v>0</v>
      </c>
      <c r="T568" s="126">
        <f t="shared" ca="1" si="131"/>
        <v>46451.348248000002</v>
      </c>
      <c r="U568" s="127" t="str">
        <f t="shared" si="144"/>
        <v>S</v>
      </c>
      <c r="V568" s="128">
        <f t="shared" si="143"/>
        <v>10.280000000000001</v>
      </c>
      <c r="W568" s="129">
        <f t="shared" si="132"/>
        <v>10.280000000000001</v>
      </c>
      <c r="X568" s="197"/>
      <c r="Y568" s="115">
        <f t="shared" ca="1" si="133"/>
        <v>78</v>
      </c>
      <c r="Z568" s="118">
        <f t="shared" ca="1" si="134"/>
        <v>0.78630136986301369</v>
      </c>
      <c r="AA568" s="116"/>
      <c r="AB568" s="117">
        <f t="shared" si="135"/>
        <v>17.945060653766227</v>
      </c>
      <c r="AC568" s="118">
        <f t="shared" si="136"/>
        <v>0.83104419390692608</v>
      </c>
      <c r="AE568" s="55"/>
      <c r="AF568" s="72"/>
      <c r="AG568" s="72"/>
      <c r="AH568" s="66"/>
      <c r="AJ568" t="s">
        <v>716</v>
      </c>
    </row>
    <row r="569" spans="1:36" ht="16" hidden="1" thickBot="1" x14ac:dyDescent="0.25">
      <c r="A569" s="119" t="s">
        <v>339</v>
      </c>
      <c r="B569" s="120" t="s">
        <v>1269</v>
      </c>
      <c r="C569" s="108" t="str">
        <f t="shared" si="137"/>
        <v>/Applications/Stellarium.app/Contents/Resources/nebulae/default/n3310-vasey.png</v>
      </c>
      <c r="D569" s="121" t="s">
        <v>1999</v>
      </c>
      <c r="E569" s="109"/>
      <c r="F569" s="122">
        <v>10</v>
      </c>
      <c r="G569" s="123">
        <v>39</v>
      </c>
      <c r="H569" s="122">
        <v>53</v>
      </c>
      <c r="I569" s="124">
        <v>25</v>
      </c>
      <c r="J569" s="112" t="s">
        <v>907</v>
      </c>
      <c r="K569" s="125">
        <v>12.7</v>
      </c>
      <c r="L569" s="196"/>
      <c r="M569" s="110">
        <f t="shared" si="138"/>
        <v>53.416666666666664</v>
      </c>
      <c r="N569" s="111">
        <f t="shared" si="139"/>
        <v>91.196666666666658</v>
      </c>
      <c r="O569" s="112">
        <f t="shared" si="140"/>
        <v>10.65</v>
      </c>
      <c r="P569" s="113">
        <f t="shared" ca="1" si="141"/>
        <v>46436.601887999997</v>
      </c>
      <c r="Q569" s="114">
        <f t="shared" ca="1" si="142"/>
        <v>46451.601887999997</v>
      </c>
      <c r="R569" s="114" t="b">
        <f t="shared" ca="1" si="129"/>
        <v>0</v>
      </c>
      <c r="S569" s="115">
        <f t="shared" ca="1" si="130"/>
        <v>0</v>
      </c>
      <c r="T569" s="126">
        <f t="shared" ca="1" si="131"/>
        <v>46451.601887999997</v>
      </c>
      <c r="U569" s="127" t="str">
        <f t="shared" si="144"/>
        <v>N</v>
      </c>
      <c r="V569" s="128">
        <f t="shared" si="143"/>
        <v>88.803333333333342</v>
      </c>
      <c r="W569" s="129">
        <f t="shared" si="132"/>
        <v>88.803333333333342</v>
      </c>
      <c r="X569" s="197"/>
      <c r="Y569" s="115">
        <f t="shared" ca="1" si="133"/>
        <v>77</v>
      </c>
      <c r="Z569" s="118">
        <f t="shared" ca="1" si="134"/>
        <v>0.78904109589041094</v>
      </c>
      <c r="AA569" s="116"/>
      <c r="AB569" s="117">
        <f t="shared" si="135"/>
        <v>17.961681813205054</v>
      </c>
      <c r="AC569" s="118">
        <f t="shared" si="136"/>
        <v>0.83173674221687721</v>
      </c>
      <c r="AE569" s="55"/>
      <c r="AF569" s="72"/>
      <c r="AG569" s="72"/>
      <c r="AH569" s="66"/>
      <c r="AJ569" t="s">
        <v>339</v>
      </c>
    </row>
    <row r="570" spans="1:36" ht="16" hidden="1" thickBot="1" x14ac:dyDescent="0.25">
      <c r="A570" s="119" t="s">
        <v>649</v>
      </c>
      <c r="B570" s="120" t="s">
        <v>1411</v>
      </c>
      <c r="C570" s="108" t="str">
        <f t="shared" si="137"/>
        <v>/Applications/Stellarium.app/Contents/Resources/nebulae/default/rcw53.png</v>
      </c>
      <c r="D570" s="121" t="s">
        <v>2000</v>
      </c>
      <c r="E570" s="109"/>
      <c r="F570" s="122">
        <v>10</v>
      </c>
      <c r="G570" s="123">
        <v>39</v>
      </c>
      <c r="H570" s="122">
        <v>-59</v>
      </c>
      <c r="I570" s="124">
        <v>2</v>
      </c>
      <c r="J570" s="112" t="s">
        <v>1144</v>
      </c>
      <c r="K570" s="125">
        <v>13.9</v>
      </c>
      <c r="L570" s="196"/>
      <c r="M570" s="110">
        <f t="shared" si="138"/>
        <v>-58.966666666666669</v>
      </c>
      <c r="N570" s="111">
        <f t="shared" si="139"/>
        <v>-21.186666666666667</v>
      </c>
      <c r="O570" s="112">
        <f t="shared" si="140"/>
        <v>10.65</v>
      </c>
      <c r="P570" s="113">
        <f t="shared" ca="1" si="141"/>
        <v>46436.601887999997</v>
      </c>
      <c r="Q570" s="114">
        <f t="shared" ca="1" si="142"/>
        <v>46451.601887999997</v>
      </c>
      <c r="R570" s="114" t="b">
        <f t="shared" ca="1" si="129"/>
        <v>0</v>
      </c>
      <c r="S570" s="115">
        <f t="shared" ca="1" si="130"/>
        <v>0</v>
      </c>
      <c r="T570" s="126">
        <f t="shared" ca="1" si="131"/>
        <v>46451.601887999997</v>
      </c>
      <c r="U570" s="127" t="str">
        <f t="shared" si="144"/>
        <v>S</v>
      </c>
      <c r="V570" s="128">
        <f t="shared" si="143"/>
        <v>-21.186666666666667</v>
      </c>
      <c r="W570" s="129">
        <f t="shared" si="132"/>
        <v>-21.186666666666667</v>
      </c>
      <c r="X570" s="197"/>
      <c r="Y570" s="115">
        <f t="shared" ca="1" si="133"/>
        <v>77</v>
      </c>
      <c r="Z570" s="118">
        <f t="shared" ca="1" si="134"/>
        <v>0.78904109589041094</v>
      </c>
      <c r="AA570" s="116"/>
      <c r="AB570" s="117">
        <f t="shared" si="135"/>
        <v>17.961681813205054</v>
      </c>
      <c r="AC570" s="118">
        <f t="shared" si="136"/>
        <v>0.83173674221687721</v>
      </c>
      <c r="AE570" s="55"/>
      <c r="AF570" s="72"/>
      <c r="AG570" s="72"/>
      <c r="AH570" s="66"/>
      <c r="AJ570" t="s">
        <v>649</v>
      </c>
    </row>
    <row r="571" spans="1:36" ht="16" hidden="1" thickBot="1" x14ac:dyDescent="0.25">
      <c r="A571" s="119" t="s">
        <v>341</v>
      </c>
      <c r="B571" s="120" t="s">
        <v>1269</v>
      </c>
      <c r="C571" s="108" t="str">
        <f t="shared" si="137"/>
        <v>/Applications/Stellarium.app/Contents/Resources/nebulae/default/n3344-vasey.png</v>
      </c>
      <c r="D571" s="121" t="s">
        <v>2001</v>
      </c>
      <c r="E571" s="109"/>
      <c r="F571" s="122">
        <v>10</v>
      </c>
      <c r="G571" s="123">
        <v>43</v>
      </c>
      <c r="H571" s="122">
        <v>24</v>
      </c>
      <c r="I571" s="124">
        <v>50</v>
      </c>
      <c r="J571" s="112" t="s">
        <v>909</v>
      </c>
      <c r="K571" s="125">
        <v>13.4</v>
      </c>
      <c r="L571" s="196"/>
      <c r="M571" s="110">
        <f t="shared" si="138"/>
        <v>24.833333333333332</v>
      </c>
      <c r="N571" s="111">
        <f t="shared" si="139"/>
        <v>62.61333333333333</v>
      </c>
      <c r="O571" s="112">
        <f t="shared" si="140"/>
        <v>10.716666666666667</v>
      </c>
      <c r="P571" s="113">
        <f t="shared" ca="1" si="141"/>
        <v>46437.616448000001</v>
      </c>
      <c r="Q571" s="114">
        <f t="shared" ca="1" si="142"/>
        <v>46452.616448000001</v>
      </c>
      <c r="R571" s="114" t="b">
        <f t="shared" ca="1" si="129"/>
        <v>0</v>
      </c>
      <c r="S571" s="115">
        <f t="shared" ca="1" si="130"/>
        <v>0</v>
      </c>
      <c r="T571" s="126">
        <f t="shared" ca="1" si="131"/>
        <v>46452.616448000001</v>
      </c>
      <c r="U571" s="127" t="str">
        <f t="shared" si="144"/>
        <v>S</v>
      </c>
      <c r="V571" s="128">
        <f t="shared" si="143"/>
        <v>62.61333333333333</v>
      </c>
      <c r="W571" s="129">
        <f t="shared" si="132"/>
        <v>62.61333333333333</v>
      </c>
      <c r="X571" s="197"/>
      <c r="Y571" s="115">
        <f t="shared" ca="1" si="133"/>
        <v>76</v>
      </c>
      <c r="Z571" s="118">
        <f t="shared" ca="1" si="134"/>
        <v>0.79178082191780819</v>
      </c>
      <c r="AA571" s="116"/>
      <c r="AB571" s="117">
        <f t="shared" si="135"/>
        <v>18.028166450960384</v>
      </c>
      <c r="AC571" s="118">
        <f t="shared" si="136"/>
        <v>0.83450693545668264</v>
      </c>
      <c r="AE571" s="55"/>
      <c r="AF571" s="72"/>
      <c r="AG571" s="72"/>
      <c r="AH571" s="66"/>
      <c r="AJ571" t="s">
        <v>341</v>
      </c>
    </row>
    <row r="572" spans="1:36" ht="16" hidden="1" thickBot="1" x14ac:dyDescent="0.25">
      <c r="A572" s="119" t="s">
        <v>182</v>
      </c>
      <c r="B572" s="120" t="s">
        <v>1251</v>
      </c>
      <c r="C572" s="108" t="str">
        <f t="shared" si="137"/>
        <v>/Applications/Stellarium.app/Contents/Resources/nebulae/default/m95.png</v>
      </c>
      <c r="D572" s="121" t="s">
        <v>2002</v>
      </c>
      <c r="E572" s="109"/>
      <c r="F572" s="122">
        <v>10</v>
      </c>
      <c r="G572" s="123">
        <v>44</v>
      </c>
      <c r="H572" s="122">
        <v>11</v>
      </c>
      <c r="I572" s="124">
        <v>37</v>
      </c>
      <c r="J572" s="112" t="s">
        <v>776</v>
      </c>
      <c r="K572" s="125">
        <v>13.6</v>
      </c>
      <c r="L572" s="196"/>
      <c r="M572" s="110">
        <f t="shared" si="138"/>
        <v>11.616666666666667</v>
      </c>
      <c r="N572" s="111">
        <f t="shared" si="139"/>
        <v>49.396666666666668</v>
      </c>
      <c r="O572" s="112">
        <f t="shared" si="140"/>
        <v>10.733333333333333</v>
      </c>
      <c r="P572" s="113">
        <f t="shared" ca="1" si="141"/>
        <v>46437.870088000003</v>
      </c>
      <c r="Q572" s="114">
        <f t="shared" ca="1" si="142"/>
        <v>46452.870088000003</v>
      </c>
      <c r="R572" s="114" t="b">
        <f t="shared" ca="1" si="129"/>
        <v>0</v>
      </c>
      <c r="S572" s="115">
        <f t="shared" ca="1" si="130"/>
        <v>0</v>
      </c>
      <c r="T572" s="126">
        <f t="shared" ca="1" si="131"/>
        <v>46452.870088000003</v>
      </c>
      <c r="U572" s="127" t="str">
        <f t="shared" si="144"/>
        <v>S</v>
      </c>
      <c r="V572" s="128">
        <f t="shared" si="143"/>
        <v>49.396666666666668</v>
      </c>
      <c r="W572" s="129">
        <f t="shared" si="132"/>
        <v>49.396666666666668</v>
      </c>
      <c r="X572" s="197"/>
      <c r="Y572" s="115">
        <f t="shared" ca="1" si="133"/>
        <v>76</v>
      </c>
      <c r="Z572" s="118">
        <f t="shared" ca="1" si="134"/>
        <v>0.79178082191780819</v>
      </c>
      <c r="AA572" s="116"/>
      <c r="AB572" s="117">
        <f t="shared" si="135"/>
        <v>18.044787610399215</v>
      </c>
      <c r="AC572" s="118">
        <f t="shared" si="136"/>
        <v>0.835199483766634</v>
      </c>
      <c r="AE572" s="55"/>
      <c r="AF572" s="72"/>
      <c r="AG572" s="72"/>
      <c r="AH572" s="66"/>
      <c r="AJ572" t="s">
        <v>182</v>
      </c>
    </row>
    <row r="573" spans="1:36" ht="16" hidden="1" thickBot="1" x14ac:dyDescent="0.25">
      <c r="A573" s="119" t="s">
        <v>183</v>
      </c>
      <c r="B573" s="120" t="s">
        <v>1252</v>
      </c>
      <c r="C573" s="108" t="str">
        <f t="shared" si="137"/>
        <v>/Applications/Stellarium.app/Contents/Resources/nebulae/default/m96-vasey.png</v>
      </c>
      <c r="D573" s="121" t="s">
        <v>2003</v>
      </c>
      <c r="E573" s="109"/>
      <c r="F573" s="122">
        <v>10</v>
      </c>
      <c r="G573" s="123">
        <v>47</v>
      </c>
      <c r="H573" s="122">
        <v>11</v>
      </c>
      <c r="I573" s="124">
        <v>47</v>
      </c>
      <c r="J573" s="112" t="s">
        <v>777</v>
      </c>
      <c r="K573" s="125">
        <v>13.4</v>
      </c>
      <c r="L573" s="196"/>
      <c r="M573" s="110">
        <f t="shared" si="138"/>
        <v>11.783333333333333</v>
      </c>
      <c r="N573" s="111">
        <f t="shared" si="139"/>
        <v>49.563333333333333</v>
      </c>
      <c r="O573" s="112">
        <f t="shared" si="140"/>
        <v>10.783333333333333</v>
      </c>
      <c r="P573" s="113">
        <f t="shared" ca="1" si="141"/>
        <v>46438.631007999997</v>
      </c>
      <c r="Q573" s="114">
        <f t="shared" ca="1" si="142"/>
        <v>46453.631007999997</v>
      </c>
      <c r="R573" s="114" t="b">
        <f t="shared" ca="1" si="129"/>
        <v>0</v>
      </c>
      <c r="S573" s="115">
        <f t="shared" ca="1" si="130"/>
        <v>0</v>
      </c>
      <c r="T573" s="126">
        <f t="shared" ca="1" si="131"/>
        <v>46453.631007999997</v>
      </c>
      <c r="U573" s="127" t="str">
        <f t="shared" si="144"/>
        <v>S</v>
      </c>
      <c r="V573" s="128">
        <f t="shared" si="143"/>
        <v>49.563333333333333</v>
      </c>
      <c r="W573" s="129">
        <f t="shared" si="132"/>
        <v>49.563333333333333</v>
      </c>
      <c r="X573" s="197"/>
      <c r="Y573" s="115">
        <f t="shared" ca="1" si="133"/>
        <v>75</v>
      </c>
      <c r="Z573" s="118">
        <f t="shared" ca="1" si="134"/>
        <v>0.79452054794520555</v>
      </c>
      <c r="AA573" s="116"/>
      <c r="AB573" s="117">
        <f t="shared" si="135"/>
        <v>18.094651088715704</v>
      </c>
      <c r="AC573" s="118">
        <f t="shared" si="136"/>
        <v>0.83727712869648763</v>
      </c>
      <c r="AE573" s="55"/>
      <c r="AF573" s="72"/>
      <c r="AG573" s="72"/>
      <c r="AH573" s="66"/>
      <c r="AJ573" t="s">
        <v>183</v>
      </c>
    </row>
    <row r="574" spans="1:36" ht="16" hidden="1" thickBot="1" x14ac:dyDescent="0.25">
      <c r="A574" s="119" t="s">
        <v>342</v>
      </c>
      <c r="B574" s="120" t="s">
        <v>1272</v>
      </c>
      <c r="C574" s="108" t="str">
        <f t="shared" si="137"/>
        <v>/Applications/Stellarium.app/Contents/Resources/nebulae/default/n3359-vasey.png</v>
      </c>
      <c r="D574" s="121" t="s">
        <v>2004</v>
      </c>
      <c r="E574" s="109"/>
      <c r="F574" s="122">
        <v>10</v>
      </c>
      <c r="G574" s="123">
        <v>47</v>
      </c>
      <c r="H574" s="122">
        <v>63</v>
      </c>
      <c r="I574" s="124">
        <v>4</v>
      </c>
      <c r="J574" s="112" t="s">
        <v>910</v>
      </c>
      <c r="K574" s="125">
        <v>13.4</v>
      </c>
      <c r="L574" s="196"/>
      <c r="M574" s="110">
        <f t="shared" si="138"/>
        <v>63.06666666666667</v>
      </c>
      <c r="N574" s="111">
        <f t="shared" si="139"/>
        <v>100.84666666666666</v>
      </c>
      <c r="O574" s="112">
        <f t="shared" si="140"/>
        <v>10.783333333333333</v>
      </c>
      <c r="P574" s="113">
        <f t="shared" ca="1" si="141"/>
        <v>46438.631007999997</v>
      </c>
      <c r="Q574" s="114">
        <f t="shared" ca="1" si="142"/>
        <v>46453.631007999997</v>
      </c>
      <c r="R574" s="114" t="b">
        <f t="shared" ca="1" si="129"/>
        <v>0</v>
      </c>
      <c r="S574" s="115">
        <f t="shared" ca="1" si="130"/>
        <v>0</v>
      </c>
      <c r="T574" s="126">
        <f t="shared" ca="1" si="131"/>
        <v>46453.631007999997</v>
      </c>
      <c r="U574" s="127" t="str">
        <f t="shared" si="144"/>
        <v>N</v>
      </c>
      <c r="V574" s="128">
        <f t="shared" si="143"/>
        <v>79.153333333333336</v>
      </c>
      <c r="W574" s="129">
        <f t="shared" si="132"/>
        <v>79.153333333333336</v>
      </c>
      <c r="X574" s="197"/>
      <c r="Y574" s="115">
        <f t="shared" ca="1" si="133"/>
        <v>75</v>
      </c>
      <c r="Z574" s="118">
        <f t="shared" ca="1" si="134"/>
        <v>0.79452054794520555</v>
      </c>
      <c r="AA574" s="116"/>
      <c r="AB574" s="117">
        <f t="shared" si="135"/>
        <v>18.094651088715704</v>
      </c>
      <c r="AC574" s="118">
        <f t="shared" si="136"/>
        <v>0.83727712869648763</v>
      </c>
      <c r="AE574" s="55"/>
      <c r="AF574" s="72"/>
      <c r="AG574" s="72"/>
      <c r="AH574" s="66"/>
      <c r="AJ574" t="s">
        <v>342</v>
      </c>
    </row>
    <row r="575" spans="1:36" ht="16" hidden="1" thickBot="1" x14ac:dyDescent="0.25">
      <c r="A575" s="119" t="s">
        <v>192</v>
      </c>
      <c r="B575" s="120" t="s">
        <v>1260</v>
      </c>
      <c r="C575" s="108" t="str">
        <f t="shared" si="137"/>
        <v>/Applications/Stellarium.app/Contents/Resources/nebulae/default/m105-vasey.png</v>
      </c>
      <c r="D575" s="121" t="s">
        <v>2005</v>
      </c>
      <c r="E575" s="109"/>
      <c r="F575" s="122">
        <v>10</v>
      </c>
      <c r="G575" s="123">
        <v>48</v>
      </c>
      <c r="H575" s="122">
        <v>12</v>
      </c>
      <c r="I575" s="124">
        <v>26</v>
      </c>
      <c r="J575" s="112" t="s">
        <v>783</v>
      </c>
      <c r="K575" s="125">
        <v>13.4</v>
      </c>
      <c r="L575" s="196"/>
      <c r="M575" s="110">
        <f t="shared" si="138"/>
        <v>12.433333333333334</v>
      </c>
      <c r="N575" s="111">
        <f t="shared" si="139"/>
        <v>50.213333333333338</v>
      </c>
      <c r="O575" s="112">
        <f t="shared" si="140"/>
        <v>10.8</v>
      </c>
      <c r="P575" s="113">
        <f t="shared" ca="1" si="141"/>
        <v>46438.884647999999</v>
      </c>
      <c r="Q575" s="114">
        <f t="shared" ca="1" si="142"/>
        <v>46453.884647999999</v>
      </c>
      <c r="R575" s="114" t="b">
        <f t="shared" ca="1" si="129"/>
        <v>0</v>
      </c>
      <c r="S575" s="115">
        <f t="shared" ca="1" si="130"/>
        <v>0</v>
      </c>
      <c r="T575" s="126">
        <f t="shared" ca="1" si="131"/>
        <v>46453.884647999999</v>
      </c>
      <c r="U575" s="127" t="str">
        <f t="shared" si="144"/>
        <v>S</v>
      </c>
      <c r="V575" s="128">
        <f t="shared" si="143"/>
        <v>50.213333333333338</v>
      </c>
      <c r="W575" s="129">
        <f t="shared" si="132"/>
        <v>50.213333333333338</v>
      </c>
      <c r="X575" s="197"/>
      <c r="Y575" s="115">
        <f t="shared" ca="1" si="133"/>
        <v>75</v>
      </c>
      <c r="Z575" s="118">
        <f t="shared" ca="1" si="134"/>
        <v>0.79452054794520555</v>
      </c>
      <c r="AA575" s="116"/>
      <c r="AB575" s="117">
        <f t="shared" si="135"/>
        <v>18.111272248154538</v>
      </c>
      <c r="AC575" s="118">
        <f t="shared" si="136"/>
        <v>0.8379696770064391</v>
      </c>
      <c r="AE575" s="55"/>
      <c r="AF575" s="72"/>
      <c r="AG575" s="72"/>
      <c r="AH575" s="66"/>
      <c r="AJ575" t="s">
        <v>192</v>
      </c>
    </row>
    <row r="576" spans="1:36" ht="16" hidden="1" thickBot="1" x14ac:dyDescent="0.25">
      <c r="A576" s="119" t="s">
        <v>343</v>
      </c>
      <c r="B576" s="120" t="s">
        <v>1272</v>
      </c>
      <c r="C576" s="108" t="str">
        <f t="shared" si="137"/>
        <v>/Applications/Stellarium.app/Contents/Resources/nebulae/default/n3486.png</v>
      </c>
      <c r="D576" s="121" t="s">
        <v>2006</v>
      </c>
      <c r="E576" s="109"/>
      <c r="F576" s="122">
        <v>11</v>
      </c>
      <c r="G576" s="123">
        <v>0</v>
      </c>
      <c r="H576" s="122">
        <v>29</v>
      </c>
      <c r="I576" s="124">
        <v>2</v>
      </c>
      <c r="J576" s="112" t="s">
        <v>911</v>
      </c>
      <c r="K576" s="125">
        <v>13.9</v>
      </c>
      <c r="L576" s="196"/>
      <c r="M576" s="110">
        <f t="shared" si="138"/>
        <v>29.033333333333335</v>
      </c>
      <c r="N576" s="111">
        <f t="shared" si="139"/>
        <v>66.813333333333333</v>
      </c>
      <c r="O576" s="112">
        <f t="shared" si="140"/>
        <v>11</v>
      </c>
      <c r="P576" s="113">
        <f t="shared" ca="1" si="141"/>
        <v>46441.928328000002</v>
      </c>
      <c r="Q576" s="114">
        <f t="shared" ca="1" si="142"/>
        <v>46456.928328000002</v>
      </c>
      <c r="R576" s="114" t="b">
        <f t="shared" ca="1" si="129"/>
        <v>0</v>
      </c>
      <c r="S576" s="115">
        <f t="shared" ca="1" si="130"/>
        <v>0</v>
      </c>
      <c r="T576" s="126">
        <f t="shared" ca="1" si="131"/>
        <v>46456.928328000002</v>
      </c>
      <c r="U576" s="127" t="str">
        <f t="shared" si="144"/>
        <v>S</v>
      </c>
      <c r="V576" s="128">
        <f t="shared" si="143"/>
        <v>66.813333333333333</v>
      </c>
      <c r="W576" s="129">
        <f t="shared" si="132"/>
        <v>66.813333333333333</v>
      </c>
      <c r="X576" s="197"/>
      <c r="Y576" s="115">
        <f t="shared" ca="1" si="133"/>
        <v>72</v>
      </c>
      <c r="Z576" s="118">
        <f t="shared" ca="1" si="134"/>
        <v>0.80273972602739729</v>
      </c>
      <c r="AA576" s="116"/>
      <c r="AB576" s="117">
        <f t="shared" si="135"/>
        <v>18.310726161420515</v>
      </c>
      <c r="AC576" s="118">
        <f t="shared" si="136"/>
        <v>0.84628025672585483</v>
      </c>
      <c r="AE576" s="55"/>
      <c r="AF576" s="72"/>
      <c r="AG576" s="72"/>
      <c r="AH576" s="66"/>
      <c r="AJ576" t="s">
        <v>343</v>
      </c>
    </row>
    <row r="577" spans="1:36" ht="16" hidden="1" thickBot="1" x14ac:dyDescent="0.25">
      <c r="A577" s="119" t="s">
        <v>345</v>
      </c>
      <c r="B577" s="120" t="s">
        <v>1272</v>
      </c>
      <c r="C577" s="108" t="str">
        <f t="shared" si="137"/>
        <v>/Applications/Stellarium.app/Contents/Resources/nebulae/default/n3504-vasey.png</v>
      </c>
      <c r="D577" s="121" t="s">
        <v>2007</v>
      </c>
      <c r="E577" s="109"/>
      <c r="F577" s="122">
        <v>11</v>
      </c>
      <c r="G577" s="123">
        <v>3</v>
      </c>
      <c r="H577" s="122">
        <v>27</v>
      </c>
      <c r="I577" s="124">
        <v>50</v>
      </c>
      <c r="J577" s="112" t="s">
        <v>913</v>
      </c>
      <c r="K577" s="125">
        <v>13.4</v>
      </c>
      <c r="L577" s="196"/>
      <c r="M577" s="110">
        <f t="shared" si="138"/>
        <v>27.833333333333332</v>
      </c>
      <c r="N577" s="111">
        <f t="shared" si="139"/>
        <v>65.61333333333333</v>
      </c>
      <c r="O577" s="112">
        <f t="shared" si="140"/>
        <v>11.05</v>
      </c>
      <c r="P577" s="113">
        <f t="shared" ca="1" si="141"/>
        <v>46442.689248000002</v>
      </c>
      <c r="Q577" s="114">
        <f t="shared" ca="1" si="142"/>
        <v>46457.689248000002</v>
      </c>
      <c r="R577" s="114" t="b">
        <f t="shared" ca="1" si="129"/>
        <v>0</v>
      </c>
      <c r="S577" s="115">
        <f t="shared" ca="1" si="130"/>
        <v>0</v>
      </c>
      <c r="T577" s="126">
        <f t="shared" ca="1" si="131"/>
        <v>46457.689248000002</v>
      </c>
      <c r="U577" s="127" t="str">
        <f t="shared" si="144"/>
        <v>S</v>
      </c>
      <c r="V577" s="128">
        <f t="shared" si="143"/>
        <v>65.61333333333333</v>
      </c>
      <c r="W577" s="129">
        <f t="shared" si="132"/>
        <v>65.61333333333333</v>
      </c>
      <c r="X577" s="197"/>
      <c r="Y577" s="115">
        <f t="shared" ca="1" si="133"/>
        <v>71</v>
      </c>
      <c r="Z577" s="118">
        <f t="shared" ca="1" si="134"/>
        <v>0.80547945205479454</v>
      </c>
      <c r="AA577" s="116"/>
      <c r="AB577" s="117">
        <f t="shared" si="135"/>
        <v>18.360589639737007</v>
      </c>
      <c r="AC577" s="118">
        <f t="shared" si="136"/>
        <v>0.84835790165570868</v>
      </c>
      <c r="AE577" s="55"/>
      <c r="AF577" s="72"/>
      <c r="AG577" s="72"/>
      <c r="AH577" s="66"/>
      <c r="AJ577" t="s">
        <v>345</v>
      </c>
    </row>
    <row r="578" spans="1:36" ht="16" hidden="1" thickBot="1" x14ac:dyDescent="0.25">
      <c r="A578" s="119" t="s">
        <v>682</v>
      </c>
      <c r="B578" s="120" t="s">
        <v>1422</v>
      </c>
      <c r="C578" s="108" t="str">
        <f t="shared" si="137"/>
        <v>/Applications/Stellarium.app/Contents/Resources/nebulae/default/p33423.png</v>
      </c>
      <c r="D578" s="121" t="s">
        <v>2008</v>
      </c>
      <c r="E578" s="109"/>
      <c r="F578" s="122">
        <v>11</v>
      </c>
      <c r="G578" s="123">
        <v>3</v>
      </c>
      <c r="H578" s="122">
        <v>40</v>
      </c>
      <c r="I578" s="124">
        <v>50</v>
      </c>
      <c r="J578" s="112" t="s">
        <v>1162</v>
      </c>
      <c r="K578" s="125">
        <v>14.3</v>
      </c>
      <c r="L578" s="196"/>
      <c r="M578" s="110">
        <f t="shared" si="138"/>
        <v>40.833333333333336</v>
      </c>
      <c r="N578" s="111">
        <f t="shared" si="139"/>
        <v>78.613333333333344</v>
      </c>
      <c r="O578" s="112">
        <f t="shared" si="140"/>
        <v>11.05</v>
      </c>
      <c r="P578" s="113">
        <f t="shared" ca="1" si="141"/>
        <v>46442.689248000002</v>
      </c>
      <c r="Q578" s="114">
        <f t="shared" ca="1" si="142"/>
        <v>46457.689248000002</v>
      </c>
      <c r="R578" s="114" t="b">
        <f t="shared" ca="1" si="129"/>
        <v>0</v>
      </c>
      <c r="S578" s="115">
        <f t="shared" ca="1" si="130"/>
        <v>0</v>
      </c>
      <c r="T578" s="126">
        <f t="shared" ca="1" si="131"/>
        <v>46457.689248000002</v>
      </c>
      <c r="U578" s="127" t="str">
        <f t="shared" si="144"/>
        <v>S</v>
      </c>
      <c r="V578" s="128">
        <f t="shared" si="143"/>
        <v>78.613333333333344</v>
      </c>
      <c r="W578" s="129">
        <f t="shared" si="132"/>
        <v>78.613333333333344</v>
      </c>
      <c r="X578" s="197"/>
      <c r="Y578" s="115">
        <f t="shared" ca="1" si="133"/>
        <v>71</v>
      </c>
      <c r="Z578" s="118">
        <f t="shared" ca="1" si="134"/>
        <v>0.80547945205479454</v>
      </c>
      <c r="AA578" s="116"/>
      <c r="AB578" s="117">
        <f t="shared" si="135"/>
        <v>18.360589639737007</v>
      </c>
      <c r="AC578" s="118">
        <f t="shared" si="136"/>
        <v>0.84835790165570868</v>
      </c>
      <c r="AE578" s="55"/>
      <c r="AF578" s="72"/>
      <c r="AG578" s="72"/>
      <c r="AH578" s="66"/>
      <c r="AJ578" t="s">
        <v>682</v>
      </c>
    </row>
    <row r="579" spans="1:36" ht="16" hidden="1" thickBot="1" x14ac:dyDescent="0.25">
      <c r="A579" s="119" t="s">
        <v>344</v>
      </c>
      <c r="B579" s="120" t="s">
        <v>1276</v>
      </c>
      <c r="C579" s="108" t="str">
        <f t="shared" si="137"/>
        <v>/Applications/Stellarium.app/Contents/Resources/nebulae/default/n3503.png</v>
      </c>
      <c r="D579" s="121" t="s">
        <v>2009</v>
      </c>
      <c r="E579" s="109"/>
      <c r="F579" s="122">
        <v>11</v>
      </c>
      <c r="G579" s="123">
        <v>6</v>
      </c>
      <c r="H579" s="122">
        <v>-61</v>
      </c>
      <c r="I579" s="124">
        <v>42</v>
      </c>
      <c r="J579" s="112" t="s">
        <v>912</v>
      </c>
      <c r="K579" s="125">
        <v>14.3</v>
      </c>
      <c r="L579" s="196"/>
      <c r="M579" s="110">
        <f t="shared" si="138"/>
        <v>-60.3</v>
      </c>
      <c r="N579" s="111">
        <f t="shared" si="139"/>
        <v>-22.519999999999996</v>
      </c>
      <c r="O579" s="112">
        <f t="shared" si="140"/>
        <v>11.1</v>
      </c>
      <c r="P579" s="113">
        <f t="shared" ca="1" si="141"/>
        <v>46443.450168000003</v>
      </c>
      <c r="Q579" s="114">
        <f t="shared" ca="1" si="142"/>
        <v>46458.450168000003</v>
      </c>
      <c r="R579" s="114" t="b">
        <f t="shared" ca="1" si="129"/>
        <v>0</v>
      </c>
      <c r="S579" s="115">
        <f t="shared" ca="1" si="130"/>
        <v>0</v>
      </c>
      <c r="T579" s="126">
        <f t="shared" ca="1" si="131"/>
        <v>46458.450168000003</v>
      </c>
      <c r="U579" s="127" t="str">
        <f t="shared" si="144"/>
        <v>S</v>
      </c>
      <c r="V579" s="128">
        <f t="shared" si="143"/>
        <v>-22.519999999999996</v>
      </c>
      <c r="W579" s="129">
        <f t="shared" si="132"/>
        <v>-22.519999999999996</v>
      </c>
      <c r="X579" s="197"/>
      <c r="Y579" s="115">
        <f t="shared" ca="1" si="133"/>
        <v>71</v>
      </c>
      <c r="Z579" s="118">
        <f t="shared" ca="1" si="134"/>
        <v>0.80547945205479454</v>
      </c>
      <c r="AA579" s="116"/>
      <c r="AB579" s="117">
        <f t="shared" si="135"/>
        <v>18.410453118053503</v>
      </c>
      <c r="AC579" s="118">
        <f t="shared" si="136"/>
        <v>0.85043554658556264</v>
      </c>
      <c r="AE579" s="55"/>
      <c r="AF579" s="72"/>
      <c r="AG579" s="72"/>
      <c r="AH579" s="66"/>
      <c r="AJ579" t="s">
        <v>344</v>
      </c>
    </row>
    <row r="580" spans="1:36" ht="16" hidden="1" thickBot="1" x14ac:dyDescent="0.25">
      <c r="A580" s="119" t="s">
        <v>346</v>
      </c>
      <c r="B580" s="120" t="s">
        <v>1269</v>
      </c>
      <c r="C580" s="108" t="str">
        <f t="shared" si="137"/>
        <v>/Applications/Stellarium.app/Contents/Resources/nebulae/default/n3521-vasey.png</v>
      </c>
      <c r="D580" s="121" t="s">
        <v>2010</v>
      </c>
      <c r="E580" s="109"/>
      <c r="F580" s="122">
        <v>11</v>
      </c>
      <c r="G580" s="123">
        <v>6</v>
      </c>
      <c r="H580" s="122">
        <v>-1</v>
      </c>
      <c r="I580" s="124">
        <v>51</v>
      </c>
      <c r="J580" s="112" t="s">
        <v>914</v>
      </c>
      <c r="K580" s="125">
        <v>13.4</v>
      </c>
      <c r="L580" s="196"/>
      <c r="M580" s="110">
        <f t="shared" si="138"/>
        <v>-0.15000000000000002</v>
      </c>
      <c r="N580" s="111">
        <f t="shared" si="139"/>
        <v>37.630000000000003</v>
      </c>
      <c r="O580" s="112">
        <f t="shared" si="140"/>
        <v>11.1</v>
      </c>
      <c r="P580" s="113">
        <f t="shared" ca="1" si="141"/>
        <v>46443.450168000003</v>
      </c>
      <c r="Q580" s="114">
        <f t="shared" ca="1" si="142"/>
        <v>46458.450168000003</v>
      </c>
      <c r="R580" s="114" t="b">
        <f t="shared" ca="1" si="129"/>
        <v>0</v>
      </c>
      <c r="S580" s="115">
        <f t="shared" ca="1" si="130"/>
        <v>0</v>
      </c>
      <c r="T580" s="126">
        <f t="shared" ca="1" si="131"/>
        <v>46458.450168000003</v>
      </c>
      <c r="U580" s="127" t="str">
        <f t="shared" si="144"/>
        <v>S</v>
      </c>
      <c r="V580" s="128">
        <f t="shared" si="143"/>
        <v>37.630000000000003</v>
      </c>
      <c r="W580" s="129">
        <f t="shared" si="132"/>
        <v>37.630000000000003</v>
      </c>
      <c r="X580" s="197"/>
      <c r="Y580" s="115">
        <f t="shared" ca="1" si="133"/>
        <v>71</v>
      </c>
      <c r="Z580" s="118">
        <f t="shared" ca="1" si="134"/>
        <v>0.80547945205479454</v>
      </c>
      <c r="AA580" s="116"/>
      <c r="AB580" s="117">
        <f t="shared" si="135"/>
        <v>18.410453118053503</v>
      </c>
      <c r="AC580" s="118">
        <f t="shared" si="136"/>
        <v>0.85043554658556264</v>
      </c>
      <c r="AE580" s="55"/>
      <c r="AF580" s="72"/>
      <c r="AG580" s="72"/>
      <c r="AH580" s="66"/>
      <c r="AJ580" t="s">
        <v>346</v>
      </c>
    </row>
    <row r="581" spans="1:36" ht="16" hidden="1" thickBot="1" x14ac:dyDescent="0.25">
      <c r="A581" s="119" t="s">
        <v>347</v>
      </c>
      <c r="B581" s="120" t="s">
        <v>1207</v>
      </c>
      <c r="C581" s="108" t="str">
        <f t="shared" si="137"/>
        <v>/Applications/Stellarium.app/Contents/Resources/nebulae/default/n3532.png</v>
      </c>
      <c r="D581" s="121" t="s">
        <v>2011</v>
      </c>
      <c r="E581" s="109"/>
      <c r="F581" s="122">
        <v>11</v>
      </c>
      <c r="G581" s="123">
        <v>7</v>
      </c>
      <c r="H581" s="122">
        <v>-60</v>
      </c>
      <c r="I581" s="124">
        <v>58</v>
      </c>
      <c r="J581" s="112" t="s">
        <v>915</v>
      </c>
      <c r="K581" s="125">
        <v>14.5</v>
      </c>
      <c r="L581" s="196"/>
      <c r="M581" s="110">
        <f t="shared" si="138"/>
        <v>-59.033333333333331</v>
      </c>
      <c r="N581" s="111">
        <f t="shared" si="139"/>
        <v>-21.25333333333333</v>
      </c>
      <c r="O581" s="112">
        <f t="shared" si="140"/>
        <v>11.116666666666667</v>
      </c>
      <c r="P581" s="113">
        <f t="shared" ca="1" si="141"/>
        <v>46443.703807999998</v>
      </c>
      <c r="Q581" s="114">
        <f t="shared" ca="1" si="142"/>
        <v>46458.703807999998</v>
      </c>
      <c r="R581" s="114" t="b">
        <f t="shared" ca="1" si="129"/>
        <v>0</v>
      </c>
      <c r="S581" s="115">
        <f t="shared" ca="1" si="130"/>
        <v>0</v>
      </c>
      <c r="T581" s="126">
        <f t="shared" ca="1" si="131"/>
        <v>46458.703807999998</v>
      </c>
      <c r="U581" s="127" t="str">
        <f t="shared" si="144"/>
        <v>S</v>
      </c>
      <c r="V581" s="128">
        <f t="shared" si="143"/>
        <v>-21.25333333333333</v>
      </c>
      <c r="W581" s="129">
        <f t="shared" si="132"/>
        <v>-21.25333333333333</v>
      </c>
      <c r="X581" s="197"/>
      <c r="Y581" s="115">
        <f t="shared" ca="1" si="133"/>
        <v>70</v>
      </c>
      <c r="Z581" s="118">
        <f t="shared" ca="1" si="134"/>
        <v>0.80821917808219179</v>
      </c>
      <c r="AA581" s="116"/>
      <c r="AB581" s="117">
        <f t="shared" si="135"/>
        <v>18.427074277492334</v>
      </c>
      <c r="AC581" s="118">
        <f t="shared" si="136"/>
        <v>0.85112809489551389</v>
      </c>
      <c r="AE581" s="55"/>
      <c r="AF581" s="72"/>
      <c r="AG581" s="72"/>
      <c r="AH581" s="66"/>
      <c r="AJ581" t="s">
        <v>347</v>
      </c>
    </row>
    <row r="582" spans="1:36" ht="16" hidden="1" thickBot="1" x14ac:dyDescent="0.25">
      <c r="A582" s="119" t="s">
        <v>650</v>
      </c>
      <c r="B582" s="120" t="s">
        <v>1411</v>
      </c>
      <c r="C582" s="108" t="str">
        <f t="shared" si="137"/>
        <v>/Applications/Stellarium.app/Contents/Resources/nebulae/default/rcw58.png</v>
      </c>
      <c r="D582" s="121" t="s">
        <v>2012</v>
      </c>
      <c r="E582" s="109"/>
      <c r="F582" s="122">
        <v>11</v>
      </c>
      <c r="G582" s="123">
        <v>7</v>
      </c>
      <c r="H582" s="122">
        <v>-66</v>
      </c>
      <c r="I582" s="124">
        <v>23</v>
      </c>
      <c r="J582" s="112" t="s">
        <v>732</v>
      </c>
      <c r="K582" s="125">
        <v>14.4</v>
      </c>
      <c r="L582" s="196"/>
      <c r="M582" s="110">
        <f t="shared" si="138"/>
        <v>-65.61666666666666</v>
      </c>
      <c r="N582" s="111">
        <f t="shared" si="139"/>
        <v>-27.836666666666659</v>
      </c>
      <c r="O582" s="112">
        <f t="shared" si="140"/>
        <v>11.116666666666667</v>
      </c>
      <c r="P582" s="113">
        <f t="shared" ca="1" si="141"/>
        <v>46443.703807999998</v>
      </c>
      <c r="Q582" s="114">
        <f t="shared" ca="1" si="142"/>
        <v>46458.703807999998</v>
      </c>
      <c r="R582" s="114" t="b">
        <f t="shared" ca="1" si="129"/>
        <v>0</v>
      </c>
      <c r="S582" s="115">
        <f t="shared" ca="1" si="130"/>
        <v>0</v>
      </c>
      <c r="T582" s="126">
        <f t="shared" ca="1" si="131"/>
        <v>46458.703807999998</v>
      </c>
      <c r="U582" s="127" t="str">
        <f t="shared" si="144"/>
        <v>S</v>
      </c>
      <c r="V582" s="128">
        <f t="shared" si="143"/>
        <v>-27.836666666666659</v>
      </c>
      <c r="W582" s="129">
        <f t="shared" si="132"/>
        <v>-27.836666666666659</v>
      </c>
      <c r="X582" s="197"/>
      <c r="Y582" s="115">
        <f t="shared" ca="1" si="133"/>
        <v>70</v>
      </c>
      <c r="Z582" s="118">
        <f t="shared" ca="1" si="134"/>
        <v>0.80821917808219179</v>
      </c>
      <c r="AA582" s="116"/>
      <c r="AB582" s="117">
        <f t="shared" si="135"/>
        <v>18.427074277492334</v>
      </c>
      <c r="AC582" s="118">
        <f t="shared" si="136"/>
        <v>0.85112809489551389</v>
      </c>
      <c r="AE582" s="55"/>
      <c r="AF582" s="72"/>
      <c r="AG582" s="72"/>
      <c r="AH582" s="66"/>
      <c r="AJ582" t="s">
        <v>650</v>
      </c>
    </row>
    <row r="583" spans="1:36" ht="16" hidden="1" thickBot="1" x14ac:dyDescent="0.25">
      <c r="A583" s="119" t="s">
        <v>348</v>
      </c>
      <c r="B583" s="120" t="s">
        <v>1296</v>
      </c>
      <c r="C583" s="108" t="str">
        <f t="shared" si="137"/>
        <v>/Applications/Stellarium.app/Contents/Resources/nebulae/default/n3561.png</v>
      </c>
      <c r="D583" s="121" t="s">
        <v>2013</v>
      </c>
      <c r="E583" s="109"/>
      <c r="F583" s="122">
        <v>11</v>
      </c>
      <c r="G583" s="123">
        <v>11</v>
      </c>
      <c r="H583" s="122">
        <v>28</v>
      </c>
      <c r="I583" s="124">
        <v>34</v>
      </c>
      <c r="J583" s="112" t="s">
        <v>916</v>
      </c>
      <c r="K583" s="125">
        <v>14.5</v>
      </c>
      <c r="L583" s="196"/>
      <c r="M583" s="110">
        <f t="shared" si="138"/>
        <v>28.566666666666666</v>
      </c>
      <c r="N583" s="111">
        <f t="shared" si="139"/>
        <v>66.346666666666664</v>
      </c>
      <c r="O583" s="112">
        <f t="shared" si="140"/>
        <v>11.183333333333334</v>
      </c>
      <c r="P583" s="113">
        <f t="shared" ca="1" si="141"/>
        <v>46444.718368000002</v>
      </c>
      <c r="Q583" s="114">
        <f t="shared" ca="1" si="142"/>
        <v>46459.718368000002</v>
      </c>
      <c r="R583" s="114" t="b">
        <f t="shared" ca="1" si="129"/>
        <v>0</v>
      </c>
      <c r="S583" s="115">
        <f t="shared" ca="1" si="130"/>
        <v>0</v>
      </c>
      <c r="T583" s="126">
        <f t="shared" ca="1" si="131"/>
        <v>46459.718368000002</v>
      </c>
      <c r="U583" s="127" t="str">
        <f t="shared" si="144"/>
        <v>S</v>
      </c>
      <c r="V583" s="128">
        <f t="shared" si="143"/>
        <v>66.346666666666664</v>
      </c>
      <c r="W583" s="129">
        <f t="shared" si="132"/>
        <v>66.346666666666664</v>
      </c>
      <c r="X583" s="197"/>
      <c r="Y583" s="115">
        <f t="shared" ca="1" si="133"/>
        <v>69</v>
      </c>
      <c r="Z583" s="118">
        <f t="shared" ca="1" si="134"/>
        <v>0.81095890410958904</v>
      </c>
      <c r="AA583" s="116"/>
      <c r="AB583" s="117">
        <f t="shared" si="135"/>
        <v>18.493558915247657</v>
      </c>
      <c r="AC583" s="118">
        <f t="shared" si="136"/>
        <v>0.85389828813531909</v>
      </c>
      <c r="AE583" s="55"/>
      <c r="AF583" s="72"/>
      <c r="AG583" s="72"/>
      <c r="AH583" s="66"/>
      <c r="AJ583" t="s">
        <v>348</v>
      </c>
    </row>
    <row r="584" spans="1:36" ht="16" hidden="1" thickBot="1" x14ac:dyDescent="0.25">
      <c r="A584" s="119" t="s">
        <v>195</v>
      </c>
      <c r="B584" s="120" t="s">
        <v>1263</v>
      </c>
      <c r="C584" s="108" t="str">
        <f t="shared" si="137"/>
        <v>/Applications/Stellarium.app/Contents/Resources/nebulae/default/m108.png</v>
      </c>
      <c r="D584" s="121" t="s">
        <v>2014</v>
      </c>
      <c r="E584" s="109"/>
      <c r="F584" s="122">
        <v>11</v>
      </c>
      <c r="G584" s="123">
        <v>12</v>
      </c>
      <c r="H584" s="122">
        <v>55</v>
      </c>
      <c r="I584" s="124">
        <v>34</v>
      </c>
      <c r="J584" s="112" t="s">
        <v>785</v>
      </c>
      <c r="K584" s="125">
        <v>13</v>
      </c>
      <c r="L584" s="196"/>
      <c r="M584" s="110">
        <f t="shared" si="138"/>
        <v>55.56666666666667</v>
      </c>
      <c r="N584" s="111">
        <f t="shared" si="139"/>
        <v>93.346666666666664</v>
      </c>
      <c r="O584" s="112">
        <f t="shared" si="140"/>
        <v>11.2</v>
      </c>
      <c r="P584" s="113">
        <f t="shared" ca="1" si="141"/>
        <v>46444.972007999997</v>
      </c>
      <c r="Q584" s="114">
        <f t="shared" ca="1" si="142"/>
        <v>46459.972007999997</v>
      </c>
      <c r="R584" s="114" t="b">
        <f t="shared" ca="1" si="129"/>
        <v>0</v>
      </c>
      <c r="S584" s="115">
        <f t="shared" ca="1" si="130"/>
        <v>0</v>
      </c>
      <c r="T584" s="126">
        <f t="shared" ca="1" si="131"/>
        <v>46459.972007999997</v>
      </c>
      <c r="U584" s="127" t="str">
        <f t="shared" si="144"/>
        <v>N</v>
      </c>
      <c r="V584" s="128">
        <f t="shared" si="143"/>
        <v>86.653333333333336</v>
      </c>
      <c r="W584" s="129">
        <f t="shared" si="132"/>
        <v>86.653333333333336</v>
      </c>
      <c r="X584" s="197"/>
      <c r="Y584" s="115">
        <f t="shared" ca="1" si="133"/>
        <v>69</v>
      </c>
      <c r="Z584" s="118">
        <f t="shared" ca="1" si="134"/>
        <v>0.81095890410958904</v>
      </c>
      <c r="AA584" s="116"/>
      <c r="AB584" s="117">
        <f t="shared" si="135"/>
        <v>18.510180074686488</v>
      </c>
      <c r="AC584" s="118">
        <f t="shared" si="136"/>
        <v>0.85459083644527034</v>
      </c>
      <c r="AE584" s="55"/>
      <c r="AF584" s="72"/>
      <c r="AG584" s="72"/>
      <c r="AH584" s="66"/>
      <c r="AJ584" t="s">
        <v>195</v>
      </c>
    </row>
    <row r="585" spans="1:36" ht="16" hidden="1" thickBot="1" x14ac:dyDescent="0.25">
      <c r="A585" s="119" t="s">
        <v>349</v>
      </c>
      <c r="B585" s="120" t="s">
        <v>1207</v>
      </c>
      <c r="C585" s="108" t="str">
        <f t="shared" si="137"/>
        <v>/Applications/Stellarium.app/Contents/Resources/nebulae/default/n3572.png</v>
      </c>
      <c r="D585" s="121" t="s">
        <v>2015</v>
      </c>
      <c r="E585" s="109"/>
      <c r="F585" s="122">
        <v>11</v>
      </c>
      <c r="G585" s="123">
        <v>14</v>
      </c>
      <c r="H585" s="122">
        <v>-60</v>
      </c>
      <c r="I585" s="124">
        <v>10</v>
      </c>
      <c r="J585" s="112" t="s">
        <v>917</v>
      </c>
      <c r="K585" s="125">
        <v>14.5</v>
      </c>
      <c r="L585" s="196"/>
      <c r="M585" s="110">
        <f t="shared" si="138"/>
        <v>-59.833333333333336</v>
      </c>
      <c r="N585" s="111">
        <f t="shared" si="139"/>
        <v>-22.053333333333335</v>
      </c>
      <c r="O585" s="112">
        <f t="shared" si="140"/>
        <v>11.233333333333333</v>
      </c>
      <c r="P585" s="113">
        <f t="shared" ca="1" si="141"/>
        <v>46445.479288000002</v>
      </c>
      <c r="Q585" s="114">
        <f t="shared" ca="1" si="142"/>
        <v>46460.479288000002</v>
      </c>
      <c r="R585" s="114" t="b">
        <f t="shared" ca="1" si="129"/>
        <v>0</v>
      </c>
      <c r="S585" s="115">
        <f t="shared" ca="1" si="130"/>
        <v>0</v>
      </c>
      <c r="T585" s="126">
        <f t="shared" ca="1" si="131"/>
        <v>46460.479288000002</v>
      </c>
      <c r="U585" s="127" t="str">
        <f t="shared" si="144"/>
        <v>S</v>
      </c>
      <c r="V585" s="128">
        <f t="shared" si="143"/>
        <v>-22.053333333333335</v>
      </c>
      <c r="W585" s="129">
        <f t="shared" si="132"/>
        <v>-22.053333333333335</v>
      </c>
      <c r="X585" s="197"/>
      <c r="Y585" s="115">
        <f t="shared" ca="1" si="133"/>
        <v>69</v>
      </c>
      <c r="Z585" s="118">
        <f t="shared" ca="1" si="134"/>
        <v>0.81095890410958904</v>
      </c>
      <c r="AA585" s="116"/>
      <c r="AB585" s="117">
        <f t="shared" si="135"/>
        <v>18.543422393564153</v>
      </c>
      <c r="AC585" s="118">
        <f t="shared" si="136"/>
        <v>0.85597593306517306</v>
      </c>
      <c r="AE585" s="55"/>
      <c r="AF585" s="72"/>
      <c r="AG585" s="72"/>
      <c r="AH585" s="66"/>
      <c r="AJ585" t="s">
        <v>349</v>
      </c>
    </row>
    <row r="586" spans="1:36" ht="16" hidden="1" thickBot="1" x14ac:dyDescent="0.25">
      <c r="A586" s="119" t="s">
        <v>667</v>
      </c>
      <c r="B586" s="120" t="s">
        <v>1415</v>
      </c>
      <c r="C586" s="108" t="str">
        <f t="shared" si="137"/>
        <v>/Applications/Stellarium.app/Contents/Resources/nebulae/default/u6253.png</v>
      </c>
      <c r="D586" s="121" t="s">
        <v>2016</v>
      </c>
      <c r="E586" s="109"/>
      <c r="F586" s="122">
        <v>11</v>
      </c>
      <c r="G586" s="123">
        <v>14</v>
      </c>
      <c r="H586" s="122">
        <v>22</v>
      </c>
      <c r="I586" s="124">
        <v>0</v>
      </c>
      <c r="J586" s="112" t="s">
        <v>1151</v>
      </c>
      <c r="K586" s="125">
        <v>16</v>
      </c>
      <c r="L586" s="196"/>
      <c r="M586" s="110">
        <f t="shared" si="138"/>
        <v>22</v>
      </c>
      <c r="N586" s="111">
        <f t="shared" si="139"/>
        <v>59.78</v>
      </c>
      <c r="O586" s="112">
        <f t="shared" si="140"/>
        <v>11.233333333333333</v>
      </c>
      <c r="P586" s="113">
        <f t="shared" ca="1" si="141"/>
        <v>46445.479288000002</v>
      </c>
      <c r="Q586" s="114">
        <f t="shared" ca="1" si="142"/>
        <v>46460.479288000002</v>
      </c>
      <c r="R586" s="114" t="b">
        <f t="shared" ca="1" si="129"/>
        <v>0</v>
      </c>
      <c r="S586" s="115">
        <f t="shared" ca="1" si="130"/>
        <v>0</v>
      </c>
      <c r="T586" s="126">
        <f t="shared" ca="1" si="131"/>
        <v>46460.479288000002</v>
      </c>
      <c r="U586" s="127" t="str">
        <f t="shared" si="144"/>
        <v>S</v>
      </c>
      <c r="V586" s="128">
        <f t="shared" si="143"/>
        <v>59.78</v>
      </c>
      <c r="W586" s="129">
        <f t="shared" si="132"/>
        <v>59.78</v>
      </c>
      <c r="X586" s="197"/>
      <c r="Y586" s="115">
        <f t="shared" ca="1" si="133"/>
        <v>69</v>
      </c>
      <c r="Z586" s="118">
        <f t="shared" ca="1" si="134"/>
        <v>0.81095890410958904</v>
      </c>
      <c r="AA586" s="116"/>
      <c r="AB586" s="117">
        <f t="shared" si="135"/>
        <v>18.543422393564153</v>
      </c>
      <c r="AC586" s="118">
        <f t="shared" si="136"/>
        <v>0.85597593306517306</v>
      </c>
      <c r="AE586" s="55"/>
      <c r="AF586" s="72"/>
      <c r="AG586" s="72"/>
      <c r="AH586" s="66"/>
      <c r="AJ586" t="s">
        <v>667</v>
      </c>
    </row>
    <row r="587" spans="1:36" ht="16" hidden="1" thickBot="1" x14ac:dyDescent="0.25">
      <c r="A587" s="119" t="s">
        <v>184</v>
      </c>
      <c r="B587" s="120" t="s">
        <v>1253</v>
      </c>
      <c r="C587" s="108" t="str">
        <f t="shared" si="137"/>
        <v>/Applications/Stellarium.app/Contents/Resources/nebulae/default/m97dumont.png</v>
      </c>
      <c r="D587" s="121" t="s">
        <v>2017</v>
      </c>
      <c r="E587" s="109"/>
      <c r="F587" s="122">
        <v>11</v>
      </c>
      <c r="G587" s="123">
        <v>15</v>
      </c>
      <c r="H587" s="122">
        <v>54</v>
      </c>
      <c r="I587" s="124">
        <v>57</v>
      </c>
      <c r="J587" s="112" t="s">
        <v>776</v>
      </c>
      <c r="K587" s="125">
        <v>13.4</v>
      </c>
      <c r="L587" s="196"/>
      <c r="M587" s="110">
        <f t="shared" si="138"/>
        <v>54.95</v>
      </c>
      <c r="N587" s="111">
        <f t="shared" si="139"/>
        <v>92.73</v>
      </c>
      <c r="O587" s="112">
        <f t="shared" si="140"/>
        <v>11.25</v>
      </c>
      <c r="P587" s="113">
        <f t="shared" ca="1" si="141"/>
        <v>46445.732927999998</v>
      </c>
      <c r="Q587" s="114">
        <f t="shared" ca="1" si="142"/>
        <v>46460.732927999998</v>
      </c>
      <c r="R587" s="114" t="b">
        <f t="shared" ref="R587:R650" ca="1" si="145">AND(Q587&gt;=DATE(YEAR(Q587),3,31)-WEEKDAY(DATE(YEAR(Q587),3,31),2),Q587&lt;DATE(YEAR(Q587),10,31)-WEEKDAY(DATE(YEAR(Q587),10,31),2))</f>
        <v>0</v>
      </c>
      <c r="S587" s="115">
        <f t="shared" ref="S587:S650" ca="1" si="146">IF(R587,15,0)</f>
        <v>0</v>
      </c>
      <c r="T587" s="126">
        <f t="shared" ref="T587:T650" ca="1" si="147">Q587+S587</f>
        <v>46460.732927999998</v>
      </c>
      <c r="U587" s="127" t="str">
        <f t="shared" si="144"/>
        <v>N</v>
      </c>
      <c r="V587" s="128">
        <f t="shared" si="143"/>
        <v>87.27</v>
      </c>
      <c r="W587" s="129">
        <f t="shared" ref="W587:W650" si="148">IF(M587&lt;&gt;0,V587,"")</f>
        <v>87.27</v>
      </c>
      <c r="X587" s="197"/>
      <c r="Y587" s="115">
        <f t="shared" ref="Y587:Y654" ca="1" si="149">INT(IF(AC$7&gt;T587,AC$7-T587,AC$7+365-T587)+0.5)+S587</f>
        <v>68</v>
      </c>
      <c r="Z587" s="118">
        <f t="shared" ref="Z587:Z650" ca="1" si="150">$AB$5-Y587/365</f>
        <v>0.81369863013698629</v>
      </c>
      <c r="AA587" s="116"/>
      <c r="AB587" s="117">
        <f t="shared" ref="AB587:AB654" si="151">MOD(O587-AB$10,24)/1.00273790935</f>
        <v>18.560043553002981</v>
      </c>
      <c r="AC587" s="118">
        <f t="shared" ref="AC587:AC650" si="152">(IF(M587&lt;&gt;0,MOD(AB587+AB$11,24)/24,""))</f>
        <v>0.85666848137512419</v>
      </c>
      <c r="AE587" s="55"/>
      <c r="AF587" s="72"/>
      <c r="AG587" s="72"/>
      <c r="AH587" s="66"/>
      <c r="AJ587" t="s">
        <v>184</v>
      </c>
    </row>
    <row r="588" spans="1:36" ht="16" hidden="1" thickBot="1" x14ac:dyDescent="0.25">
      <c r="A588" s="119" t="s">
        <v>350</v>
      </c>
      <c r="B588" s="120" t="s">
        <v>1271</v>
      </c>
      <c r="C588" s="108" t="str">
        <f t="shared" ref="C588:C651" si="153">CONCATENATE(A$9&amp;D588)</f>
        <v>/Applications/Stellarium.app/Contents/Resources/nebulae/default/n3603.png</v>
      </c>
      <c r="D588" s="121" t="s">
        <v>2018</v>
      </c>
      <c r="E588" s="109"/>
      <c r="F588" s="122">
        <v>11</v>
      </c>
      <c r="G588" s="123">
        <v>18</v>
      </c>
      <c r="H588" s="122">
        <v>-62</v>
      </c>
      <c r="I588" s="124">
        <v>16</v>
      </c>
      <c r="J588" s="112" t="s">
        <v>918</v>
      </c>
      <c r="K588" s="125">
        <v>13.2</v>
      </c>
      <c r="L588" s="196"/>
      <c r="M588" s="110">
        <f t="shared" ref="M588:M651" si="154">H588+I588/60</f>
        <v>-61.733333333333334</v>
      </c>
      <c r="N588" s="111">
        <f t="shared" ref="N588:N651" si="155">90-$B$6+M588</f>
        <v>-23.953333333333333</v>
      </c>
      <c r="O588" s="112">
        <f t="shared" ref="O588:O651" si="156">F588+G588/60</f>
        <v>11.3</v>
      </c>
      <c r="P588" s="113">
        <f t="shared" ref="P588:P651" ca="1" si="157">DATE(YEAR(TODAY()),3,21)+MOD(O588-12-$B$7/15,24)*15.2184</f>
        <v>46446.493847999998</v>
      </c>
      <c r="Q588" s="114">
        <f t="shared" ref="Q588:Q651" ca="1" si="158">DATE(YEAR(TODAY()),3,21)+MOD(O588-12-$B$7/15,24)*15.2184+15</f>
        <v>46461.493847999998</v>
      </c>
      <c r="R588" s="114" t="b">
        <f t="shared" ca="1" si="145"/>
        <v>0</v>
      </c>
      <c r="S588" s="115">
        <f t="shared" ca="1" si="146"/>
        <v>0</v>
      </c>
      <c r="T588" s="126">
        <f t="shared" ca="1" si="147"/>
        <v>46461.493847999998</v>
      </c>
      <c r="U588" s="127" t="str">
        <f t="shared" si="144"/>
        <v>S</v>
      </c>
      <c r="V588" s="128">
        <f t="shared" ref="V588:V651" si="159">IF(90-B$6+M588&gt;90,180-90+B$6-M588,90-B$6+M588)</f>
        <v>-23.953333333333333</v>
      </c>
      <c r="W588" s="129">
        <f t="shared" si="148"/>
        <v>-23.953333333333333</v>
      </c>
      <c r="X588" s="197"/>
      <c r="Y588" s="115">
        <f t="shared" ca="1" si="149"/>
        <v>68</v>
      </c>
      <c r="Z588" s="118">
        <f t="shared" ca="1" si="150"/>
        <v>0.81369863013698629</v>
      </c>
      <c r="AA588" s="116"/>
      <c r="AB588" s="117">
        <f t="shared" si="151"/>
        <v>18.609907031319477</v>
      </c>
      <c r="AC588" s="118">
        <f t="shared" si="152"/>
        <v>0.85874612630497815</v>
      </c>
      <c r="AE588" s="55"/>
      <c r="AF588" s="72"/>
      <c r="AG588" s="72"/>
      <c r="AH588" s="66"/>
      <c r="AJ588" t="s">
        <v>350</v>
      </c>
    </row>
    <row r="589" spans="1:36" ht="16" hidden="1" thickBot="1" x14ac:dyDescent="0.25">
      <c r="A589" s="119" t="s">
        <v>154</v>
      </c>
      <c r="B589" s="120" t="s">
        <v>1235</v>
      </c>
      <c r="C589" s="108" t="str">
        <f t="shared" si="153"/>
        <v>/Applications/Stellarium.app/Contents/Resources/nebulae/default/m65.png</v>
      </c>
      <c r="D589" s="121" t="s">
        <v>2019</v>
      </c>
      <c r="E589" s="109"/>
      <c r="F589" s="122">
        <v>11</v>
      </c>
      <c r="G589" s="123">
        <v>19</v>
      </c>
      <c r="H589" s="122">
        <v>13</v>
      </c>
      <c r="I589" s="124">
        <v>0</v>
      </c>
      <c r="J589" s="112" t="s">
        <v>758</v>
      </c>
      <c r="K589" s="125">
        <v>12.7</v>
      </c>
      <c r="L589" s="196"/>
      <c r="M589" s="110">
        <f t="shared" si="154"/>
        <v>13</v>
      </c>
      <c r="N589" s="111">
        <f t="shared" si="155"/>
        <v>50.78</v>
      </c>
      <c r="O589" s="112">
        <f t="shared" si="156"/>
        <v>11.316666666666666</v>
      </c>
      <c r="P589" s="113">
        <f t="shared" ca="1" si="157"/>
        <v>46446.747488000001</v>
      </c>
      <c r="Q589" s="114">
        <f t="shared" ca="1" si="158"/>
        <v>46461.747488000001</v>
      </c>
      <c r="R589" s="114" t="b">
        <f t="shared" ca="1" si="145"/>
        <v>0</v>
      </c>
      <c r="S589" s="115">
        <f t="shared" ca="1" si="146"/>
        <v>0</v>
      </c>
      <c r="T589" s="126">
        <f t="shared" ca="1" si="147"/>
        <v>46461.747488000001</v>
      </c>
      <c r="U589" s="127" t="str">
        <f t="shared" si="144"/>
        <v>S</v>
      </c>
      <c r="V589" s="128">
        <f t="shared" si="159"/>
        <v>50.78</v>
      </c>
      <c r="W589" s="129">
        <f t="shared" si="148"/>
        <v>50.78</v>
      </c>
      <c r="X589" s="197"/>
      <c r="Y589" s="115">
        <f t="shared" ca="1" si="149"/>
        <v>67</v>
      </c>
      <c r="Z589" s="118">
        <f t="shared" ca="1" si="150"/>
        <v>0.81643835616438354</v>
      </c>
      <c r="AA589" s="116"/>
      <c r="AB589" s="117">
        <f t="shared" si="151"/>
        <v>18.626528190758307</v>
      </c>
      <c r="AC589" s="118">
        <f t="shared" si="152"/>
        <v>0.85943867461492951</v>
      </c>
      <c r="AE589" s="55" t="s">
        <v>0</v>
      </c>
      <c r="AF589" s="72">
        <v>1</v>
      </c>
      <c r="AG589" s="72">
        <v>585</v>
      </c>
      <c r="AH589" s="66" t="s">
        <v>14</v>
      </c>
      <c r="AJ589" t="s">
        <v>154</v>
      </c>
    </row>
    <row r="590" spans="1:36" ht="16" hidden="1" thickBot="1" x14ac:dyDescent="0.25">
      <c r="A590" s="119" t="s">
        <v>351</v>
      </c>
      <c r="B590" s="120" t="s">
        <v>1272</v>
      </c>
      <c r="C590" s="108" t="str">
        <f t="shared" si="153"/>
        <v>/Applications/Stellarium.app/Contents/Resources/nebulae/default/n3621.png</v>
      </c>
      <c r="D590" s="121" t="s">
        <v>2020</v>
      </c>
      <c r="E590" s="109"/>
      <c r="F590" s="122">
        <v>11</v>
      </c>
      <c r="G590" s="123">
        <v>19</v>
      </c>
      <c r="H590" s="122">
        <v>-34</v>
      </c>
      <c r="I590" s="124">
        <v>58</v>
      </c>
      <c r="J590" s="112" t="s">
        <v>919</v>
      </c>
      <c r="K590" s="125">
        <v>13.3</v>
      </c>
      <c r="L590" s="196"/>
      <c r="M590" s="110">
        <f t="shared" si="154"/>
        <v>-33.033333333333331</v>
      </c>
      <c r="N590" s="111">
        <f t="shared" si="155"/>
        <v>4.7466666666666697</v>
      </c>
      <c r="O590" s="112">
        <f t="shared" si="156"/>
        <v>11.316666666666666</v>
      </c>
      <c r="P590" s="113">
        <f t="shared" ca="1" si="157"/>
        <v>46446.747488000001</v>
      </c>
      <c r="Q590" s="114">
        <f t="shared" ca="1" si="158"/>
        <v>46461.747488000001</v>
      </c>
      <c r="R590" s="114" t="b">
        <f t="shared" ca="1" si="145"/>
        <v>0</v>
      </c>
      <c r="S590" s="115">
        <f t="shared" ca="1" si="146"/>
        <v>0</v>
      </c>
      <c r="T590" s="126">
        <f t="shared" ca="1" si="147"/>
        <v>46461.747488000001</v>
      </c>
      <c r="U590" s="127" t="str">
        <f t="shared" si="144"/>
        <v>S</v>
      </c>
      <c r="V590" s="128">
        <f t="shared" si="159"/>
        <v>4.7466666666666697</v>
      </c>
      <c r="W590" s="129">
        <f t="shared" si="148"/>
        <v>4.7466666666666697</v>
      </c>
      <c r="X590" s="197"/>
      <c r="Y590" s="115">
        <f t="shared" ca="1" si="149"/>
        <v>67</v>
      </c>
      <c r="Z590" s="118">
        <f t="shared" ca="1" si="150"/>
        <v>0.81643835616438354</v>
      </c>
      <c r="AA590" s="116"/>
      <c r="AB590" s="117">
        <f t="shared" si="151"/>
        <v>18.626528190758307</v>
      </c>
      <c r="AC590" s="118">
        <f t="shared" si="152"/>
        <v>0.85943867461492951</v>
      </c>
      <c r="AE590" s="55"/>
      <c r="AF590" s="72"/>
      <c r="AG590" s="72"/>
      <c r="AH590" s="66"/>
      <c r="AJ590" t="s">
        <v>351</v>
      </c>
    </row>
    <row r="591" spans="1:36" ht="16" hidden="1" thickBot="1" x14ac:dyDescent="0.25">
      <c r="A591" s="119" t="s">
        <v>155</v>
      </c>
      <c r="B591" s="120" t="s">
        <v>1235</v>
      </c>
      <c r="C591" s="108" t="str">
        <f t="shared" si="153"/>
        <v>/Applications/Stellarium.app/Contents/Resources/nebulae/default/m66.png</v>
      </c>
      <c r="D591" s="121" t="s">
        <v>2021</v>
      </c>
      <c r="E591" s="109"/>
      <c r="F591" s="122">
        <v>11</v>
      </c>
      <c r="G591" s="123">
        <v>20</v>
      </c>
      <c r="H591" s="122">
        <v>12</v>
      </c>
      <c r="I591" s="124">
        <v>53</v>
      </c>
      <c r="J591" s="112" t="s">
        <v>757</v>
      </c>
      <c r="K591" s="125">
        <v>12.7</v>
      </c>
      <c r="L591" s="196"/>
      <c r="M591" s="110">
        <f t="shared" si="154"/>
        <v>12.883333333333333</v>
      </c>
      <c r="N591" s="111">
        <f t="shared" si="155"/>
        <v>50.663333333333334</v>
      </c>
      <c r="O591" s="112">
        <f t="shared" si="156"/>
        <v>11.333333333333334</v>
      </c>
      <c r="P591" s="113">
        <f t="shared" ca="1" si="157"/>
        <v>46447.001128000004</v>
      </c>
      <c r="Q591" s="114">
        <f t="shared" ca="1" si="158"/>
        <v>46462.001128000004</v>
      </c>
      <c r="R591" s="114" t="b">
        <f t="shared" ca="1" si="145"/>
        <v>0</v>
      </c>
      <c r="S591" s="115">
        <f t="shared" ca="1" si="146"/>
        <v>0</v>
      </c>
      <c r="T591" s="126">
        <f t="shared" ca="1" si="147"/>
        <v>46462.001128000004</v>
      </c>
      <c r="U591" s="127" t="str">
        <f t="shared" si="144"/>
        <v>S</v>
      </c>
      <c r="V591" s="128">
        <f t="shared" si="159"/>
        <v>50.663333333333334</v>
      </c>
      <c r="W591" s="129">
        <f t="shared" si="148"/>
        <v>50.663333333333334</v>
      </c>
      <c r="X591" s="197"/>
      <c r="Y591" s="115">
        <f t="shared" ca="1" si="149"/>
        <v>67</v>
      </c>
      <c r="Z591" s="118">
        <f t="shared" ca="1" si="150"/>
        <v>0.81643835616438354</v>
      </c>
      <c r="AA591" s="116"/>
      <c r="AB591" s="117">
        <f t="shared" si="151"/>
        <v>18.643149350197142</v>
      </c>
      <c r="AC591" s="118">
        <f t="shared" si="152"/>
        <v>0.86013122292488087</v>
      </c>
      <c r="AE591" s="55"/>
      <c r="AF591" s="72"/>
      <c r="AG591" s="72"/>
      <c r="AH591" s="66"/>
      <c r="AJ591" t="s">
        <v>155</v>
      </c>
    </row>
    <row r="592" spans="1:36" ht="16" hidden="1" thickBot="1" x14ac:dyDescent="0.25">
      <c r="A592" s="119" t="s">
        <v>352</v>
      </c>
      <c r="B592" s="120" t="s">
        <v>1230</v>
      </c>
      <c r="C592" s="108" t="str">
        <f t="shared" si="153"/>
        <v>/Applications/Stellarium.app/Contents/Resources/nebulae/default/n3626-sdss.png</v>
      </c>
      <c r="D592" s="121" t="s">
        <v>2022</v>
      </c>
      <c r="E592" s="109"/>
      <c r="F592" s="122">
        <v>11</v>
      </c>
      <c r="G592" s="123">
        <v>20</v>
      </c>
      <c r="H592" s="122">
        <v>18</v>
      </c>
      <c r="I592" s="124">
        <v>19</v>
      </c>
      <c r="J592" s="112" t="s">
        <v>920</v>
      </c>
      <c r="K592" s="125">
        <v>13.4</v>
      </c>
      <c r="L592" s="196"/>
      <c r="M592" s="110">
        <f t="shared" si="154"/>
        <v>18.316666666666666</v>
      </c>
      <c r="N592" s="111">
        <f t="shared" si="155"/>
        <v>56.096666666666664</v>
      </c>
      <c r="O592" s="112">
        <f t="shared" si="156"/>
        <v>11.333333333333334</v>
      </c>
      <c r="P592" s="113">
        <f t="shared" ca="1" si="157"/>
        <v>46447.001128000004</v>
      </c>
      <c r="Q592" s="114">
        <f t="shared" ca="1" si="158"/>
        <v>46462.001128000004</v>
      </c>
      <c r="R592" s="114" t="b">
        <f t="shared" ca="1" si="145"/>
        <v>0</v>
      </c>
      <c r="S592" s="115">
        <f t="shared" ca="1" si="146"/>
        <v>0</v>
      </c>
      <c r="T592" s="126">
        <f t="shared" ca="1" si="147"/>
        <v>46462.001128000004</v>
      </c>
      <c r="U592" s="127" t="str">
        <f t="shared" si="144"/>
        <v>S</v>
      </c>
      <c r="V592" s="128">
        <f t="shared" si="159"/>
        <v>56.096666666666664</v>
      </c>
      <c r="W592" s="129">
        <f t="shared" si="148"/>
        <v>56.096666666666664</v>
      </c>
      <c r="X592" s="197"/>
      <c r="Y592" s="115">
        <f t="shared" ca="1" si="149"/>
        <v>67</v>
      </c>
      <c r="Z592" s="118">
        <f t="shared" ca="1" si="150"/>
        <v>0.81643835616438354</v>
      </c>
      <c r="AA592" s="116"/>
      <c r="AB592" s="117">
        <f t="shared" si="151"/>
        <v>18.643149350197142</v>
      </c>
      <c r="AC592" s="118">
        <f t="shared" si="152"/>
        <v>0.86013122292488087</v>
      </c>
      <c r="AE592" s="55"/>
      <c r="AF592" s="72"/>
      <c r="AG592" s="72"/>
      <c r="AH592" s="66"/>
      <c r="AJ592" t="s">
        <v>352</v>
      </c>
    </row>
    <row r="593" spans="1:36" ht="16" hidden="1" thickBot="1" x14ac:dyDescent="0.25">
      <c r="A593" s="119" t="s">
        <v>354</v>
      </c>
      <c r="B593" s="120" t="s">
        <v>1230</v>
      </c>
      <c r="C593" s="108" t="str">
        <f t="shared" si="153"/>
        <v>/Applications/Stellarium.app/Contents/Resources/nebulae/default/n3640.png</v>
      </c>
      <c r="D593" s="121" t="s">
        <v>2023</v>
      </c>
      <c r="E593" s="109"/>
      <c r="F593" s="122">
        <v>11</v>
      </c>
      <c r="G593" s="123">
        <v>21</v>
      </c>
      <c r="H593" s="122">
        <v>3</v>
      </c>
      <c r="I593" s="124">
        <v>9</v>
      </c>
      <c r="J593" s="112" t="s">
        <v>922</v>
      </c>
      <c r="K593" s="125">
        <v>14</v>
      </c>
      <c r="L593" s="196"/>
      <c r="M593" s="110">
        <f t="shared" si="154"/>
        <v>3.15</v>
      </c>
      <c r="N593" s="111">
        <f t="shared" si="155"/>
        <v>40.93</v>
      </c>
      <c r="O593" s="112">
        <f t="shared" si="156"/>
        <v>11.35</v>
      </c>
      <c r="P593" s="113">
        <f t="shared" ca="1" si="157"/>
        <v>46447.254767999999</v>
      </c>
      <c r="Q593" s="114">
        <f t="shared" ca="1" si="158"/>
        <v>46462.254767999999</v>
      </c>
      <c r="R593" s="114" t="b">
        <f t="shared" ca="1" si="145"/>
        <v>0</v>
      </c>
      <c r="S593" s="115">
        <f t="shared" ca="1" si="146"/>
        <v>0</v>
      </c>
      <c r="T593" s="126">
        <f t="shared" ca="1" si="147"/>
        <v>46462.254767999999</v>
      </c>
      <c r="U593" s="127" t="str">
        <f t="shared" si="144"/>
        <v>S</v>
      </c>
      <c r="V593" s="128">
        <f t="shared" si="159"/>
        <v>40.93</v>
      </c>
      <c r="W593" s="129">
        <f t="shared" si="148"/>
        <v>40.93</v>
      </c>
      <c r="X593" s="197"/>
      <c r="Y593" s="115">
        <f t="shared" ca="1" si="149"/>
        <v>67</v>
      </c>
      <c r="Z593" s="118">
        <f t="shared" ca="1" si="150"/>
        <v>0.81643835616438354</v>
      </c>
      <c r="AA593" s="116"/>
      <c r="AB593" s="117">
        <f t="shared" si="151"/>
        <v>18.659770509635973</v>
      </c>
      <c r="AC593" s="118">
        <f t="shared" si="152"/>
        <v>0.86082377123483222</v>
      </c>
      <c r="AE593" s="55"/>
      <c r="AF593" s="72"/>
      <c r="AG593" s="72"/>
      <c r="AH593" s="66"/>
      <c r="AJ593" t="s">
        <v>354</v>
      </c>
    </row>
    <row r="594" spans="1:36" ht="16" hidden="1" thickBot="1" x14ac:dyDescent="0.25">
      <c r="A594" s="119" t="s">
        <v>353</v>
      </c>
      <c r="B594" s="120" t="s">
        <v>1297</v>
      </c>
      <c r="C594" s="108" t="str">
        <f t="shared" si="153"/>
        <v>/Applications/Stellarium.app/Contents/Resources/nebulae/default/n3628.png</v>
      </c>
      <c r="D594" s="121" t="s">
        <v>2024</v>
      </c>
      <c r="E594" s="109"/>
      <c r="F594" s="122">
        <v>11</v>
      </c>
      <c r="G594" s="123">
        <v>23</v>
      </c>
      <c r="H594" s="122">
        <v>13</v>
      </c>
      <c r="I594" s="124">
        <v>11</v>
      </c>
      <c r="J594" s="112" t="s">
        <v>921</v>
      </c>
      <c r="K594" s="125">
        <v>13.4</v>
      </c>
      <c r="L594" s="196"/>
      <c r="M594" s="110">
        <f t="shared" si="154"/>
        <v>13.183333333333334</v>
      </c>
      <c r="N594" s="111">
        <f t="shared" si="155"/>
        <v>50.963333333333338</v>
      </c>
      <c r="O594" s="112">
        <f t="shared" si="156"/>
        <v>11.383333333333333</v>
      </c>
      <c r="P594" s="113">
        <f t="shared" ca="1" si="157"/>
        <v>46447.762047999997</v>
      </c>
      <c r="Q594" s="114">
        <f t="shared" ca="1" si="158"/>
        <v>46462.762047999997</v>
      </c>
      <c r="R594" s="114" t="b">
        <f t="shared" ca="1" si="145"/>
        <v>0</v>
      </c>
      <c r="S594" s="115">
        <f t="shared" ca="1" si="146"/>
        <v>0</v>
      </c>
      <c r="T594" s="126">
        <f t="shared" ca="1" si="147"/>
        <v>46462.762047999997</v>
      </c>
      <c r="U594" s="127" t="str">
        <f t="shared" si="144"/>
        <v>S</v>
      </c>
      <c r="V594" s="128">
        <f t="shared" si="159"/>
        <v>50.963333333333338</v>
      </c>
      <c r="W594" s="129">
        <f t="shared" si="148"/>
        <v>50.963333333333338</v>
      </c>
      <c r="X594" s="197"/>
      <c r="Y594" s="115">
        <f t="shared" ca="1" si="149"/>
        <v>66</v>
      </c>
      <c r="Z594" s="118">
        <f t="shared" ca="1" si="150"/>
        <v>0.81917808219178079</v>
      </c>
      <c r="AA594" s="116"/>
      <c r="AB594" s="117">
        <f t="shared" si="151"/>
        <v>18.693012828513631</v>
      </c>
      <c r="AC594" s="118">
        <f t="shared" si="152"/>
        <v>0.86220886785473461</v>
      </c>
      <c r="AE594" s="55"/>
      <c r="AF594" s="72"/>
      <c r="AG594" s="72"/>
      <c r="AH594" s="66"/>
      <c r="AJ594" t="s">
        <v>353</v>
      </c>
    </row>
    <row r="595" spans="1:36" ht="16" hidden="1" thickBot="1" x14ac:dyDescent="0.25">
      <c r="A595" s="119" t="s">
        <v>355</v>
      </c>
      <c r="B595" s="120" t="s">
        <v>1275</v>
      </c>
      <c r="C595" s="108" t="str">
        <f t="shared" si="153"/>
        <v>/Applications/Stellarium.app/Contents/Resources/nebulae/default/n3690h.png</v>
      </c>
      <c r="D595" s="121" t="s">
        <v>2025</v>
      </c>
      <c r="E595" s="109"/>
      <c r="F595" s="122">
        <v>11</v>
      </c>
      <c r="G595" s="123">
        <v>28</v>
      </c>
      <c r="H595" s="122">
        <v>58</v>
      </c>
      <c r="I595" s="124">
        <v>32</v>
      </c>
      <c r="J595" s="112" t="s">
        <v>923</v>
      </c>
      <c r="K595" s="125">
        <v>14</v>
      </c>
      <c r="L595" s="196"/>
      <c r="M595" s="110">
        <f t="shared" si="154"/>
        <v>58.533333333333331</v>
      </c>
      <c r="N595" s="111">
        <f t="shared" si="155"/>
        <v>96.313333333333333</v>
      </c>
      <c r="O595" s="112">
        <f t="shared" si="156"/>
        <v>11.466666666666667</v>
      </c>
      <c r="P595" s="113">
        <f t="shared" ca="1" si="157"/>
        <v>46449.030248000003</v>
      </c>
      <c r="Q595" s="114">
        <f t="shared" ca="1" si="158"/>
        <v>46464.030248000003</v>
      </c>
      <c r="R595" s="114" t="b">
        <f t="shared" ca="1" si="145"/>
        <v>0</v>
      </c>
      <c r="S595" s="115">
        <f t="shared" ca="1" si="146"/>
        <v>0</v>
      </c>
      <c r="T595" s="126">
        <f t="shared" ca="1" si="147"/>
        <v>46464.030248000003</v>
      </c>
      <c r="U595" s="127" t="str">
        <f t="shared" si="144"/>
        <v>N</v>
      </c>
      <c r="V595" s="128">
        <f t="shared" si="159"/>
        <v>83.686666666666667</v>
      </c>
      <c r="W595" s="129">
        <f t="shared" si="148"/>
        <v>83.686666666666667</v>
      </c>
      <c r="X595" s="197"/>
      <c r="Y595" s="115">
        <f t="shared" ca="1" si="149"/>
        <v>65</v>
      </c>
      <c r="Z595" s="118">
        <f t="shared" ca="1" si="150"/>
        <v>0.82191780821917804</v>
      </c>
      <c r="AA595" s="116"/>
      <c r="AB595" s="117">
        <f t="shared" si="151"/>
        <v>18.776118625707792</v>
      </c>
      <c r="AC595" s="118">
        <f t="shared" si="152"/>
        <v>0.86567160940449128</v>
      </c>
      <c r="AE595" s="55"/>
      <c r="AF595" s="72"/>
      <c r="AG595" s="72"/>
      <c r="AH595" s="66"/>
      <c r="AJ595" t="s">
        <v>355</v>
      </c>
    </row>
    <row r="596" spans="1:36" ht="16" hidden="1" thickBot="1" x14ac:dyDescent="0.25">
      <c r="A596" s="119" t="s">
        <v>356</v>
      </c>
      <c r="B596" s="120" t="s">
        <v>1277</v>
      </c>
      <c r="C596" s="108" t="str">
        <f t="shared" si="153"/>
        <v>/Applications/Stellarium.app/Contents/Resources/nebulae/default/n3699.png</v>
      </c>
      <c r="D596" s="121" t="s">
        <v>2026</v>
      </c>
      <c r="E596" s="109"/>
      <c r="F596" s="122">
        <v>11</v>
      </c>
      <c r="G596" s="123">
        <v>28</v>
      </c>
      <c r="H596" s="122">
        <v>-60</v>
      </c>
      <c r="I596" s="124">
        <v>0</v>
      </c>
      <c r="J596" s="112" t="s">
        <v>924</v>
      </c>
      <c r="K596" s="125">
        <v>14.5</v>
      </c>
      <c r="L596" s="196"/>
      <c r="M596" s="110">
        <f t="shared" si="154"/>
        <v>-60</v>
      </c>
      <c r="N596" s="111">
        <f t="shared" si="155"/>
        <v>-22.22</v>
      </c>
      <c r="O596" s="112">
        <f t="shared" si="156"/>
        <v>11.466666666666667</v>
      </c>
      <c r="P596" s="113">
        <f t="shared" ca="1" si="157"/>
        <v>46449.030248000003</v>
      </c>
      <c r="Q596" s="114">
        <f t="shared" ca="1" si="158"/>
        <v>46464.030248000003</v>
      </c>
      <c r="R596" s="114" t="b">
        <f t="shared" ca="1" si="145"/>
        <v>0</v>
      </c>
      <c r="S596" s="115">
        <f t="shared" ca="1" si="146"/>
        <v>0</v>
      </c>
      <c r="T596" s="126">
        <f t="shared" ca="1" si="147"/>
        <v>46464.030248000003</v>
      </c>
      <c r="U596" s="127" t="str">
        <f t="shared" si="144"/>
        <v>S</v>
      </c>
      <c r="V596" s="128">
        <f t="shared" si="159"/>
        <v>-22.22</v>
      </c>
      <c r="W596" s="129">
        <f t="shared" si="148"/>
        <v>-22.22</v>
      </c>
      <c r="X596" s="197"/>
      <c r="Y596" s="115">
        <f t="shared" ca="1" si="149"/>
        <v>65</v>
      </c>
      <c r="Z596" s="118">
        <f t="shared" ca="1" si="150"/>
        <v>0.82191780821917804</v>
      </c>
      <c r="AA596" s="116"/>
      <c r="AB596" s="117">
        <f t="shared" si="151"/>
        <v>18.776118625707792</v>
      </c>
      <c r="AC596" s="118">
        <f t="shared" si="152"/>
        <v>0.86567160940449128</v>
      </c>
      <c r="AE596" s="55"/>
      <c r="AF596" s="72"/>
      <c r="AG596" s="72"/>
      <c r="AH596" s="66"/>
      <c r="AJ596" t="s">
        <v>356</v>
      </c>
    </row>
    <row r="597" spans="1:36" ht="16" hidden="1" thickBot="1" x14ac:dyDescent="0.25">
      <c r="A597" s="119" t="s">
        <v>589</v>
      </c>
      <c r="B597" s="120" t="s">
        <v>1276</v>
      </c>
      <c r="C597" s="108" t="str">
        <f t="shared" si="153"/>
        <v>/Applications/Stellarium.app/Contents/Resources/nebulae/default/ic2631.png</v>
      </c>
      <c r="D597" s="121" t="s">
        <v>2027</v>
      </c>
      <c r="E597" s="109"/>
      <c r="F597" s="122">
        <v>11</v>
      </c>
      <c r="G597" s="123">
        <v>28</v>
      </c>
      <c r="H597" s="122">
        <v>-79</v>
      </c>
      <c r="I597" s="124">
        <v>42</v>
      </c>
      <c r="J597" s="112" t="s">
        <v>1106</v>
      </c>
      <c r="K597" s="125">
        <v>14.2</v>
      </c>
      <c r="L597" s="196"/>
      <c r="M597" s="110">
        <f t="shared" si="154"/>
        <v>-78.3</v>
      </c>
      <c r="N597" s="111">
        <f t="shared" si="155"/>
        <v>-40.519999999999996</v>
      </c>
      <c r="O597" s="112">
        <f t="shared" si="156"/>
        <v>11.466666666666667</v>
      </c>
      <c r="P597" s="113">
        <f t="shared" ca="1" si="157"/>
        <v>46449.030248000003</v>
      </c>
      <c r="Q597" s="114">
        <f t="shared" ca="1" si="158"/>
        <v>46464.030248000003</v>
      </c>
      <c r="R597" s="114" t="b">
        <f t="shared" ca="1" si="145"/>
        <v>0</v>
      </c>
      <c r="S597" s="115">
        <f t="shared" ca="1" si="146"/>
        <v>0</v>
      </c>
      <c r="T597" s="126">
        <f t="shared" ca="1" si="147"/>
        <v>46464.030248000003</v>
      </c>
      <c r="U597" s="127" t="str">
        <f t="shared" si="144"/>
        <v>S</v>
      </c>
      <c r="V597" s="128">
        <f t="shared" si="159"/>
        <v>-40.519999999999996</v>
      </c>
      <c r="W597" s="129">
        <f t="shared" si="148"/>
        <v>-40.519999999999996</v>
      </c>
      <c r="X597" s="197"/>
      <c r="Y597" s="115">
        <f t="shared" ca="1" si="149"/>
        <v>65</v>
      </c>
      <c r="Z597" s="118">
        <f t="shared" ca="1" si="150"/>
        <v>0.82191780821917804</v>
      </c>
      <c r="AA597" s="116"/>
      <c r="AB597" s="117">
        <f t="shared" si="151"/>
        <v>18.776118625707792</v>
      </c>
      <c r="AC597" s="118">
        <f t="shared" si="152"/>
        <v>0.86567160940449128</v>
      </c>
      <c r="AE597" s="55"/>
      <c r="AF597" s="72"/>
      <c r="AG597" s="72"/>
      <c r="AH597" s="66"/>
      <c r="AJ597" t="s">
        <v>589</v>
      </c>
    </row>
    <row r="598" spans="1:36" ht="16" hidden="1" thickBot="1" x14ac:dyDescent="0.25">
      <c r="A598" s="119" t="s">
        <v>358</v>
      </c>
      <c r="B598" s="120" t="s">
        <v>1272</v>
      </c>
      <c r="C598" s="108" t="str">
        <f t="shared" si="153"/>
        <v>/Applications/Stellarium.app/Contents/Resources/nebulae/default/n3726.png</v>
      </c>
      <c r="D598" s="121" t="s">
        <v>2028</v>
      </c>
      <c r="E598" s="109"/>
      <c r="F598" s="122">
        <v>11</v>
      </c>
      <c r="G598" s="123">
        <v>33</v>
      </c>
      <c r="H598" s="122">
        <v>47</v>
      </c>
      <c r="I598" s="124">
        <v>2</v>
      </c>
      <c r="J598" s="112" t="s">
        <v>926</v>
      </c>
      <c r="K598" s="125">
        <v>13.5</v>
      </c>
      <c r="L598" s="196"/>
      <c r="M598" s="110">
        <f t="shared" si="154"/>
        <v>47.033333333333331</v>
      </c>
      <c r="N598" s="111">
        <f t="shared" si="155"/>
        <v>84.813333333333333</v>
      </c>
      <c r="O598" s="112">
        <f t="shared" si="156"/>
        <v>11.55</v>
      </c>
      <c r="P598" s="113">
        <f t="shared" ca="1" si="157"/>
        <v>46450.298448000001</v>
      </c>
      <c r="Q598" s="114">
        <f t="shared" ca="1" si="158"/>
        <v>46465.298448000001</v>
      </c>
      <c r="R598" s="114" t="b">
        <f t="shared" ca="1" si="145"/>
        <v>0</v>
      </c>
      <c r="S598" s="115">
        <f t="shared" ca="1" si="146"/>
        <v>0</v>
      </c>
      <c r="T598" s="126">
        <f t="shared" ca="1" si="147"/>
        <v>46465.298448000001</v>
      </c>
      <c r="U598" s="127" t="str">
        <f t="shared" si="144"/>
        <v>S</v>
      </c>
      <c r="V598" s="128">
        <f t="shared" si="159"/>
        <v>84.813333333333333</v>
      </c>
      <c r="W598" s="129">
        <f t="shared" si="148"/>
        <v>84.813333333333333</v>
      </c>
      <c r="X598" s="197"/>
      <c r="Y598" s="115">
        <f t="shared" ca="1" si="149"/>
        <v>64</v>
      </c>
      <c r="Z598" s="118">
        <f t="shared" ca="1" si="150"/>
        <v>0.8246575342465754</v>
      </c>
      <c r="AA598" s="116"/>
      <c r="AB598" s="117">
        <f t="shared" si="151"/>
        <v>18.859224422901946</v>
      </c>
      <c r="AC598" s="118">
        <f t="shared" si="152"/>
        <v>0.86913435095424774</v>
      </c>
      <c r="AE598" s="55"/>
      <c r="AF598" s="72"/>
      <c r="AG598" s="72"/>
      <c r="AH598" s="66"/>
      <c r="AJ598" t="s">
        <v>358</v>
      </c>
    </row>
    <row r="599" spans="1:36" ht="16" hidden="1" thickBot="1" x14ac:dyDescent="0.25">
      <c r="A599" s="119" t="s">
        <v>357</v>
      </c>
      <c r="B599" s="120" t="s">
        <v>1272</v>
      </c>
      <c r="C599" s="108" t="str">
        <f t="shared" si="153"/>
        <v>/Applications/Stellarium.app/Contents/Resources/nebulae/default/n3718oleg.png</v>
      </c>
      <c r="D599" s="121" t="s">
        <v>2029</v>
      </c>
      <c r="E599" s="109"/>
      <c r="F599" s="122">
        <v>11</v>
      </c>
      <c r="G599" s="123">
        <v>34</v>
      </c>
      <c r="H599" s="122">
        <v>52</v>
      </c>
      <c r="I599" s="124">
        <v>51</v>
      </c>
      <c r="J599" s="112" t="s">
        <v>925</v>
      </c>
      <c r="K599" s="125">
        <v>15.5</v>
      </c>
      <c r="L599" s="196"/>
      <c r="M599" s="110">
        <f t="shared" si="154"/>
        <v>52.85</v>
      </c>
      <c r="N599" s="111">
        <f t="shared" si="155"/>
        <v>90.63</v>
      </c>
      <c r="O599" s="112">
        <f t="shared" si="156"/>
        <v>11.566666666666666</v>
      </c>
      <c r="P599" s="113">
        <f t="shared" ca="1" si="157"/>
        <v>46450.552087999997</v>
      </c>
      <c r="Q599" s="114">
        <f t="shared" ca="1" si="158"/>
        <v>46465.552087999997</v>
      </c>
      <c r="R599" s="114" t="b">
        <f t="shared" ca="1" si="145"/>
        <v>0</v>
      </c>
      <c r="S599" s="115">
        <f t="shared" ca="1" si="146"/>
        <v>0</v>
      </c>
      <c r="T599" s="126">
        <f t="shared" ca="1" si="147"/>
        <v>46465.552087999997</v>
      </c>
      <c r="U599" s="127" t="str">
        <f t="shared" si="144"/>
        <v>N</v>
      </c>
      <c r="V599" s="128">
        <f t="shared" si="159"/>
        <v>89.37</v>
      </c>
      <c r="W599" s="129">
        <f t="shared" si="148"/>
        <v>89.37</v>
      </c>
      <c r="X599" s="197"/>
      <c r="Y599" s="115">
        <f t="shared" ca="1" si="149"/>
        <v>63</v>
      </c>
      <c r="Z599" s="118">
        <f t="shared" ca="1" si="150"/>
        <v>0.82739726027397253</v>
      </c>
      <c r="AA599" s="116"/>
      <c r="AB599" s="117">
        <f t="shared" si="151"/>
        <v>18.875845582340776</v>
      </c>
      <c r="AC599" s="118">
        <f t="shared" si="152"/>
        <v>0.86982689926419898</v>
      </c>
      <c r="AE599" s="55"/>
      <c r="AF599" s="72"/>
      <c r="AG599" s="72"/>
      <c r="AH599" s="66"/>
      <c r="AJ599" t="s">
        <v>357</v>
      </c>
    </row>
    <row r="600" spans="1:36" ht="16" hidden="1" thickBot="1" x14ac:dyDescent="0.25">
      <c r="A600" s="119" t="s">
        <v>360</v>
      </c>
      <c r="B600" s="120" t="s">
        <v>1207</v>
      </c>
      <c r="C600" s="108" t="str">
        <f t="shared" si="153"/>
        <v>/Applications/Stellarium.app/Contents/Resources/nebulae/default/n3766.png</v>
      </c>
      <c r="D600" s="121" t="s">
        <v>2030</v>
      </c>
      <c r="E600" s="109"/>
      <c r="F600" s="122">
        <v>11</v>
      </c>
      <c r="G600" s="123">
        <v>36</v>
      </c>
      <c r="H600" s="122">
        <v>-62</v>
      </c>
      <c r="I600" s="124">
        <v>16</v>
      </c>
      <c r="J600" s="112" t="s">
        <v>740</v>
      </c>
      <c r="K600" s="125">
        <v>13.5</v>
      </c>
      <c r="L600" s="196"/>
      <c r="M600" s="110">
        <f t="shared" si="154"/>
        <v>-61.733333333333334</v>
      </c>
      <c r="N600" s="111">
        <f t="shared" si="155"/>
        <v>-23.953333333333333</v>
      </c>
      <c r="O600" s="112">
        <f t="shared" si="156"/>
        <v>11.6</v>
      </c>
      <c r="P600" s="113">
        <f t="shared" ca="1" si="157"/>
        <v>46451.059368000002</v>
      </c>
      <c r="Q600" s="114">
        <f t="shared" ca="1" si="158"/>
        <v>46466.059368000002</v>
      </c>
      <c r="R600" s="114" t="b">
        <f t="shared" ca="1" si="145"/>
        <v>0</v>
      </c>
      <c r="S600" s="115">
        <f t="shared" ca="1" si="146"/>
        <v>0</v>
      </c>
      <c r="T600" s="126">
        <f t="shared" ca="1" si="147"/>
        <v>46466.059368000002</v>
      </c>
      <c r="U600" s="127" t="str">
        <f t="shared" si="144"/>
        <v>S</v>
      </c>
      <c r="V600" s="128">
        <f t="shared" si="159"/>
        <v>-23.953333333333333</v>
      </c>
      <c r="W600" s="129">
        <f t="shared" si="148"/>
        <v>-23.953333333333333</v>
      </c>
      <c r="X600" s="197"/>
      <c r="Y600" s="115">
        <f t="shared" ca="1" si="149"/>
        <v>63</v>
      </c>
      <c r="Z600" s="118">
        <f t="shared" ca="1" si="150"/>
        <v>0.82739726027397253</v>
      </c>
      <c r="AA600" s="116"/>
      <c r="AB600" s="117">
        <f t="shared" si="151"/>
        <v>18.909087901218438</v>
      </c>
      <c r="AC600" s="118">
        <f t="shared" si="152"/>
        <v>0.87121199588410159</v>
      </c>
      <c r="AE600" s="55"/>
      <c r="AF600" s="72"/>
      <c r="AG600" s="72"/>
      <c r="AH600" s="66"/>
      <c r="AJ600" t="s">
        <v>360</v>
      </c>
    </row>
    <row r="601" spans="1:36" ht="16" hidden="1" thickBot="1" x14ac:dyDescent="0.25">
      <c r="A601" s="119" t="s">
        <v>359</v>
      </c>
      <c r="B601" s="120" t="s">
        <v>1298</v>
      </c>
      <c r="C601" s="108" t="str">
        <f t="shared" si="153"/>
        <v>/Applications/Stellarium.app/Contents/Resources/nebulae/default/n3750.png</v>
      </c>
      <c r="D601" s="121" t="s">
        <v>2031</v>
      </c>
      <c r="E601" s="109"/>
      <c r="F601" s="122">
        <v>11</v>
      </c>
      <c r="G601" s="123">
        <v>38</v>
      </c>
      <c r="H601" s="122">
        <v>21</v>
      </c>
      <c r="I601" s="124">
        <v>53</v>
      </c>
      <c r="J601" s="112" t="s">
        <v>927</v>
      </c>
      <c r="K601" s="125">
        <v>14</v>
      </c>
      <c r="L601" s="196"/>
      <c r="M601" s="110">
        <f t="shared" si="154"/>
        <v>21.883333333333333</v>
      </c>
      <c r="N601" s="111">
        <f t="shared" si="155"/>
        <v>59.663333333333334</v>
      </c>
      <c r="O601" s="112">
        <f t="shared" si="156"/>
        <v>11.633333333333333</v>
      </c>
      <c r="P601" s="113">
        <f t="shared" ca="1" si="157"/>
        <v>46451.566648</v>
      </c>
      <c r="Q601" s="114">
        <f t="shared" ca="1" si="158"/>
        <v>46466.566648</v>
      </c>
      <c r="R601" s="114" t="b">
        <f t="shared" ca="1" si="145"/>
        <v>0</v>
      </c>
      <c r="S601" s="115">
        <f t="shared" ca="1" si="146"/>
        <v>0</v>
      </c>
      <c r="T601" s="126">
        <f t="shared" ca="1" si="147"/>
        <v>46466.566648</v>
      </c>
      <c r="U601" s="127" t="str">
        <f t="shared" si="144"/>
        <v>S</v>
      </c>
      <c r="V601" s="128">
        <f t="shared" si="159"/>
        <v>59.663333333333334</v>
      </c>
      <c r="W601" s="129">
        <f t="shared" si="148"/>
        <v>59.663333333333334</v>
      </c>
      <c r="X601" s="197"/>
      <c r="Y601" s="115">
        <f t="shared" ca="1" si="149"/>
        <v>62</v>
      </c>
      <c r="Z601" s="118">
        <f t="shared" ca="1" si="150"/>
        <v>0.83013698630136989</v>
      </c>
      <c r="AA601" s="116"/>
      <c r="AB601" s="117">
        <f t="shared" si="151"/>
        <v>18.9423302200961</v>
      </c>
      <c r="AC601" s="118">
        <f t="shared" si="152"/>
        <v>0.87259709250400419</v>
      </c>
      <c r="AE601" s="55"/>
      <c r="AF601" s="72"/>
      <c r="AG601" s="72"/>
      <c r="AH601" s="66"/>
      <c r="AJ601" t="s">
        <v>359</v>
      </c>
    </row>
    <row r="602" spans="1:36" ht="16" hidden="1" thickBot="1" x14ac:dyDescent="0.25">
      <c r="A602" s="119" t="s">
        <v>361</v>
      </c>
      <c r="B602" s="120" t="s">
        <v>1275</v>
      </c>
      <c r="C602" s="108" t="str">
        <f t="shared" si="153"/>
        <v>/Applications/Stellarium.app/Contents/Resources/nebulae/default/n3786.png</v>
      </c>
      <c r="D602" s="121" t="s">
        <v>2032</v>
      </c>
      <c r="E602" s="109"/>
      <c r="F602" s="122">
        <v>11</v>
      </c>
      <c r="G602" s="123">
        <v>39</v>
      </c>
      <c r="H602" s="122">
        <v>31</v>
      </c>
      <c r="I602" s="124">
        <v>51</v>
      </c>
      <c r="J602" s="112" t="s">
        <v>928</v>
      </c>
      <c r="K602" s="125">
        <v>13.5</v>
      </c>
      <c r="L602" s="196"/>
      <c r="M602" s="110">
        <f t="shared" si="154"/>
        <v>31.85</v>
      </c>
      <c r="N602" s="111">
        <f t="shared" si="155"/>
        <v>69.63</v>
      </c>
      <c r="O602" s="112">
        <f t="shared" si="156"/>
        <v>11.65</v>
      </c>
      <c r="P602" s="113">
        <f t="shared" ca="1" si="157"/>
        <v>46451.820288000003</v>
      </c>
      <c r="Q602" s="114">
        <f t="shared" ca="1" si="158"/>
        <v>46466.820288000003</v>
      </c>
      <c r="R602" s="114" t="b">
        <f t="shared" ca="1" si="145"/>
        <v>0</v>
      </c>
      <c r="S602" s="115">
        <f t="shared" ca="1" si="146"/>
        <v>0</v>
      </c>
      <c r="T602" s="126">
        <f t="shared" ca="1" si="147"/>
        <v>46466.820288000003</v>
      </c>
      <c r="U602" s="127" t="str">
        <f t="shared" si="144"/>
        <v>S</v>
      </c>
      <c r="V602" s="128">
        <f t="shared" si="159"/>
        <v>69.63</v>
      </c>
      <c r="W602" s="129">
        <f t="shared" si="148"/>
        <v>69.63</v>
      </c>
      <c r="X602" s="197"/>
      <c r="Y602" s="115">
        <f t="shared" ca="1" si="149"/>
        <v>62</v>
      </c>
      <c r="Z602" s="118">
        <f t="shared" ca="1" si="150"/>
        <v>0.83013698630136989</v>
      </c>
      <c r="AA602" s="116"/>
      <c r="AB602" s="117">
        <f t="shared" si="151"/>
        <v>18.95895137953493</v>
      </c>
      <c r="AC602" s="118">
        <f t="shared" si="152"/>
        <v>0.87328964081395544</v>
      </c>
      <c r="AE602" s="55"/>
      <c r="AF602" s="72"/>
      <c r="AG602" s="72"/>
      <c r="AH602" s="66"/>
      <c r="AJ602" t="s">
        <v>361</v>
      </c>
    </row>
    <row r="603" spans="1:36" ht="16" hidden="1" thickBot="1" x14ac:dyDescent="0.25">
      <c r="A603" s="119" t="s">
        <v>362</v>
      </c>
      <c r="B603" s="120" t="s">
        <v>1272</v>
      </c>
      <c r="C603" s="108" t="str">
        <f t="shared" si="153"/>
        <v>/Applications/Stellarium.app/Contents/Resources/nebulae/default/n3808.png</v>
      </c>
      <c r="D603" s="121" t="s">
        <v>2033</v>
      </c>
      <c r="E603" s="109"/>
      <c r="F603" s="122">
        <v>11</v>
      </c>
      <c r="G603" s="123">
        <v>40</v>
      </c>
      <c r="H603" s="122">
        <v>22</v>
      </c>
      <c r="I603" s="124">
        <v>24</v>
      </c>
      <c r="J603" s="112" t="s">
        <v>929</v>
      </c>
      <c r="K603" s="125">
        <v>13.4</v>
      </c>
      <c r="L603" s="196"/>
      <c r="M603" s="110">
        <f t="shared" si="154"/>
        <v>22.4</v>
      </c>
      <c r="N603" s="111">
        <f t="shared" si="155"/>
        <v>60.18</v>
      </c>
      <c r="O603" s="112">
        <f t="shared" si="156"/>
        <v>11.666666666666666</v>
      </c>
      <c r="P603" s="113">
        <f t="shared" ca="1" si="157"/>
        <v>46452.073927999998</v>
      </c>
      <c r="Q603" s="114">
        <f t="shared" ca="1" si="158"/>
        <v>46467.073927999998</v>
      </c>
      <c r="R603" s="114" t="b">
        <f t="shared" ca="1" si="145"/>
        <v>0</v>
      </c>
      <c r="S603" s="115">
        <f t="shared" ca="1" si="146"/>
        <v>0</v>
      </c>
      <c r="T603" s="126">
        <f t="shared" ca="1" si="147"/>
        <v>46467.073927999998</v>
      </c>
      <c r="U603" s="127" t="str">
        <f t="shared" si="144"/>
        <v>S</v>
      </c>
      <c r="V603" s="128">
        <f t="shared" si="159"/>
        <v>60.18</v>
      </c>
      <c r="W603" s="129">
        <f t="shared" si="148"/>
        <v>60.18</v>
      </c>
      <c r="X603" s="197"/>
      <c r="Y603" s="115">
        <f t="shared" ca="1" si="149"/>
        <v>62</v>
      </c>
      <c r="Z603" s="118">
        <f t="shared" ca="1" si="150"/>
        <v>0.83013698630136989</v>
      </c>
      <c r="AA603" s="116"/>
      <c r="AB603" s="117">
        <f t="shared" si="151"/>
        <v>18.975572538973761</v>
      </c>
      <c r="AC603" s="118">
        <f t="shared" si="152"/>
        <v>0.87398218912390668</v>
      </c>
      <c r="AE603" s="55"/>
      <c r="AF603" s="72"/>
      <c r="AG603" s="72"/>
      <c r="AH603" s="66"/>
      <c r="AJ603" t="s">
        <v>362</v>
      </c>
    </row>
    <row r="604" spans="1:36" ht="16" hidden="1" thickBot="1" x14ac:dyDescent="0.25">
      <c r="A604" s="119" t="s">
        <v>590</v>
      </c>
      <c r="B604" s="120" t="s">
        <v>1374</v>
      </c>
      <c r="C604" s="108" t="str">
        <f t="shared" si="153"/>
        <v>/Applications/Stellarium.app/Contents/Resources/nebulae/default/ic2944.png</v>
      </c>
      <c r="D604" s="121" t="s">
        <v>2034</v>
      </c>
      <c r="E604" s="109"/>
      <c r="F604" s="122">
        <v>11</v>
      </c>
      <c r="G604" s="123">
        <v>43</v>
      </c>
      <c r="H604" s="122">
        <v>-65</v>
      </c>
      <c r="I604" s="124">
        <v>48</v>
      </c>
      <c r="J604" s="112" t="s">
        <v>1107</v>
      </c>
      <c r="K604" s="125">
        <v>13.8</v>
      </c>
      <c r="L604" s="196"/>
      <c r="M604" s="110">
        <f t="shared" si="154"/>
        <v>-64.2</v>
      </c>
      <c r="N604" s="111">
        <f t="shared" si="155"/>
        <v>-26.42</v>
      </c>
      <c r="O604" s="112">
        <f t="shared" si="156"/>
        <v>11.716666666666667</v>
      </c>
      <c r="P604" s="113">
        <f t="shared" ca="1" si="157"/>
        <v>46452.834847999999</v>
      </c>
      <c r="Q604" s="114">
        <f t="shared" ca="1" si="158"/>
        <v>46467.834847999999</v>
      </c>
      <c r="R604" s="114" t="b">
        <f t="shared" ca="1" si="145"/>
        <v>0</v>
      </c>
      <c r="S604" s="115">
        <f t="shared" ca="1" si="146"/>
        <v>0</v>
      </c>
      <c r="T604" s="126">
        <f t="shared" ca="1" si="147"/>
        <v>46467.834847999999</v>
      </c>
      <c r="U604" s="127" t="str">
        <f t="shared" si="144"/>
        <v>S</v>
      </c>
      <c r="V604" s="128">
        <f t="shared" si="159"/>
        <v>-26.42</v>
      </c>
      <c r="W604" s="129">
        <f t="shared" si="148"/>
        <v>-26.42</v>
      </c>
      <c r="X604" s="197"/>
      <c r="Y604" s="115">
        <f t="shared" ca="1" si="149"/>
        <v>61</v>
      </c>
      <c r="Z604" s="118">
        <f t="shared" ca="1" si="150"/>
        <v>0.83287671232876714</v>
      </c>
      <c r="AA604" s="116"/>
      <c r="AB604" s="117">
        <f t="shared" si="151"/>
        <v>19.025436017290261</v>
      </c>
      <c r="AC604" s="118">
        <f t="shared" si="152"/>
        <v>0.87605983405376087</v>
      </c>
      <c r="AE604" s="55"/>
      <c r="AF604" s="72"/>
      <c r="AG604" s="72"/>
      <c r="AH604" s="66"/>
      <c r="AJ604" t="s">
        <v>590</v>
      </c>
    </row>
    <row r="605" spans="1:36" ht="16" hidden="1" thickBot="1" x14ac:dyDescent="0.25">
      <c r="A605" s="119" t="s">
        <v>712</v>
      </c>
      <c r="B605" s="120" t="s">
        <v>1440</v>
      </c>
      <c r="C605" s="108" t="str">
        <f t="shared" si="153"/>
        <v>/Applications/Stellarium.app/Contents/Resources/nebulae/default/wilds.png</v>
      </c>
      <c r="D605" s="121" t="s">
        <v>2035</v>
      </c>
      <c r="E605" s="109"/>
      <c r="F605" s="122">
        <v>11</v>
      </c>
      <c r="G605" s="123">
        <v>46</v>
      </c>
      <c r="H605" s="122">
        <v>-4</v>
      </c>
      <c r="I605" s="124">
        <v>7</v>
      </c>
      <c r="J605" s="112" t="s">
        <v>1186</v>
      </c>
      <c r="K605" s="125">
        <v>14.5</v>
      </c>
      <c r="L605" s="196"/>
      <c r="M605" s="110">
        <f t="shared" si="154"/>
        <v>-3.8833333333333333</v>
      </c>
      <c r="N605" s="111">
        <f t="shared" si="155"/>
        <v>33.896666666666668</v>
      </c>
      <c r="O605" s="112">
        <f t="shared" si="156"/>
        <v>11.766666666666667</v>
      </c>
      <c r="P605" s="113">
        <f t="shared" ca="1" si="157"/>
        <v>46453.595767999999</v>
      </c>
      <c r="Q605" s="114">
        <f t="shared" ca="1" si="158"/>
        <v>46468.595767999999</v>
      </c>
      <c r="R605" s="114" t="b">
        <f t="shared" ca="1" si="145"/>
        <v>0</v>
      </c>
      <c r="S605" s="115">
        <f t="shared" ca="1" si="146"/>
        <v>0</v>
      </c>
      <c r="T605" s="126">
        <f t="shared" ca="1" si="147"/>
        <v>46468.595767999999</v>
      </c>
      <c r="U605" s="127" t="str">
        <f t="shared" si="144"/>
        <v>S</v>
      </c>
      <c r="V605" s="128">
        <f t="shared" si="159"/>
        <v>33.896666666666668</v>
      </c>
      <c r="W605" s="129">
        <f t="shared" si="148"/>
        <v>33.896666666666668</v>
      </c>
      <c r="X605" s="197"/>
      <c r="Y605" s="115">
        <f t="shared" ca="1" si="149"/>
        <v>60</v>
      </c>
      <c r="Z605" s="118">
        <f t="shared" ca="1" si="150"/>
        <v>0.83561643835616439</v>
      </c>
      <c r="AA605" s="116"/>
      <c r="AB605" s="117">
        <f t="shared" si="151"/>
        <v>19.07529949560675</v>
      </c>
      <c r="AC605" s="118">
        <f t="shared" si="152"/>
        <v>0.87813747898361461</v>
      </c>
      <c r="AE605" s="55"/>
      <c r="AF605" s="72"/>
      <c r="AG605" s="72"/>
      <c r="AH605" s="66"/>
      <c r="AJ605" t="s">
        <v>712</v>
      </c>
    </row>
    <row r="606" spans="1:36" ht="16" hidden="1" thickBot="1" x14ac:dyDescent="0.25">
      <c r="A606" s="119" t="s">
        <v>717</v>
      </c>
      <c r="B606" s="120" t="s">
        <v>1442</v>
      </c>
      <c r="C606" s="108" t="str">
        <f t="shared" si="153"/>
        <v>/Applications/Stellarium.app/Contents/Resources/nebulae/default/leo_cluster.png</v>
      </c>
      <c r="D606" s="121" t="s">
        <v>2036</v>
      </c>
      <c r="E606" s="109"/>
      <c r="F606" s="122">
        <v>11</v>
      </c>
      <c r="G606" s="123">
        <v>46</v>
      </c>
      <c r="H606" s="122">
        <v>19</v>
      </c>
      <c r="I606" s="124">
        <v>20</v>
      </c>
      <c r="J606" s="112" t="s">
        <v>1189</v>
      </c>
      <c r="K606" s="125">
        <v>13.8</v>
      </c>
      <c r="L606" s="196"/>
      <c r="M606" s="110">
        <f t="shared" si="154"/>
        <v>19.333333333333332</v>
      </c>
      <c r="N606" s="111">
        <f t="shared" si="155"/>
        <v>57.11333333333333</v>
      </c>
      <c r="O606" s="112">
        <f t="shared" si="156"/>
        <v>11.766666666666667</v>
      </c>
      <c r="P606" s="113">
        <f t="shared" ca="1" si="157"/>
        <v>46453.595767999999</v>
      </c>
      <c r="Q606" s="114">
        <f t="shared" ca="1" si="158"/>
        <v>46468.595767999999</v>
      </c>
      <c r="R606" s="114" t="b">
        <f t="shared" ca="1" si="145"/>
        <v>0</v>
      </c>
      <c r="S606" s="115">
        <f t="shared" ca="1" si="146"/>
        <v>0</v>
      </c>
      <c r="T606" s="126">
        <f t="shared" ca="1" si="147"/>
        <v>46468.595767999999</v>
      </c>
      <c r="U606" s="127" t="str">
        <f t="shared" si="144"/>
        <v>S</v>
      </c>
      <c r="V606" s="128">
        <f t="shared" si="159"/>
        <v>57.11333333333333</v>
      </c>
      <c r="W606" s="129">
        <f t="shared" si="148"/>
        <v>57.11333333333333</v>
      </c>
      <c r="X606" s="197"/>
      <c r="Y606" s="115">
        <f t="shared" ca="1" si="149"/>
        <v>60</v>
      </c>
      <c r="Z606" s="118">
        <f t="shared" ca="1" si="150"/>
        <v>0.83561643835616439</v>
      </c>
      <c r="AA606" s="116"/>
      <c r="AB606" s="117">
        <f t="shared" si="151"/>
        <v>19.07529949560675</v>
      </c>
      <c r="AC606" s="118">
        <f t="shared" si="152"/>
        <v>0.87813747898361461</v>
      </c>
      <c r="AE606" s="55"/>
      <c r="AF606" s="72"/>
      <c r="AG606" s="72"/>
      <c r="AH606" s="66"/>
      <c r="AJ606" t="s">
        <v>717</v>
      </c>
    </row>
    <row r="607" spans="1:36" ht="16" hidden="1" thickBot="1" x14ac:dyDescent="0.25">
      <c r="A607" s="119" t="s">
        <v>363</v>
      </c>
      <c r="B607" s="120" t="s">
        <v>1299</v>
      </c>
      <c r="C607" s="108" t="str">
        <f t="shared" si="153"/>
        <v>/Applications/Stellarium.app/Contents/Resources/nebulae/default/n3893.png</v>
      </c>
      <c r="D607" s="121" t="s">
        <v>2037</v>
      </c>
      <c r="E607" s="109"/>
      <c r="F607" s="122">
        <v>11</v>
      </c>
      <c r="G607" s="123">
        <v>49</v>
      </c>
      <c r="H607" s="122">
        <v>48</v>
      </c>
      <c r="I607" s="124">
        <v>39</v>
      </c>
      <c r="J607" s="112" t="s">
        <v>930</v>
      </c>
      <c r="K607" s="125">
        <v>13.1</v>
      </c>
      <c r="L607" s="196"/>
      <c r="M607" s="110">
        <f t="shared" si="154"/>
        <v>48.65</v>
      </c>
      <c r="N607" s="111">
        <f t="shared" si="155"/>
        <v>86.43</v>
      </c>
      <c r="O607" s="112">
        <f t="shared" si="156"/>
        <v>11.816666666666666</v>
      </c>
      <c r="P607" s="113">
        <f t="shared" ca="1" si="157"/>
        <v>46454.356688</v>
      </c>
      <c r="Q607" s="114">
        <f t="shared" ca="1" si="158"/>
        <v>46469.356688</v>
      </c>
      <c r="R607" s="114" t="b">
        <f t="shared" ca="1" si="145"/>
        <v>0</v>
      </c>
      <c r="S607" s="115">
        <f t="shared" ca="1" si="146"/>
        <v>0</v>
      </c>
      <c r="T607" s="126">
        <f t="shared" ca="1" si="147"/>
        <v>46469.356688</v>
      </c>
      <c r="U607" s="127" t="str">
        <f t="shared" si="144"/>
        <v>S</v>
      </c>
      <c r="V607" s="128">
        <f t="shared" si="159"/>
        <v>86.43</v>
      </c>
      <c r="W607" s="129">
        <f t="shared" si="148"/>
        <v>86.43</v>
      </c>
      <c r="X607" s="197"/>
      <c r="Y607" s="115">
        <f t="shared" ca="1" si="149"/>
        <v>60</v>
      </c>
      <c r="Z607" s="118">
        <f t="shared" ca="1" si="150"/>
        <v>0.83561643835616439</v>
      </c>
      <c r="AA607" s="116"/>
      <c r="AB607" s="117">
        <f t="shared" si="151"/>
        <v>19.125162973923246</v>
      </c>
      <c r="AC607" s="118">
        <f t="shared" si="152"/>
        <v>0.88021512391346857</v>
      </c>
      <c r="AE607" s="55"/>
      <c r="AF607" s="72"/>
      <c r="AG607" s="72"/>
      <c r="AH607" s="66"/>
      <c r="AJ607" t="s">
        <v>363</v>
      </c>
    </row>
    <row r="608" spans="1:36" ht="16" hidden="1" thickBot="1" x14ac:dyDescent="0.25">
      <c r="A608" s="119" t="s">
        <v>364</v>
      </c>
      <c r="B608" s="120" t="s">
        <v>1277</v>
      </c>
      <c r="C608" s="108" t="str">
        <f t="shared" si="153"/>
        <v>/Applications/Stellarium.app/Contents/Resources/nebulae/default/n3918.png</v>
      </c>
      <c r="D608" s="121" t="s">
        <v>2038</v>
      </c>
      <c r="E608" s="109"/>
      <c r="F608" s="122">
        <v>11</v>
      </c>
      <c r="G608" s="123">
        <v>50</v>
      </c>
      <c r="H608" s="122">
        <v>-58</v>
      </c>
      <c r="I608" s="124">
        <v>48</v>
      </c>
      <c r="J608" s="112" t="s">
        <v>931</v>
      </c>
      <c r="K608" s="125">
        <v>8.5</v>
      </c>
      <c r="L608" s="196"/>
      <c r="M608" s="110">
        <f t="shared" si="154"/>
        <v>-57.2</v>
      </c>
      <c r="N608" s="111">
        <f t="shared" si="155"/>
        <v>-19.420000000000002</v>
      </c>
      <c r="O608" s="112">
        <f t="shared" si="156"/>
        <v>11.833333333333334</v>
      </c>
      <c r="P608" s="113">
        <f t="shared" ca="1" si="157"/>
        <v>46454.610328000002</v>
      </c>
      <c r="Q608" s="114">
        <f t="shared" ca="1" si="158"/>
        <v>46469.610328000002</v>
      </c>
      <c r="R608" s="114" t="b">
        <f t="shared" ca="1" si="145"/>
        <v>0</v>
      </c>
      <c r="S608" s="115">
        <f t="shared" ca="1" si="146"/>
        <v>0</v>
      </c>
      <c r="T608" s="126">
        <f t="shared" ca="1" si="147"/>
        <v>46469.610328000002</v>
      </c>
      <c r="U608" s="127" t="str">
        <f t="shared" si="144"/>
        <v>S</v>
      </c>
      <c r="V608" s="128">
        <f t="shared" si="159"/>
        <v>-19.420000000000002</v>
      </c>
      <c r="W608" s="129">
        <f t="shared" si="148"/>
        <v>-19.420000000000002</v>
      </c>
      <c r="X608" s="197"/>
      <c r="Y608" s="115">
        <f t="shared" ca="1" si="149"/>
        <v>59</v>
      </c>
      <c r="Z608" s="118">
        <f t="shared" ca="1" si="150"/>
        <v>0.83835616438356164</v>
      </c>
      <c r="AA608" s="116"/>
      <c r="AB608" s="117">
        <f t="shared" si="151"/>
        <v>19.14178413336208</v>
      </c>
      <c r="AC608" s="118">
        <f t="shared" si="152"/>
        <v>0.88090767222342004</v>
      </c>
      <c r="AE608" s="55"/>
      <c r="AF608" s="72"/>
      <c r="AG608" s="72"/>
      <c r="AH608" s="66"/>
      <c r="AJ608" t="s">
        <v>364</v>
      </c>
    </row>
    <row r="609" spans="1:36" ht="16" hidden="1" thickBot="1" x14ac:dyDescent="0.25">
      <c r="A609" s="119" t="s">
        <v>365</v>
      </c>
      <c r="B609" s="120" t="s">
        <v>1230</v>
      </c>
      <c r="C609" s="108" t="str">
        <f t="shared" si="153"/>
        <v>/Applications/Stellarium.app/Contents/Resources/nebulae/default/n3923-dss.png</v>
      </c>
      <c r="D609" s="121" t="s">
        <v>2039</v>
      </c>
      <c r="E609" s="109"/>
      <c r="F609" s="122">
        <v>11</v>
      </c>
      <c r="G609" s="123">
        <v>51</v>
      </c>
      <c r="H609" s="122">
        <v>-29</v>
      </c>
      <c r="I609" s="124">
        <v>4</v>
      </c>
      <c r="J609" s="112" t="s">
        <v>932</v>
      </c>
      <c r="K609" s="125">
        <v>14.1</v>
      </c>
      <c r="L609" s="196"/>
      <c r="M609" s="110">
        <f t="shared" si="154"/>
        <v>-28.933333333333334</v>
      </c>
      <c r="N609" s="111">
        <f t="shared" si="155"/>
        <v>8.8466666666666676</v>
      </c>
      <c r="O609" s="112">
        <f t="shared" si="156"/>
        <v>11.85</v>
      </c>
      <c r="P609" s="113">
        <f t="shared" ca="1" si="157"/>
        <v>46454.863967999998</v>
      </c>
      <c r="Q609" s="114">
        <f t="shared" ca="1" si="158"/>
        <v>46469.863967999998</v>
      </c>
      <c r="R609" s="114" t="b">
        <f t="shared" ca="1" si="145"/>
        <v>0</v>
      </c>
      <c r="S609" s="115">
        <f t="shared" ca="1" si="146"/>
        <v>0</v>
      </c>
      <c r="T609" s="126">
        <f t="shared" ca="1" si="147"/>
        <v>46469.863967999998</v>
      </c>
      <c r="U609" s="127" t="str">
        <f t="shared" si="144"/>
        <v>S</v>
      </c>
      <c r="V609" s="128">
        <f t="shared" si="159"/>
        <v>8.8466666666666676</v>
      </c>
      <c r="W609" s="129">
        <f t="shared" si="148"/>
        <v>8.8466666666666676</v>
      </c>
      <c r="X609" s="197"/>
      <c r="Y609" s="115">
        <f t="shared" ca="1" si="149"/>
        <v>59</v>
      </c>
      <c r="Z609" s="118">
        <f t="shared" ca="1" si="150"/>
        <v>0.83835616438356164</v>
      </c>
      <c r="AA609" s="116"/>
      <c r="AB609" s="117">
        <f t="shared" si="151"/>
        <v>19.158405292800907</v>
      </c>
      <c r="AC609" s="118">
        <f t="shared" si="152"/>
        <v>0.88160022053337117</v>
      </c>
      <c r="AE609" s="55"/>
      <c r="AF609" s="72"/>
      <c r="AG609" s="72"/>
      <c r="AH609" s="66"/>
      <c r="AJ609" t="s">
        <v>365</v>
      </c>
    </row>
    <row r="610" spans="1:36" ht="16" hidden="1" thickBot="1" x14ac:dyDescent="0.25">
      <c r="A610" s="119" t="s">
        <v>366</v>
      </c>
      <c r="B610" s="120" t="s">
        <v>1269</v>
      </c>
      <c r="C610" s="108" t="str">
        <f t="shared" si="153"/>
        <v>/Applications/Stellarium.app/Contents/Resources/nebulae/default/n3938-vasey.png</v>
      </c>
      <c r="D610" s="121" t="s">
        <v>2040</v>
      </c>
      <c r="E610" s="109"/>
      <c r="F610" s="122">
        <v>11</v>
      </c>
      <c r="G610" s="123">
        <v>53</v>
      </c>
      <c r="H610" s="122">
        <v>44</v>
      </c>
      <c r="I610" s="124">
        <v>7</v>
      </c>
      <c r="J610" s="112" t="s">
        <v>933</v>
      </c>
      <c r="K610" s="125">
        <v>12.7</v>
      </c>
      <c r="L610" s="196"/>
      <c r="M610" s="110">
        <f t="shared" si="154"/>
        <v>44.116666666666667</v>
      </c>
      <c r="N610" s="111">
        <f t="shared" si="155"/>
        <v>81.896666666666675</v>
      </c>
      <c r="O610" s="112">
        <f t="shared" si="156"/>
        <v>11.883333333333333</v>
      </c>
      <c r="P610" s="113">
        <f t="shared" ca="1" si="157"/>
        <v>46455.371248000003</v>
      </c>
      <c r="Q610" s="114">
        <f t="shared" ca="1" si="158"/>
        <v>46470.371248000003</v>
      </c>
      <c r="R610" s="114" t="b">
        <f t="shared" ca="1" si="145"/>
        <v>0</v>
      </c>
      <c r="S610" s="115">
        <f t="shared" ca="1" si="146"/>
        <v>0</v>
      </c>
      <c r="T610" s="126">
        <f t="shared" ca="1" si="147"/>
        <v>46470.371248000003</v>
      </c>
      <c r="U610" s="127" t="str">
        <f t="shared" si="144"/>
        <v>S</v>
      </c>
      <c r="V610" s="128">
        <f t="shared" si="159"/>
        <v>81.896666666666675</v>
      </c>
      <c r="W610" s="129">
        <f t="shared" si="148"/>
        <v>81.896666666666675</v>
      </c>
      <c r="X610" s="197"/>
      <c r="Y610" s="115">
        <f t="shared" ca="1" si="149"/>
        <v>59</v>
      </c>
      <c r="Z610" s="118">
        <f t="shared" ca="1" si="150"/>
        <v>0.83835616438356164</v>
      </c>
      <c r="AA610" s="116"/>
      <c r="AB610" s="117">
        <f t="shared" si="151"/>
        <v>19.191647611678569</v>
      </c>
      <c r="AC610" s="118">
        <f t="shared" si="152"/>
        <v>0.88298531715327366</v>
      </c>
      <c r="AE610" s="55"/>
      <c r="AF610" s="72"/>
      <c r="AG610" s="72"/>
      <c r="AH610" s="66"/>
      <c r="AJ610" t="s">
        <v>366</v>
      </c>
    </row>
    <row r="611" spans="1:36" ht="16" hidden="1" thickBot="1" x14ac:dyDescent="0.25">
      <c r="A611" s="119" t="s">
        <v>367</v>
      </c>
      <c r="B611" s="120" t="s">
        <v>1269</v>
      </c>
      <c r="C611" s="108" t="str">
        <f t="shared" si="153"/>
        <v>/Applications/Stellarium.app/Contents/Resources/nebulae/default/n3953.png</v>
      </c>
      <c r="D611" s="121" t="s">
        <v>2041</v>
      </c>
      <c r="E611" s="109"/>
      <c r="F611" s="122">
        <v>11</v>
      </c>
      <c r="G611" s="123">
        <v>54</v>
      </c>
      <c r="H611" s="122">
        <v>52</v>
      </c>
      <c r="I611" s="124">
        <v>14</v>
      </c>
      <c r="J611" s="112" t="s">
        <v>934</v>
      </c>
      <c r="K611" s="125">
        <v>13.9</v>
      </c>
      <c r="L611" s="196"/>
      <c r="M611" s="110">
        <f t="shared" si="154"/>
        <v>52.233333333333334</v>
      </c>
      <c r="N611" s="111">
        <f t="shared" si="155"/>
        <v>90.013333333333335</v>
      </c>
      <c r="O611" s="112">
        <f t="shared" si="156"/>
        <v>11.9</v>
      </c>
      <c r="P611" s="113">
        <f t="shared" ca="1" si="157"/>
        <v>46455.624887999998</v>
      </c>
      <c r="Q611" s="114">
        <f t="shared" ca="1" si="158"/>
        <v>46470.624887999998</v>
      </c>
      <c r="R611" s="114" t="b">
        <f t="shared" ca="1" si="145"/>
        <v>0</v>
      </c>
      <c r="S611" s="115">
        <f t="shared" ca="1" si="146"/>
        <v>0</v>
      </c>
      <c r="T611" s="126">
        <f t="shared" ca="1" si="147"/>
        <v>46470.624887999998</v>
      </c>
      <c r="U611" s="127" t="str">
        <f t="shared" si="144"/>
        <v>N</v>
      </c>
      <c r="V611" s="128">
        <f t="shared" si="159"/>
        <v>89.986666666666665</v>
      </c>
      <c r="W611" s="129">
        <f t="shared" si="148"/>
        <v>89.986666666666665</v>
      </c>
      <c r="X611" s="197"/>
      <c r="Y611" s="115">
        <f t="shared" ca="1" si="149"/>
        <v>58</v>
      </c>
      <c r="Z611" s="118">
        <f t="shared" ca="1" si="150"/>
        <v>0.84109589041095889</v>
      </c>
      <c r="AA611" s="116"/>
      <c r="AB611" s="117">
        <f t="shared" si="151"/>
        <v>19.2082687711174</v>
      </c>
      <c r="AC611" s="118">
        <f t="shared" si="152"/>
        <v>0.88367786546322502</v>
      </c>
      <c r="AE611" s="55"/>
      <c r="AF611" s="72"/>
      <c r="AG611" s="72"/>
      <c r="AH611" s="66"/>
      <c r="AJ611" t="s">
        <v>367</v>
      </c>
    </row>
    <row r="612" spans="1:36" ht="16" hidden="1" thickBot="1" x14ac:dyDescent="0.25">
      <c r="A612" s="119" t="s">
        <v>196</v>
      </c>
      <c r="B612" s="120" t="s">
        <v>1264</v>
      </c>
      <c r="C612" s="108" t="str">
        <f t="shared" si="153"/>
        <v>/Applications/Stellarium.app/Contents/Resources/nebulae/default/m109.png</v>
      </c>
      <c r="D612" s="121" t="s">
        <v>2042</v>
      </c>
      <c r="E612" s="109"/>
      <c r="F612" s="122">
        <v>11</v>
      </c>
      <c r="G612" s="123">
        <v>58</v>
      </c>
      <c r="H612" s="122">
        <v>53</v>
      </c>
      <c r="I612" s="124">
        <v>17</v>
      </c>
      <c r="J612" s="112" t="s">
        <v>786</v>
      </c>
      <c r="K612" s="125">
        <v>13.4</v>
      </c>
      <c r="L612" s="196"/>
      <c r="M612" s="110">
        <f t="shared" si="154"/>
        <v>53.283333333333331</v>
      </c>
      <c r="N612" s="111">
        <f t="shared" si="155"/>
        <v>91.063333333333333</v>
      </c>
      <c r="O612" s="112">
        <f t="shared" si="156"/>
        <v>11.966666666666667</v>
      </c>
      <c r="P612" s="113">
        <f t="shared" ca="1" si="157"/>
        <v>46456.639448000002</v>
      </c>
      <c r="Q612" s="114">
        <f t="shared" ca="1" si="158"/>
        <v>46471.639448000002</v>
      </c>
      <c r="R612" s="114" t="b">
        <f t="shared" ca="1" si="145"/>
        <v>0</v>
      </c>
      <c r="S612" s="115">
        <f t="shared" ca="1" si="146"/>
        <v>0</v>
      </c>
      <c r="T612" s="126">
        <f t="shared" ca="1" si="147"/>
        <v>46471.639448000002</v>
      </c>
      <c r="U612" s="127" t="str">
        <f t="shared" si="144"/>
        <v>N</v>
      </c>
      <c r="V612" s="128">
        <f t="shared" si="159"/>
        <v>88.936666666666667</v>
      </c>
      <c r="W612" s="129">
        <f t="shared" si="148"/>
        <v>88.936666666666667</v>
      </c>
      <c r="X612" s="197"/>
      <c r="Y612" s="115">
        <f t="shared" ca="1" si="149"/>
        <v>57</v>
      </c>
      <c r="Z612" s="118">
        <f t="shared" ca="1" si="150"/>
        <v>0.84383561643835614</v>
      </c>
      <c r="AA612" s="116"/>
      <c r="AB612" s="117">
        <f t="shared" si="151"/>
        <v>19.274753408872726</v>
      </c>
      <c r="AC612" s="118">
        <f t="shared" si="152"/>
        <v>0.88644805870303023</v>
      </c>
      <c r="AE612" s="55"/>
      <c r="AF612" s="72"/>
      <c r="AG612" s="72"/>
      <c r="AH612" s="66"/>
      <c r="AJ612" t="s">
        <v>196</v>
      </c>
    </row>
    <row r="613" spans="1:36" ht="16" hidden="1" thickBot="1" x14ac:dyDescent="0.25">
      <c r="A613" s="119" t="s">
        <v>368</v>
      </c>
      <c r="B613" s="120" t="s">
        <v>1300</v>
      </c>
      <c r="C613" s="108" t="str">
        <f t="shared" si="153"/>
        <v>/Applications/Stellarium.app/Contents/Resources/nebulae/default/n4038-9.png</v>
      </c>
      <c r="D613" s="121" t="s">
        <v>2043</v>
      </c>
      <c r="E613" s="109"/>
      <c r="F613" s="122">
        <v>12</v>
      </c>
      <c r="G613" s="123">
        <v>2</v>
      </c>
      <c r="H613" s="122">
        <v>-20</v>
      </c>
      <c r="I613" s="124">
        <v>53</v>
      </c>
      <c r="J613" s="112" t="s">
        <v>935</v>
      </c>
      <c r="K613" s="125">
        <v>12.8</v>
      </c>
      <c r="L613" s="196"/>
      <c r="M613" s="110">
        <f t="shared" si="154"/>
        <v>-19.116666666666667</v>
      </c>
      <c r="N613" s="111">
        <f t="shared" si="155"/>
        <v>18.663333333333334</v>
      </c>
      <c r="O613" s="112">
        <f t="shared" si="156"/>
        <v>12.033333333333333</v>
      </c>
      <c r="P613" s="113">
        <f t="shared" ca="1" si="157"/>
        <v>46457.654007999998</v>
      </c>
      <c r="Q613" s="114">
        <f t="shared" ca="1" si="158"/>
        <v>46472.654007999998</v>
      </c>
      <c r="R613" s="114" t="b">
        <f t="shared" ca="1" si="145"/>
        <v>0</v>
      </c>
      <c r="S613" s="115">
        <f t="shared" ca="1" si="146"/>
        <v>0</v>
      </c>
      <c r="T613" s="126">
        <f t="shared" ca="1" si="147"/>
        <v>46472.654007999998</v>
      </c>
      <c r="U613" s="127" t="str">
        <f t="shared" si="144"/>
        <v>S</v>
      </c>
      <c r="V613" s="128">
        <f t="shared" si="159"/>
        <v>18.663333333333334</v>
      </c>
      <c r="W613" s="129">
        <f t="shared" si="148"/>
        <v>18.663333333333334</v>
      </c>
      <c r="X613" s="197"/>
      <c r="Y613" s="115">
        <f t="shared" ca="1" si="149"/>
        <v>56</v>
      </c>
      <c r="Z613" s="118">
        <f t="shared" ca="1" si="150"/>
        <v>0.84657534246575339</v>
      </c>
      <c r="AA613" s="116"/>
      <c r="AB613" s="117">
        <f t="shared" si="151"/>
        <v>19.34123804662805</v>
      </c>
      <c r="AC613" s="118">
        <f t="shared" si="152"/>
        <v>0.88921825194283544</v>
      </c>
      <c r="AE613" s="55"/>
      <c r="AF613" s="72"/>
      <c r="AG613" s="72"/>
      <c r="AH613" s="66"/>
      <c r="AJ613" t="s">
        <v>368</v>
      </c>
    </row>
    <row r="614" spans="1:36" ht="16" hidden="1" thickBot="1" x14ac:dyDescent="0.25">
      <c r="A614" s="119" t="s">
        <v>369</v>
      </c>
      <c r="B614" s="120" t="s">
        <v>1230</v>
      </c>
      <c r="C614" s="108" t="str">
        <f t="shared" si="153"/>
        <v>/Applications/Stellarium.app/Contents/Resources/nebulae/default/n4096.png</v>
      </c>
      <c r="D614" s="121" t="s">
        <v>2044</v>
      </c>
      <c r="E614" s="109"/>
      <c r="F614" s="122">
        <v>12</v>
      </c>
      <c r="G614" s="123">
        <v>6</v>
      </c>
      <c r="H614" s="122">
        <v>47</v>
      </c>
      <c r="I614" s="124">
        <v>23</v>
      </c>
      <c r="J614" s="112" t="s">
        <v>936</v>
      </c>
      <c r="K614" s="125">
        <v>13.9</v>
      </c>
      <c r="L614" s="196"/>
      <c r="M614" s="110">
        <f t="shared" si="154"/>
        <v>47.383333333333333</v>
      </c>
      <c r="N614" s="111">
        <f t="shared" si="155"/>
        <v>85.163333333333327</v>
      </c>
      <c r="O614" s="112">
        <f t="shared" si="156"/>
        <v>12.1</v>
      </c>
      <c r="P614" s="113">
        <f t="shared" ca="1" si="157"/>
        <v>46458.668568000001</v>
      </c>
      <c r="Q614" s="114">
        <f t="shared" ca="1" si="158"/>
        <v>46473.668568000001</v>
      </c>
      <c r="R614" s="114" t="b">
        <f t="shared" ca="1" si="145"/>
        <v>0</v>
      </c>
      <c r="S614" s="115">
        <f t="shared" ca="1" si="146"/>
        <v>0</v>
      </c>
      <c r="T614" s="126">
        <f t="shared" ca="1" si="147"/>
        <v>46473.668568000001</v>
      </c>
      <c r="U614" s="127" t="str">
        <f t="shared" si="144"/>
        <v>S</v>
      </c>
      <c r="V614" s="128">
        <f t="shared" si="159"/>
        <v>85.163333333333327</v>
      </c>
      <c r="W614" s="129">
        <f t="shared" si="148"/>
        <v>85.163333333333327</v>
      </c>
      <c r="X614" s="197"/>
      <c r="Y614" s="115">
        <f t="shared" ca="1" si="149"/>
        <v>55</v>
      </c>
      <c r="Z614" s="118">
        <f t="shared" ca="1" si="150"/>
        <v>0.84931506849315075</v>
      </c>
      <c r="AA614" s="116"/>
      <c r="AB614" s="117">
        <f t="shared" si="151"/>
        <v>19.407722684383376</v>
      </c>
      <c r="AC614" s="118">
        <f t="shared" si="152"/>
        <v>0.89198844518264064</v>
      </c>
      <c r="AE614" s="55"/>
      <c r="AF614" s="72"/>
      <c r="AG614" s="72"/>
      <c r="AH614" s="66"/>
      <c r="AJ614" t="s">
        <v>369</v>
      </c>
    </row>
    <row r="615" spans="1:36" ht="16" hidden="1" thickBot="1" x14ac:dyDescent="0.25">
      <c r="A615" s="119" t="s">
        <v>370</v>
      </c>
      <c r="B615" s="120" t="s">
        <v>1191</v>
      </c>
      <c r="C615" s="108" t="str">
        <f t="shared" si="153"/>
        <v>/Applications/Stellarium.app/Contents/Resources/nebulae/default/n4147.png</v>
      </c>
      <c r="D615" s="121" t="s">
        <v>2045</v>
      </c>
      <c r="E615" s="109"/>
      <c r="F615" s="122">
        <v>12</v>
      </c>
      <c r="G615" s="123">
        <v>10</v>
      </c>
      <c r="H615" s="122">
        <v>18</v>
      </c>
      <c r="I615" s="124">
        <v>29</v>
      </c>
      <c r="J615" s="112" t="s">
        <v>937</v>
      </c>
      <c r="K615" s="125">
        <v>13.9</v>
      </c>
      <c r="L615" s="196"/>
      <c r="M615" s="110">
        <f t="shared" si="154"/>
        <v>18.483333333333334</v>
      </c>
      <c r="N615" s="111">
        <f t="shared" si="155"/>
        <v>56.263333333333335</v>
      </c>
      <c r="O615" s="112">
        <f t="shared" si="156"/>
        <v>12.166666666666666</v>
      </c>
      <c r="P615" s="113">
        <f t="shared" ca="1" si="157"/>
        <v>46459.683127999997</v>
      </c>
      <c r="Q615" s="114">
        <f t="shared" ca="1" si="158"/>
        <v>46474.683127999997</v>
      </c>
      <c r="R615" s="114" t="b">
        <f t="shared" ca="1" si="145"/>
        <v>1</v>
      </c>
      <c r="S615" s="115">
        <f t="shared" ca="1" si="146"/>
        <v>15</v>
      </c>
      <c r="T615" s="126">
        <f t="shared" ca="1" si="147"/>
        <v>46489.683127999997</v>
      </c>
      <c r="U615" s="127" t="str">
        <f t="shared" si="144"/>
        <v>S</v>
      </c>
      <c r="V615" s="128">
        <f t="shared" si="159"/>
        <v>56.263333333333335</v>
      </c>
      <c r="W615" s="129">
        <f t="shared" si="148"/>
        <v>56.263333333333335</v>
      </c>
      <c r="X615" s="197"/>
      <c r="Y615" s="115">
        <f t="shared" ca="1" si="149"/>
        <v>54</v>
      </c>
      <c r="Z615" s="118">
        <f t="shared" ca="1" si="150"/>
        <v>0.85205479452054789</v>
      </c>
      <c r="AA615" s="116"/>
      <c r="AB615" s="117">
        <f t="shared" si="151"/>
        <v>19.4742073221387</v>
      </c>
      <c r="AC615" s="118">
        <f t="shared" si="152"/>
        <v>0.89475863842244585</v>
      </c>
      <c r="AE615" s="55"/>
      <c r="AF615" s="72"/>
      <c r="AG615" s="72"/>
      <c r="AH615" s="66"/>
      <c r="AJ615" t="s">
        <v>370</v>
      </c>
    </row>
    <row r="616" spans="1:36" ht="16" hidden="1" thickBot="1" x14ac:dyDescent="0.25">
      <c r="A616" s="119" t="s">
        <v>371</v>
      </c>
      <c r="B616" s="120" t="s">
        <v>1272</v>
      </c>
      <c r="C616" s="108" t="str">
        <f t="shared" si="153"/>
        <v>/Applications/Stellarium.app/Contents/Resources/nebulae/default/n4151-vasey.png</v>
      </c>
      <c r="D616" s="121" t="s">
        <v>2046</v>
      </c>
      <c r="E616" s="109"/>
      <c r="F616" s="122">
        <v>12</v>
      </c>
      <c r="G616" s="123">
        <v>11</v>
      </c>
      <c r="H616" s="122">
        <v>39</v>
      </c>
      <c r="I616" s="124">
        <v>13</v>
      </c>
      <c r="J616" s="112" t="s">
        <v>938</v>
      </c>
      <c r="K616" s="125">
        <v>13.4</v>
      </c>
      <c r="L616" s="196"/>
      <c r="M616" s="110">
        <f t="shared" si="154"/>
        <v>39.216666666666669</v>
      </c>
      <c r="N616" s="111">
        <f t="shared" si="155"/>
        <v>76.99666666666667</v>
      </c>
      <c r="O616" s="112">
        <f t="shared" si="156"/>
        <v>12.183333333333334</v>
      </c>
      <c r="P616" s="113">
        <f t="shared" ca="1" si="157"/>
        <v>46459.936768</v>
      </c>
      <c r="Q616" s="114">
        <f t="shared" ca="1" si="158"/>
        <v>46474.936768</v>
      </c>
      <c r="R616" s="114" t="b">
        <f t="shared" ca="1" si="145"/>
        <v>1</v>
      </c>
      <c r="S616" s="115">
        <f t="shared" ca="1" si="146"/>
        <v>15</v>
      </c>
      <c r="T616" s="126">
        <f t="shared" ca="1" si="147"/>
        <v>46489.936768</v>
      </c>
      <c r="U616" s="127" t="str">
        <f t="shared" si="144"/>
        <v>S</v>
      </c>
      <c r="V616" s="128">
        <f t="shared" si="159"/>
        <v>76.99666666666667</v>
      </c>
      <c r="W616" s="129">
        <f t="shared" si="148"/>
        <v>76.99666666666667</v>
      </c>
      <c r="X616" s="197"/>
      <c r="Y616" s="115">
        <f t="shared" ca="1" si="149"/>
        <v>54</v>
      </c>
      <c r="Z616" s="118">
        <f t="shared" ca="1" si="150"/>
        <v>0.85205479452054789</v>
      </c>
      <c r="AA616" s="116"/>
      <c r="AB616" s="117">
        <f t="shared" si="151"/>
        <v>19.490828481577534</v>
      </c>
      <c r="AC616" s="118">
        <f t="shared" si="152"/>
        <v>0.89545118673239721</v>
      </c>
      <c r="AE616" s="55"/>
      <c r="AF616" s="72"/>
      <c r="AG616" s="72"/>
      <c r="AH616" s="66"/>
      <c r="AJ616" t="s">
        <v>371</v>
      </c>
    </row>
    <row r="617" spans="1:36" ht="16" hidden="1" thickBot="1" x14ac:dyDescent="0.25">
      <c r="A617" s="119" t="s">
        <v>372</v>
      </c>
      <c r="B617" s="120" t="s">
        <v>1230</v>
      </c>
      <c r="C617" s="108" t="str">
        <f t="shared" si="153"/>
        <v>/Applications/Stellarium.app/Contents/Resources/nebulae/default/n4157.png</v>
      </c>
      <c r="D617" s="121" t="s">
        <v>2047</v>
      </c>
      <c r="E617" s="109"/>
      <c r="F617" s="122">
        <v>12</v>
      </c>
      <c r="G617" s="123">
        <v>11</v>
      </c>
      <c r="H617" s="122">
        <v>50</v>
      </c>
      <c r="I617" s="124">
        <v>23</v>
      </c>
      <c r="J617" s="112" t="s">
        <v>939</v>
      </c>
      <c r="K617" s="125">
        <v>13.6</v>
      </c>
      <c r="L617" s="196"/>
      <c r="M617" s="110">
        <f t="shared" si="154"/>
        <v>50.383333333333333</v>
      </c>
      <c r="N617" s="111">
        <f t="shared" si="155"/>
        <v>88.163333333333327</v>
      </c>
      <c r="O617" s="112">
        <f t="shared" si="156"/>
        <v>12.183333333333334</v>
      </c>
      <c r="P617" s="113">
        <f t="shared" ca="1" si="157"/>
        <v>46459.936768</v>
      </c>
      <c r="Q617" s="114">
        <f t="shared" ca="1" si="158"/>
        <v>46474.936768</v>
      </c>
      <c r="R617" s="114" t="b">
        <f t="shared" ca="1" si="145"/>
        <v>1</v>
      </c>
      <c r="S617" s="115">
        <f t="shared" ca="1" si="146"/>
        <v>15</v>
      </c>
      <c r="T617" s="126">
        <f t="shared" ca="1" si="147"/>
        <v>46489.936768</v>
      </c>
      <c r="U617" s="127" t="str">
        <f t="shared" si="144"/>
        <v>S</v>
      </c>
      <c r="V617" s="128">
        <f t="shared" si="159"/>
        <v>88.163333333333327</v>
      </c>
      <c r="W617" s="129">
        <f t="shared" si="148"/>
        <v>88.163333333333327</v>
      </c>
      <c r="X617" s="197"/>
      <c r="Y617" s="115">
        <f t="shared" ca="1" si="149"/>
        <v>54</v>
      </c>
      <c r="Z617" s="118">
        <f t="shared" ca="1" si="150"/>
        <v>0.85205479452054789</v>
      </c>
      <c r="AA617" s="116"/>
      <c r="AB617" s="117">
        <f t="shared" si="151"/>
        <v>19.490828481577534</v>
      </c>
      <c r="AC617" s="118">
        <f t="shared" si="152"/>
        <v>0.89545118673239721</v>
      </c>
      <c r="AE617" s="55"/>
      <c r="AF617" s="72"/>
      <c r="AG617" s="72"/>
      <c r="AH617" s="66"/>
      <c r="AJ617" t="s">
        <v>372</v>
      </c>
    </row>
    <row r="618" spans="1:36" ht="16" hidden="1" thickBot="1" x14ac:dyDescent="0.25">
      <c r="A618" s="119" t="s">
        <v>373</v>
      </c>
      <c r="B618" s="120" t="s">
        <v>1301</v>
      </c>
      <c r="C618" s="108" t="str">
        <f t="shared" si="153"/>
        <v>/Applications/Stellarium.app/Contents/Resources/nebulae/default/n4170.png</v>
      </c>
      <c r="D618" s="121" t="s">
        <v>2048</v>
      </c>
      <c r="E618" s="109"/>
      <c r="F618" s="122">
        <v>12</v>
      </c>
      <c r="G618" s="123">
        <v>12</v>
      </c>
      <c r="H618" s="122">
        <v>29</v>
      </c>
      <c r="I618" s="124">
        <v>7</v>
      </c>
      <c r="J618" s="112" t="s">
        <v>940</v>
      </c>
      <c r="K618" s="125">
        <v>13.6</v>
      </c>
      <c r="L618" s="196"/>
      <c r="M618" s="110">
        <f t="shared" si="154"/>
        <v>29.116666666666667</v>
      </c>
      <c r="N618" s="111">
        <f t="shared" si="155"/>
        <v>66.896666666666675</v>
      </c>
      <c r="O618" s="112">
        <f t="shared" si="156"/>
        <v>12.2</v>
      </c>
      <c r="P618" s="113">
        <f t="shared" ca="1" si="157"/>
        <v>46460.190408000002</v>
      </c>
      <c r="Q618" s="114">
        <f t="shared" ca="1" si="158"/>
        <v>46475.190408000002</v>
      </c>
      <c r="R618" s="114" t="b">
        <f t="shared" ca="1" si="145"/>
        <v>1</v>
      </c>
      <c r="S618" s="115">
        <f t="shared" ca="1" si="146"/>
        <v>15</v>
      </c>
      <c r="T618" s="126">
        <f t="shared" ca="1" si="147"/>
        <v>46490.190408000002</v>
      </c>
      <c r="U618" s="127" t="str">
        <f t="shared" si="144"/>
        <v>S</v>
      </c>
      <c r="V618" s="128">
        <f t="shared" si="159"/>
        <v>66.896666666666675</v>
      </c>
      <c r="W618" s="129">
        <f t="shared" si="148"/>
        <v>66.896666666666675</v>
      </c>
      <c r="X618" s="197"/>
      <c r="Y618" s="115">
        <f t="shared" ca="1" si="149"/>
        <v>54</v>
      </c>
      <c r="Z618" s="118">
        <f t="shared" ca="1" si="150"/>
        <v>0.85205479452054789</v>
      </c>
      <c r="AA618" s="116"/>
      <c r="AB618" s="117">
        <f t="shared" si="151"/>
        <v>19.507449641016361</v>
      </c>
      <c r="AC618" s="118">
        <f t="shared" si="152"/>
        <v>0.89614373504234834</v>
      </c>
      <c r="AE618" s="55"/>
      <c r="AF618" s="72"/>
      <c r="AG618" s="72"/>
      <c r="AH618" s="66"/>
      <c r="AJ618" t="s">
        <v>373</v>
      </c>
    </row>
    <row r="619" spans="1:36" ht="16" hidden="1" thickBot="1" x14ac:dyDescent="0.25">
      <c r="A619" s="119" t="s">
        <v>185</v>
      </c>
      <c r="B619" s="120" t="s">
        <v>1254</v>
      </c>
      <c r="C619" s="108" t="str">
        <f t="shared" si="153"/>
        <v>/Applications/Stellarium.app/Contents/Resources/nebulae/default/m98.png</v>
      </c>
      <c r="D619" s="121" t="s">
        <v>2049</v>
      </c>
      <c r="E619" s="109"/>
      <c r="F619" s="122">
        <v>12</v>
      </c>
      <c r="G619" s="123">
        <v>13</v>
      </c>
      <c r="H619" s="122">
        <v>15</v>
      </c>
      <c r="I619" s="124">
        <v>5</v>
      </c>
      <c r="J619" s="112" t="s">
        <v>778</v>
      </c>
      <c r="K619" s="125">
        <v>13.5</v>
      </c>
      <c r="L619" s="196"/>
      <c r="M619" s="110">
        <f t="shared" si="154"/>
        <v>15.083333333333334</v>
      </c>
      <c r="N619" s="111">
        <f t="shared" si="155"/>
        <v>52.863333333333337</v>
      </c>
      <c r="O619" s="112">
        <f t="shared" si="156"/>
        <v>12.216666666666667</v>
      </c>
      <c r="P619" s="113">
        <f t="shared" ca="1" si="157"/>
        <v>46460.444047999998</v>
      </c>
      <c r="Q619" s="114">
        <f t="shared" ca="1" si="158"/>
        <v>46475.444047999998</v>
      </c>
      <c r="R619" s="114" t="b">
        <f t="shared" ca="1" si="145"/>
        <v>1</v>
      </c>
      <c r="S619" s="115">
        <f t="shared" ca="1" si="146"/>
        <v>15</v>
      </c>
      <c r="T619" s="126">
        <f t="shared" ca="1" si="147"/>
        <v>46490.444047999998</v>
      </c>
      <c r="U619" s="127" t="str">
        <f t="shared" si="144"/>
        <v>S</v>
      </c>
      <c r="V619" s="128">
        <f t="shared" si="159"/>
        <v>52.863333333333337</v>
      </c>
      <c r="W619" s="129">
        <f t="shared" si="148"/>
        <v>52.863333333333337</v>
      </c>
      <c r="X619" s="197"/>
      <c r="Y619" s="115">
        <f t="shared" ca="1" si="149"/>
        <v>54</v>
      </c>
      <c r="Z619" s="118">
        <f t="shared" ca="1" si="150"/>
        <v>0.85205479452054789</v>
      </c>
      <c r="AA619" s="116"/>
      <c r="AB619" s="117">
        <f t="shared" si="151"/>
        <v>19.524070800455195</v>
      </c>
      <c r="AC619" s="118">
        <f t="shared" si="152"/>
        <v>0.89683628335229981</v>
      </c>
      <c r="AE619" s="55"/>
      <c r="AF619" s="72"/>
      <c r="AG619" s="72"/>
      <c r="AH619" s="66"/>
      <c r="AJ619" t="s">
        <v>185</v>
      </c>
    </row>
    <row r="620" spans="1:36" ht="16" hidden="1" thickBot="1" x14ac:dyDescent="0.25">
      <c r="A620" s="119" t="s">
        <v>375</v>
      </c>
      <c r="B620" s="120" t="s">
        <v>1303</v>
      </c>
      <c r="C620" s="108" t="str">
        <f t="shared" si="153"/>
        <v>/Applications/Stellarium.app/Contents/Resources/nebulae/default/n4228.png</v>
      </c>
      <c r="D620" s="121" t="s">
        <v>2050</v>
      </c>
      <c r="E620" s="109"/>
      <c r="F620" s="122">
        <v>12</v>
      </c>
      <c r="G620" s="123">
        <v>15</v>
      </c>
      <c r="H620" s="122">
        <v>36</v>
      </c>
      <c r="I620" s="124">
        <v>14</v>
      </c>
      <c r="J620" s="112" t="s">
        <v>942</v>
      </c>
      <c r="K620" s="125">
        <v>13.8</v>
      </c>
      <c r="L620" s="196"/>
      <c r="M620" s="110">
        <f t="shared" si="154"/>
        <v>36.233333333333334</v>
      </c>
      <c r="N620" s="111">
        <f t="shared" si="155"/>
        <v>74.013333333333335</v>
      </c>
      <c r="O620" s="112">
        <f t="shared" si="156"/>
        <v>12.25</v>
      </c>
      <c r="P620" s="113">
        <f t="shared" ca="1" si="157"/>
        <v>46460.951328000003</v>
      </c>
      <c r="Q620" s="114">
        <f t="shared" ca="1" si="158"/>
        <v>46475.951328000003</v>
      </c>
      <c r="R620" s="114" t="b">
        <f t="shared" ca="1" si="145"/>
        <v>1</v>
      </c>
      <c r="S620" s="115">
        <f t="shared" ca="1" si="146"/>
        <v>15</v>
      </c>
      <c r="T620" s="126">
        <f t="shared" ca="1" si="147"/>
        <v>46490.951328000003</v>
      </c>
      <c r="U620" s="127" t="str">
        <f t="shared" si="144"/>
        <v>S</v>
      </c>
      <c r="V620" s="128">
        <f t="shared" si="159"/>
        <v>74.013333333333335</v>
      </c>
      <c r="W620" s="129">
        <f t="shared" si="148"/>
        <v>74.013333333333335</v>
      </c>
      <c r="X620" s="197"/>
      <c r="Y620" s="115">
        <f t="shared" ca="1" si="149"/>
        <v>53</v>
      </c>
      <c r="Z620" s="118">
        <f t="shared" ca="1" si="150"/>
        <v>0.85479452054794525</v>
      </c>
      <c r="AA620" s="116"/>
      <c r="AB620" s="117">
        <f t="shared" si="151"/>
        <v>19.557313119332857</v>
      </c>
      <c r="AC620" s="118">
        <f t="shared" si="152"/>
        <v>0.89822137997220242</v>
      </c>
      <c r="AE620" s="55"/>
      <c r="AF620" s="72"/>
      <c r="AG620" s="72"/>
      <c r="AH620" s="66"/>
      <c r="AJ620" t="s">
        <v>375</v>
      </c>
    </row>
    <row r="621" spans="1:36" ht="16" hidden="1" thickBot="1" x14ac:dyDescent="0.25">
      <c r="A621" s="119" t="s">
        <v>374</v>
      </c>
      <c r="B621" s="120" t="s">
        <v>1302</v>
      </c>
      <c r="C621" s="108" t="str">
        <f t="shared" si="153"/>
        <v>/Applications/Stellarium.app/Contents/Resources/nebulae/default/n4216.png</v>
      </c>
      <c r="D621" s="121" t="s">
        <v>2051</v>
      </c>
      <c r="E621" s="109"/>
      <c r="F621" s="122">
        <v>12</v>
      </c>
      <c r="G621" s="123">
        <v>16</v>
      </c>
      <c r="H621" s="122">
        <v>13</v>
      </c>
      <c r="I621" s="124">
        <v>0</v>
      </c>
      <c r="J621" s="112" t="s">
        <v>941</v>
      </c>
      <c r="K621" s="125">
        <v>13.2</v>
      </c>
      <c r="L621" s="196"/>
      <c r="M621" s="110">
        <f t="shared" si="154"/>
        <v>13</v>
      </c>
      <c r="N621" s="111">
        <f t="shared" si="155"/>
        <v>50.78</v>
      </c>
      <c r="O621" s="112">
        <f t="shared" si="156"/>
        <v>12.266666666666667</v>
      </c>
      <c r="P621" s="113">
        <f t="shared" ca="1" si="157"/>
        <v>46461.204967999998</v>
      </c>
      <c r="Q621" s="114">
        <f t="shared" ca="1" si="158"/>
        <v>46476.204967999998</v>
      </c>
      <c r="R621" s="114" t="b">
        <f t="shared" ca="1" si="145"/>
        <v>1</v>
      </c>
      <c r="S621" s="115">
        <f t="shared" ca="1" si="146"/>
        <v>15</v>
      </c>
      <c r="T621" s="126">
        <f t="shared" ca="1" si="147"/>
        <v>46491.204967999998</v>
      </c>
      <c r="U621" s="127" t="str">
        <f t="shared" si="144"/>
        <v>S</v>
      </c>
      <c r="V621" s="128">
        <f t="shared" si="159"/>
        <v>50.78</v>
      </c>
      <c r="W621" s="129">
        <f t="shared" si="148"/>
        <v>50.78</v>
      </c>
      <c r="X621" s="197"/>
      <c r="Y621" s="115">
        <f t="shared" ca="1" si="149"/>
        <v>53</v>
      </c>
      <c r="Z621" s="118">
        <f t="shared" ca="1" si="150"/>
        <v>0.85479452054794525</v>
      </c>
      <c r="AA621" s="116"/>
      <c r="AB621" s="117">
        <f t="shared" si="151"/>
        <v>19.573934278771688</v>
      </c>
      <c r="AC621" s="118">
        <f t="shared" si="152"/>
        <v>0.89891392828215366</v>
      </c>
      <c r="AE621" s="55"/>
      <c r="AF621" s="72"/>
      <c r="AG621" s="72"/>
      <c r="AH621" s="66"/>
      <c r="AJ621" t="s">
        <v>374</v>
      </c>
    </row>
    <row r="622" spans="1:36" ht="16" thickBot="1" x14ac:dyDescent="0.25">
      <c r="A622" s="119" t="s">
        <v>377</v>
      </c>
      <c r="B622" s="120" t="s">
        <v>1302</v>
      </c>
      <c r="C622" s="108" t="str">
        <f t="shared" si="153"/>
        <v>/Applications/Stellarium.app/Contents/Resources/nebulae/default/n4244.png</v>
      </c>
      <c r="D622" s="121" t="s">
        <v>2052</v>
      </c>
      <c r="E622" s="109"/>
      <c r="F622" s="122">
        <v>12</v>
      </c>
      <c r="G622" s="123">
        <v>18</v>
      </c>
      <c r="H622" s="122">
        <v>37</v>
      </c>
      <c r="I622" s="124">
        <v>40</v>
      </c>
      <c r="J622" s="112" t="s">
        <v>944</v>
      </c>
      <c r="K622" s="125">
        <v>13.8</v>
      </c>
      <c r="L622" s="196"/>
      <c r="M622" s="110">
        <f t="shared" si="154"/>
        <v>37.666666666666664</v>
      </c>
      <c r="N622" s="111">
        <f t="shared" si="155"/>
        <v>75.446666666666658</v>
      </c>
      <c r="O622" s="112">
        <f t="shared" si="156"/>
        <v>12.3</v>
      </c>
      <c r="P622" s="113">
        <f t="shared" ca="1" si="157"/>
        <v>46461.712248000003</v>
      </c>
      <c r="Q622" s="114">
        <f t="shared" ca="1" si="158"/>
        <v>46476.712248000003</v>
      </c>
      <c r="R622" s="114" t="b">
        <f t="shared" ca="1" si="145"/>
        <v>1</v>
      </c>
      <c r="S622" s="115">
        <f t="shared" ca="1" si="146"/>
        <v>15</v>
      </c>
      <c r="T622" s="126">
        <f t="shared" ca="1" si="147"/>
        <v>46491.712248000003</v>
      </c>
      <c r="U622" s="127" t="str">
        <f t="shared" si="144"/>
        <v>S</v>
      </c>
      <c r="V622" s="128">
        <f t="shared" si="159"/>
        <v>75.446666666666658</v>
      </c>
      <c r="W622" s="129">
        <f t="shared" si="148"/>
        <v>75.446666666666658</v>
      </c>
      <c r="X622" s="197"/>
      <c r="Y622" s="115">
        <f t="shared" ca="1" si="149"/>
        <v>52</v>
      </c>
      <c r="Z622" s="118">
        <f t="shared" ca="1" si="150"/>
        <v>0.8575342465753425</v>
      </c>
      <c r="AA622" s="116"/>
      <c r="AB622" s="117">
        <f t="shared" si="151"/>
        <v>19.607176597649353</v>
      </c>
      <c r="AC622" s="118">
        <f t="shared" si="152"/>
        <v>0.90029902490205638</v>
      </c>
      <c r="AE622" s="55"/>
      <c r="AF622" s="72"/>
      <c r="AG622" s="72"/>
      <c r="AH622" s="66"/>
      <c r="AJ622" t="s">
        <v>377</v>
      </c>
    </row>
    <row r="623" spans="1:36" ht="16" hidden="1" thickBot="1" x14ac:dyDescent="0.25">
      <c r="A623" s="119" t="s">
        <v>186</v>
      </c>
      <c r="B623" s="120" t="s">
        <v>1255</v>
      </c>
      <c r="C623" s="108" t="str">
        <f t="shared" si="153"/>
        <v>/Applications/Stellarium.app/Contents/Resources/nebulae/default/m99.png</v>
      </c>
      <c r="D623" s="121" t="s">
        <v>2053</v>
      </c>
      <c r="E623" s="109"/>
      <c r="F623" s="122">
        <v>12</v>
      </c>
      <c r="G623" s="123">
        <v>19</v>
      </c>
      <c r="H623" s="122">
        <v>14</v>
      </c>
      <c r="I623" s="124">
        <v>21</v>
      </c>
      <c r="J623" s="112" t="s">
        <v>773</v>
      </c>
      <c r="K623" s="125">
        <v>13</v>
      </c>
      <c r="L623" s="196"/>
      <c r="M623" s="110">
        <f t="shared" si="154"/>
        <v>14.35</v>
      </c>
      <c r="N623" s="111">
        <f t="shared" si="155"/>
        <v>52.13</v>
      </c>
      <c r="O623" s="112">
        <f t="shared" si="156"/>
        <v>12.316666666666666</v>
      </c>
      <c r="P623" s="113">
        <f t="shared" ca="1" si="157"/>
        <v>46461.965887999999</v>
      </c>
      <c r="Q623" s="114">
        <f t="shared" ca="1" si="158"/>
        <v>46476.965887999999</v>
      </c>
      <c r="R623" s="114" t="b">
        <f t="shared" ca="1" si="145"/>
        <v>1</v>
      </c>
      <c r="S623" s="115">
        <f t="shared" ca="1" si="146"/>
        <v>15</v>
      </c>
      <c r="T623" s="126">
        <f t="shared" ca="1" si="147"/>
        <v>46491.965887999999</v>
      </c>
      <c r="U623" s="127" t="str">
        <f t="shared" si="144"/>
        <v>S</v>
      </c>
      <c r="V623" s="128">
        <f t="shared" si="159"/>
        <v>52.13</v>
      </c>
      <c r="W623" s="129">
        <f t="shared" si="148"/>
        <v>52.13</v>
      </c>
      <c r="X623" s="197"/>
      <c r="Y623" s="115">
        <f t="shared" ca="1" si="149"/>
        <v>52</v>
      </c>
      <c r="Z623" s="118">
        <f t="shared" ca="1" si="150"/>
        <v>0.8575342465753425</v>
      </c>
      <c r="AA623" s="116"/>
      <c r="AB623" s="117">
        <f t="shared" si="151"/>
        <v>19.62379775708818</v>
      </c>
      <c r="AC623" s="118">
        <f t="shared" si="152"/>
        <v>0.90099157321200751</v>
      </c>
      <c r="AE623" s="55"/>
      <c r="AF623" s="72"/>
      <c r="AG623" s="72"/>
      <c r="AH623" s="66"/>
      <c r="AJ623" t="s">
        <v>186</v>
      </c>
    </row>
    <row r="624" spans="1:36" ht="16" thickBot="1" x14ac:dyDescent="0.25">
      <c r="A624" s="119" t="s">
        <v>376</v>
      </c>
      <c r="B624" s="120" t="s">
        <v>1272</v>
      </c>
      <c r="C624" s="108" t="str">
        <f t="shared" si="153"/>
        <v>/Applications/Stellarium.app/Contents/Resources/nebulae/default/n4236.png</v>
      </c>
      <c r="D624" s="121" t="s">
        <v>2054</v>
      </c>
      <c r="E624" s="109"/>
      <c r="F624" s="122">
        <v>12</v>
      </c>
      <c r="G624" s="123">
        <v>19</v>
      </c>
      <c r="H624" s="122">
        <v>69</v>
      </c>
      <c r="I624" s="124">
        <v>13</v>
      </c>
      <c r="J624" s="112" t="s">
        <v>943</v>
      </c>
      <c r="K624" s="125">
        <v>15.4</v>
      </c>
      <c r="L624" s="196"/>
      <c r="M624" s="110">
        <f t="shared" si="154"/>
        <v>69.216666666666669</v>
      </c>
      <c r="N624" s="111">
        <f t="shared" si="155"/>
        <v>106.99666666666667</v>
      </c>
      <c r="O624" s="112">
        <f t="shared" si="156"/>
        <v>12.316666666666666</v>
      </c>
      <c r="P624" s="113">
        <f t="shared" ca="1" si="157"/>
        <v>46461.965887999999</v>
      </c>
      <c r="Q624" s="114">
        <f t="shared" ca="1" si="158"/>
        <v>46476.965887999999</v>
      </c>
      <c r="R624" s="114" t="b">
        <f t="shared" ca="1" si="145"/>
        <v>1</v>
      </c>
      <c r="S624" s="115">
        <f t="shared" ca="1" si="146"/>
        <v>15</v>
      </c>
      <c r="T624" s="126">
        <f t="shared" ca="1" si="147"/>
        <v>46491.965887999999</v>
      </c>
      <c r="U624" s="127" t="str">
        <f t="shared" si="144"/>
        <v>N</v>
      </c>
      <c r="V624" s="128">
        <f t="shared" si="159"/>
        <v>73.00333333333333</v>
      </c>
      <c r="W624" s="129">
        <f t="shared" si="148"/>
        <v>73.00333333333333</v>
      </c>
      <c r="X624" s="197"/>
      <c r="Y624" s="115">
        <f t="shared" ca="1" si="149"/>
        <v>52</v>
      </c>
      <c r="Z624" s="118">
        <f t="shared" ca="1" si="150"/>
        <v>0.8575342465753425</v>
      </c>
      <c r="AA624" s="116"/>
      <c r="AB624" s="117">
        <f t="shared" si="151"/>
        <v>19.62379775708818</v>
      </c>
      <c r="AC624" s="118">
        <f t="shared" si="152"/>
        <v>0.90099157321200751</v>
      </c>
      <c r="AE624" s="55"/>
      <c r="AF624" s="72"/>
      <c r="AG624" s="72"/>
      <c r="AH624" s="66"/>
      <c r="AJ624" t="s">
        <v>376</v>
      </c>
    </row>
    <row r="625" spans="1:36" ht="16" thickBot="1" x14ac:dyDescent="0.25">
      <c r="A625" s="119" t="s">
        <v>193</v>
      </c>
      <c r="B625" s="120" t="s">
        <v>1261</v>
      </c>
      <c r="C625" s="108" t="str">
        <f t="shared" si="153"/>
        <v>/Applications/Stellarium.app/Contents/Resources/nebulae/default/m106-vasey.png</v>
      </c>
      <c r="D625" s="121" t="s">
        <v>2055</v>
      </c>
      <c r="E625" s="109"/>
      <c r="F625" s="122">
        <v>12</v>
      </c>
      <c r="G625" s="123">
        <v>20</v>
      </c>
      <c r="H625" s="122">
        <v>47</v>
      </c>
      <c r="I625" s="124">
        <v>14</v>
      </c>
      <c r="J625" s="112" t="s">
        <v>784</v>
      </c>
      <c r="K625" s="125">
        <v>13.4</v>
      </c>
      <c r="L625" s="196"/>
      <c r="M625" s="110">
        <f t="shared" si="154"/>
        <v>47.233333333333334</v>
      </c>
      <c r="N625" s="111">
        <f t="shared" si="155"/>
        <v>85.013333333333335</v>
      </c>
      <c r="O625" s="112">
        <f t="shared" si="156"/>
        <v>12.333333333333334</v>
      </c>
      <c r="P625" s="113">
        <f t="shared" ca="1" si="157"/>
        <v>46462.219528000001</v>
      </c>
      <c r="Q625" s="114">
        <f t="shared" ca="1" si="158"/>
        <v>46477.219528000001</v>
      </c>
      <c r="R625" s="114" t="b">
        <f t="shared" ca="1" si="145"/>
        <v>1</v>
      </c>
      <c r="S625" s="115">
        <f t="shared" ca="1" si="146"/>
        <v>15</v>
      </c>
      <c r="T625" s="126">
        <f t="shared" ca="1" si="147"/>
        <v>46492.219528000001</v>
      </c>
      <c r="U625" s="127" t="str">
        <f t="shared" si="144"/>
        <v>S</v>
      </c>
      <c r="V625" s="128">
        <f t="shared" si="159"/>
        <v>85.013333333333335</v>
      </c>
      <c r="W625" s="129">
        <f t="shared" si="148"/>
        <v>85.013333333333335</v>
      </c>
      <c r="X625" s="197"/>
      <c r="Y625" s="115">
        <f t="shared" ca="1" si="149"/>
        <v>52</v>
      </c>
      <c r="Z625" s="118">
        <f t="shared" ca="1" si="150"/>
        <v>0.8575342465753425</v>
      </c>
      <c r="AA625" s="116"/>
      <c r="AB625" s="117">
        <f t="shared" si="151"/>
        <v>19.640418916527015</v>
      </c>
      <c r="AC625" s="118">
        <f t="shared" si="152"/>
        <v>0.90168412152195898</v>
      </c>
      <c r="AE625" s="55"/>
      <c r="AF625" s="72"/>
      <c r="AG625" s="72"/>
      <c r="AH625" s="66"/>
      <c r="AJ625" t="s">
        <v>193</v>
      </c>
    </row>
    <row r="626" spans="1:36" ht="16" hidden="1" thickBot="1" x14ac:dyDescent="0.25">
      <c r="A626" s="119" t="s">
        <v>378</v>
      </c>
      <c r="B626" s="120" t="s">
        <v>1272</v>
      </c>
      <c r="C626" s="108" t="str">
        <f t="shared" si="153"/>
        <v>/Applications/Stellarium.app/Contents/Resources/nebulae/default/n4274-dss.png</v>
      </c>
      <c r="D626" s="121" t="s">
        <v>2056</v>
      </c>
      <c r="E626" s="109"/>
      <c r="F626" s="122">
        <v>12</v>
      </c>
      <c r="G626" s="123">
        <v>21</v>
      </c>
      <c r="H626" s="122">
        <v>29</v>
      </c>
      <c r="I626" s="124">
        <v>3</v>
      </c>
      <c r="J626" s="112" t="s">
        <v>945</v>
      </c>
      <c r="K626" s="125">
        <v>14.2</v>
      </c>
      <c r="L626" s="196"/>
      <c r="M626" s="110">
        <f t="shared" si="154"/>
        <v>29.05</v>
      </c>
      <c r="N626" s="111">
        <f t="shared" si="155"/>
        <v>66.83</v>
      </c>
      <c r="O626" s="112">
        <f t="shared" si="156"/>
        <v>12.35</v>
      </c>
      <c r="P626" s="113">
        <f t="shared" ca="1" si="157"/>
        <v>46462.473167999997</v>
      </c>
      <c r="Q626" s="114">
        <f t="shared" ca="1" si="158"/>
        <v>46477.473167999997</v>
      </c>
      <c r="R626" s="114" t="b">
        <f t="shared" ca="1" si="145"/>
        <v>1</v>
      </c>
      <c r="S626" s="115">
        <f t="shared" ca="1" si="146"/>
        <v>15</v>
      </c>
      <c r="T626" s="126">
        <f t="shared" ca="1" si="147"/>
        <v>46492.473167999997</v>
      </c>
      <c r="U626" s="127" t="str">
        <f t="shared" si="144"/>
        <v>S</v>
      </c>
      <c r="V626" s="128">
        <f t="shared" si="159"/>
        <v>66.83</v>
      </c>
      <c r="W626" s="129">
        <f t="shared" si="148"/>
        <v>66.83</v>
      </c>
      <c r="X626" s="197"/>
      <c r="Y626" s="115">
        <f t="shared" ca="1" si="149"/>
        <v>52</v>
      </c>
      <c r="Z626" s="118">
        <f t="shared" ca="1" si="150"/>
        <v>0.8575342465753425</v>
      </c>
      <c r="AA626" s="116"/>
      <c r="AB626" s="117">
        <f t="shared" si="151"/>
        <v>19.657040075965845</v>
      </c>
      <c r="AC626" s="118">
        <f t="shared" si="152"/>
        <v>0.90237666983191023</v>
      </c>
      <c r="AE626" s="55"/>
      <c r="AF626" s="72"/>
      <c r="AG626" s="72"/>
      <c r="AH626" s="66"/>
      <c r="AJ626" t="s">
        <v>378</v>
      </c>
    </row>
    <row r="627" spans="1:36" ht="16" hidden="1" thickBot="1" x14ac:dyDescent="0.25">
      <c r="A627" s="119" t="s">
        <v>150</v>
      </c>
      <c r="B627" s="120" t="s">
        <v>1231</v>
      </c>
      <c r="C627" s="108" t="str">
        <f t="shared" si="153"/>
        <v>/Applications/Stellarium.app/Contents/Resources/nebulae/default/m61.png</v>
      </c>
      <c r="D627" s="121" t="s">
        <v>2057</v>
      </c>
      <c r="E627" s="109"/>
      <c r="F627" s="122">
        <v>12</v>
      </c>
      <c r="G627" s="123">
        <v>22</v>
      </c>
      <c r="H627" s="122">
        <v>4</v>
      </c>
      <c r="I627" s="124">
        <v>24</v>
      </c>
      <c r="J627" s="112" t="s">
        <v>755</v>
      </c>
      <c r="K627" s="125">
        <v>13.1</v>
      </c>
      <c r="L627" s="196"/>
      <c r="M627" s="110">
        <f t="shared" si="154"/>
        <v>4.4000000000000004</v>
      </c>
      <c r="N627" s="111">
        <f t="shared" si="155"/>
        <v>42.18</v>
      </c>
      <c r="O627" s="112">
        <f t="shared" si="156"/>
        <v>12.366666666666667</v>
      </c>
      <c r="P627" s="113">
        <f t="shared" ca="1" si="157"/>
        <v>46462.726807999999</v>
      </c>
      <c r="Q627" s="114">
        <f t="shared" ca="1" si="158"/>
        <v>46477.726807999999</v>
      </c>
      <c r="R627" s="114" t="b">
        <f t="shared" ca="1" si="145"/>
        <v>1</v>
      </c>
      <c r="S627" s="115">
        <f t="shared" ca="1" si="146"/>
        <v>15</v>
      </c>
      <c r="T627" s="126">
        <f t="shared" ca="1" si="147"/>
        <v>46492.726807999999</v>
      </c>
      <c r="U627" s="127" t="str">
        <f t="shared" si="144"/>
        <v>S</v>
      </c>
      <c r="V627" s="128">
        <f t="shared" si="159"/>
        <v>42.18</v>
      </c>
      <c r="W627" s="129">
        <f t="shared" si="148"/>
        <v>42.18</v>
      </c>
      <c r="X627" s="197"/>
      <c r="Y627" s="115">
        <f t="shared" ca="1" si="149"/>
        <v>51</v>
      </c>
      <c r="Z627" s="118">
        <f t="shared" ca="1" si="150"/>
        <v>0.86027397260273974</v>
      </c>
      <c r="AA627" s="116"/>
      <c r="AB627" s="117">
        <f t="shared" si="151"/>
        <v>19.673661235404676</v>
      </c>
      <c r="AC627" s="118">
        <f t="shared" si="152"/>
        <v>0.90306921814186147</v>
      </c>
      <c r="AE627" s="55"/>
      <c r="AF627" s="72"/>
      <c r="AG627" s="72"/>
      <c r="AH627" s="66"/>
      <c r="AJ627" t="s">
        <v>150</v>
      </c>
    </row>
    <row r="628" spans="1:36" ht="16" hidden="1" thickBot="1" x14ac:dyDescent="0.25">
      <c r="A628" s="119" t="s">
        <v>379</v>
      </c>
      <c r="B628" s="120" t="s">
        <v>1275</v>
      </c>
      <c r="C628" s="108" t="str">
        <f t="shared" si="153"/>
        <v>/Applications/Stellarium.app/Contents/Resources/nebulae/default/n4298.png</v>
      </c>
      <c r="D628" s="121" t="s">
        <v>2058</v>
      </c>
      <c r="E628" s="109"/>
      <c r="F628" s="122">
        <v>12</v>
      </c>
      <c r="G628" s="123">
        <v>22</v>
      </c>
      <c r="H628" s="122">
        <v>14</v>
      </c>
      <c r="I628" s="124">
        <v>29</v>
      </c>
      <c r="J628" s="112" t="s">
        <v>946</v>
      </c>
      <c r="K628" s="125">
        <v>14.5</v>
      </c>
      <c r="L628" s="196"/>
      <c r="M628" s="110">
        <f t="shared" si="154"/>
        <v>14.483333333333333</v>
      </c>
      <c r="N628" s="111">
        <f t="shared" si="155"/>
        <v>52.263333333333335</v>
      </c>
      <c r="O628" s="112">
        <f t="shared" si="156"/>
        <v>12.366666666666667</v>
      </c>
      <c r="P628" s="113">
        <f t="shared" ca="1" si="157"/>
        <v>46462.726807999999</v>
      </c>
      <c r="Q628" s="114">
        <f t="shared" ca="1" si="158"/>
        <v>46477.726807999999</v>
      </c>
      <c r="R628" s="114" t="b">
        <f t="shared" ca="1" si="145"/>
        <v>1</v>
      </c>
      <c r="S628" s="115">
        <f t="shared" ca="1" si="146"/>
        <v>15</v>
      </c>
      <c r="T628" s="126">
        <f t="shared" ca="1" si="147"/>
        <v>46492.726807999999</v>
      </c>
      <c r="U628" s="127" t="str">
        <f t="shared" ref="U628:U654" si="160">IF(N628&lt;90,"S","N")</f>
        <v>S</v>
      </c>
      <c r="V628" s="128">
        <f t="shared" si="159"/>
        <v>52.263333333333335</v>
      </c>
      <c r="W628" s="129">
        <f t="shared" si="148"/>
        <v>52.263333333333335</v>
      </c>
      <c r="X628" s="197"/>
      <c r="Y628" s="115">
        <f t="shared" ca="1" si="149"/>
        <v>51</v>
      </c>
      <c r="Z628" s="118">
        <f t="shared" ca="1" si="150"/>
        <v>0.86027397260273974</v>
      </c>
      <c r="AA628" s="116"/>
      <c r="AB628" s="117">
        <f t="shared" si="151"/>
        <v>19.673661235404676</v>
      </c>
      <c r="AC628" s="118">
        <f t="shared" si="152"/>
        <v>0.90306921814186147</v>
      </c>
      <c r="AE628" s="55"/>
      <c r="AF628" s="72"/>
      <c r="AG628" s="72"/>
      <c r="AH628" s="66"/>
      <c r="AJ628" t="s">
        <v>379</v>
      </c>
    </row>
    <row r="629" spans="1:36" ht="16" hidden="1" thickBot="1" x14ac:dyDescent="0.25">
      <c r="A629" s="119" t="s">
        <v>187</v>
      </c>
      <c r="B629" s="120" t="s">
        <v>1256</v>
      </c>
      <c r="C629" s="108" t="str">
        <f t="shared" si="153"/>
        <v>/Applications/Stellarium.app/Contents/Resources/nebulae/default/m100.png</v>
      </c>
      <c r="D629" s="121" t="s">
        <v>2059</v>
      </c>
      <c r="E629" s="109"/>
      <c r="F629" s="122">
        <v>12</v>
      </c>
      <c r="G629" s="123">
        <v>23</v>
      </c>
      <c r="H629" s="122">
        <v>15</v>
      </c>
      <c r="I629" s="124">
        <v>40</v>
      </c>
      <c r="J629" s="112" t="s">
        <v>779</v>
      </c>
      <c r="K629" s="125">
        <v>13.4</v>
      </c>
      <c r="L629" s="196"/>
      <c r="M629" s="110">
        <f t="shared" si="154"/>
        <v>15.666666666666666</v>
      </c>
      <c r="N629" s="111">
        <f t="shared" si="155"/>
        <v>53.446666666666665</v>
      </c>
      <c r="O629" s="112">
        <f t="shared" si="156"/>
        <v>12.383333333333333</v>
      </c>
      <c r="P629" s="113">
        <f t="shared" ca="1" si="157"/>
        <v>46462.980448000002</v>
      </c>
      <c r="Q629" s="114">
        <f t="shared" ca="1" si="158"/>
        <v>46477.980448000002</v>
      </c>
      <c r="R629" s="114" t="b">
        <f t="shared" ca="1" si="145"/>
        <v>1</v>
      </c>
      <c r="S629" s="115">
        <f t="shared" ca="1" si="146"/>
        <v>15</v>
      </c>
      <c r="T629" s="126">
        <f t="shared" ca="1" si="147"/>
        <v>46492.980448000002</v>
      </c>
      <c r="U629" s="127" t="str">
        <f t="shared" si="160"/>
        <v>S</v>
      </c>
      <c r="V629" s="128">
        <f t="shared" si="159"/>
        <v>53.446666666666665</v>
      </c>
      <c r="W629" s="129">
        <f t="shared" si="148"/>
        <v>53.446666666666665</v>
      </c>
      <c r="X629" s="197"/>
      <c r="Y629" s="115">
        <f t="shared" ca="1" si="149"/>
        <v>51</v>
      </c>
      <c r="Z629" s="118">
        <f t="shared" ca="1" si="150"/>
        <v>0.86027397260273974</v>
      </c>
      <c r="AA629" s="116"/>
      <c r="AB629" s="117">
        <f t="shared" si="151"/>
        <v>19.690282394843507</v>
      </c>
      <c r="AC629" s="118">
        <f t="shared" si="152"/>
        <v>0.90376176645181283</v>
      </c>
      <c r="AE629" s="55"/>
      <c r="AF629" s="72"/>
      <c r="AG629" s="72"/>
      <c r="AH629" s="66"/>
      <c r="AJ629" t="s">
        <v>187</v>
      </c>
    </row>
    <row r="630" spans="1:36" ht="16" hidden="1" thickBot="1" x14ac:dyDescent="0.25">
      <c r="A630" s="119" t="s">
        <v>380</v>
      </c>
      <c r="B630" s="120" t="s">
        <v>1277</v>
      </c>
      <c r="C630" s="108" t="str">
        <f t="shared" si="153"/>
        <v>/Applications/Stellarium.app/Contents/Resources/nebulae/default/n4361.png</v>
      </c>
      <c r="D630" s="121" t="s">
        <v>2060</v>
      </c>
      <c r="E630" s="109"/>
      <c r="F630" s="122">
        <v>12</v>
      </c>
      <c r="G630" s="123">
        <v>24</v>
      </c>
      <c r="H630" s="122">
        <v>-19</v>
      </c>
      <c r="I630" s="124">
        <v>9</v>
      </c>
      <c r="J630" s="112" t="s">
        <v>859</v>
      </c>
      <c r="K630" s="125">
        <v>12.4</v>
      </c>
      <c r="L630" s="196"/>
      <c r="M630" s="110">
        <f t="shared" si="154"/>
        <v>-18.850000000000001</v>
      </c>
      <c r="N630" s="111">
        <f t="shared" si="155"/>
        <v>18.93</v>
      </c>
      <c r="O630" s="112">
        <f t="shared" si="156"/>
        <v>12.4</v>
      </c>
      <c r="P630" s="113">
        <f t="shared" ca="1" si="157"/>
        <v>46463.234087999997</v>
      </c>
      <c r="Q630" s="114">
        <f t="shared" ca="1" si="158"/>
        <v>46478.234087999997</v>
      </c>
      <c r="R630" s="114" t="b">
        <f t="shared" ca="1" si="145"/>
        <v>1</v>
      </c>
      <c r="S630" s="115">
        <f t="shared" ca="1" si="146"/>
        <v>15</v>
      </c>
      <c r="T630" s="126">
        <f t="shared" ca="1" si="147"/>
        <v>46493.234087999997</v>
      </c>
      <c r="U630" s="127" t="str">
        <f t="shared" si="160"/>
        <v>S</v>
      </c>
      <c r="V630" s="128">
        <f t="shared" si="159"/>
        <v>18.93</v>
      </c>
      <c r="W630" s="129">
        <f t="shared" si="148"/>
        <v>18.93</v>
      </c>
      <c r="X630" s="197"/>
      <c r="Y630" s="115">
        <f t="shared" ca="1" si="149"/>
        <v>51</v>
      </c>
      <c r="Z630" s="118">
        <f t="shared" ca="1" si="150"/>
        <v>0.86027397260273974</v>
      </c>
      <c r="AA630" s="116"/>
      <c r="AB630" s="117">
        <f t="shared" si="151"/>
        <v>19.706903554282338</v>
      </c>
      <c r="AC630" s="118">
        <f t="shared" si="152"/>
        <v>0.90445431476176408</v>
      </c>
      <c r="AE630" s="55"/>
      <c r="AF630" s="72"/>
      <c r="AG630" s="72"/>
      <c r="AH630" s="66"/>
      <c r="AJ630" t="s">
        <v>380</v>
      </c>
    </row>
    <row r="631" spans="1:36" ht="16" hidden="1" thickBot="1" x14ac:dyDescent="0.25">
      <c r="A631" s="119" t="s">
        <v>174</v>
      </c>
      <c r="B631" s="120" t="s">
        <v>1245</v>
      </c>
      <c r="C631" s="108" t="str">
        <f t="shared" si="153"/>
        <v>/Applications/Stellarium.app/Contents/Resources/nebulae/default/m85.png</v>
      </c>
      <c r="D631" s="121" t="s">
        <v>2061</v>
      </c>
      <c r="E631" s="109"/>
      <c r="F631" s="122">
        <v>12</v>
      </c>
      <c r="G631" s="123">
        <v>25</v>
      </c>
      <c r="H631" s="122">
        <v>18</v>
      </c>
      <c r="I631" s="124">
        <v>5</v>
      </c>
      <c r="J631" s="112" t="s">
        <v>771</v>
      </c>
      <c r="K631" s="125">
        <v>14.2</v>
      </c>
      <c r="L631" s="196"/>
      <c r="M631" s="110">
        <f t="shared" si="154"/>
        <v>18.083333333333332</v>
      </c>
      <c r="N631" s="111">
        <f t="shared" si="155"/>
        <v>55.86333333333333</v>
      </c>
      <c r="O631" s="112">
        <f t="shared" si="156"/>
        <v>12.416666666666666</v>
      </c>
      <c r="P631" s="113">
        <f t="shared" ca="1" si="157"/>
        <v>46463.487728</v>
      </c>
      <c r="Q631" s="114">
        <f t="shared" ca="1" si="158"/>
        <v>46478.487728</v>
      </c>
      <c r="R631" s="114" t="b">
        <f t="shared" ca="1" si="145"/>
        <v>1</v>
      </c>
      <c r="S631" s="115">
        <f t="shared" ca="1" si="146"/>
        <v>15</v>
      </c>
      <c r="T631" s="126">
        <f t="shared" ca="1" si="147"/>
        <v>46493.487728</v>
      </c>
      <c r="U631" s="127" t="str">
        <f t="shared" si="160"/>
        <v>S</v>
      </c>
      <c r="V631" s="128">
        <f t="shared" si="159"/>
        <v>55.86333333333333</v>
      </c>
      <c r="W631" s="129">
        <f t="shared" si="148"/>
        <v>55.86333333333333</v>
      </c>
      <c r="X631" s="197"/>
      <c r="Y631" s="115">
        <f t="shared" ca="1" si="149"/>
        <v>51</v>
      </c>
      <c r="Z631" s="118">
        <f t="shared" ca="1" si="150"/>
        <v>0.86027397260273974</v>
      </c>
      <c r="AA631" s="116"/>
      <c r="AB631" s="117">
        <f t="shared" si="151"/>
        <v>19.723524713721169</v>
      </c>
      <c r="AC631" s="118">
        <f t="shared" si="152"/>
        <v>0.90514686307171532</v>
      </c>
      <c r="AE631" s="55"/>
      <c r="AF631" s="72"/>
      <c r="AG631" s="72"/>
      <c r="AH631" s="66"/>
      <c r="AJ631" t="s">
        <v>174</v>
      </c>
    </row>
    <row r="632" spans="1:36" ht="16" hidden="1" thickBot="1" x14ac:dyDescent="0.25">
      <c r="A632" s="119" t="s">
        <v>76</v>
      </c>
      <c r="B632" s="120" t="s">
        <v>76</v>
      </c>
      <c r="C632" s="108" t="str">
        <f t="shared" si="153"/>
        <v>/Applications/Stellarium.app/Contents/Resources/nebulae/default/m85.png</v>
      </c>
      <c r="D632" s="121" t="s">
        <v>2061</v>
      </c>
      <c r="E632" s="109"/>
      <c r="F632" s="122">
        <v>12</v>
      </c>
      <c r="G632" s="123">
        <v>26</v>
      </c>
      <c r="H632" s="122">
        <v>12</v>
      </c>
      <c r="I632" s="124">
        <v>56</v>
      </c>
      <c r="J632" s="112" t="s">
        <v>77</v>
      </c>
      <c r="K632" s="125"/>
      <c r="L632" s="196"/>
      <c r="M632" s="110">
        <f t="shared" si="154"/>
        <v>12.933333333333334</v>
      </c>
      <c r="N632" s="111">
        <f t="shared" si="155"/>
        <v>50.713333333333338</v>
      </c>
      <c r="O632" s="112">
        <f t="shared" si="156"/>
        <v>12.433333333333334</v>
      </c>
      <c r="P632" s="113">
        <f t="shared" ca="1" si="157"/>
        <v>46463.741368000003</v>
      </c>
      <c r="Q632" s="114">
        <f t="shared" ca="1" si="158"/>
        <v>46478.741368000003</v>
      </c>
      <c r="R632" s="114" t="b">
        <f t="shared" ca="1" si="145"/>
        <v>1</v>
      </c>
      <c r="S632" s="115">
        <f t="shared" ca="1" si="146"/>
        <v>15</v>
      </c>
      <c r="T632" s="126">
        <f t="shared" ca="1" si="147"/>
        <v>46493.741368000003</v>
      </c>
      <c r="U632" s="127" t="str">
        <f t="shared" si="160"/>
        <v>S</v>
      </c>
      <c r="V632" s="128">
        <f t="shared" si="159"/>
        <v>50.713333333333338</v>
      </c>
      <c r="W632" s="129">
        <f t="shared" si="148"/>
        <v>50.713333333333338</v>
      </c>
      <c r="X632" s="197"/>
      <c r="Y632" s="115">
        <f t="shared" ca="1" si="149"/>
        <v>50</v>
      </c>
      <c r="Z632" s="118">
        <f t="shared" ca="1" si="150"/>
        <v>0.86301369863013699</v>
      </c>
      <c r="AA632" s="116"/>
      <c r="AB632" s="117">
        <f t="shared" si="151"/>
        <v>19.740145873159999</v>
      </c>
      <c r="AC632" s="118">
        <f t="shared" si="152"/>
        <v>0.90583941138166668</v>
      </c>
      <c r="AE632" s="55"/>
      <c r="AF632" s="72"/>
      <c r="AG632" s="72"/>
      <c r="AH632" s="66"/>
      <c r="AJ632" t="s">
        <v>76</v>
      </c>
    </row>
    <row r="633" spans="1:36" ht="16" hidden="1" thickBot="1" x14ac:dyDescent="0.25">
      <c r="A633" s="119" t="s">
        <v>382</v>
      </c>
      <c r="B633" s="120" t="s">
        <v>1272</v>
      </c>
      <c r="C633" s="108" t="str">
        <f t="shared" si="153"/>
        <v>/Applications/Stellarium.app/Contents/Resources/nebulae/default/n4394-dss.png</v>
      </c>
      <c r="D633" s="121" t="s">
        <v>2062</v>
      </c>
      <c r="E633" s="109"/>
      <c r="F633" s="122">
        <v>12</v>
      </c>
      <c r="G633" s="123">
        <v>26</v>
      </c>
      <c r="H633" s="122">
        <v>18</v>
      </c>
      <c r="I633" s="124">
        <v>4</v>
      </c>
      <c r="J633" s="112" t="s">
        <v>947</v>
      </c>
      <c r="K633" s="125">
        <v>14.2</v>
      </c>
      <c r="L633" s="196"/>
      <c r="M633" s="110">
        <f t="shared" si="154"/>
        <v>18.066666666666666</v>
      </c>
      <c r="N633" s="111">
        <f t="shared" si="155"/>
        <v>55.846666666666664</v>
      </c>
      <c r="O633" s="112">
        <f t="shared" si="156"/>
        <v>12.433333333333334</v>
      </c>
      <c r="P633" s="113">
        <f t="shared" ca="1" si="157"/>
        <v>46463.741368000003</v>
      </c>
      <c r="Q633" s="114">
        <f t="shared" ca="1" si="158"/>
        <v>46478.741368000003</v>
      </c>
      <c r="R633" s="114" t="b">
        <f t="shared" ca="1" si="145"/>
        <v>1</v>
      </c>
      <c r="S633" s="115">
        <f t="shared" ca="1" si="146"/>
        <v>15</v>
      </c>
      <c r="T633" s="126">
        <f t="shared" ca="1" si="147"/>
        <v>46493.741368000003</v>
      </c>
      <c r="U633" s="127" t="str">
        <f t="shared" si="160"/>
        <v>S</v>
      </c>
      <c r="V633" s="128">
        <f t="shared" si="159"/>
        <v>55.846666666666664</v>
      </c>
      <c r="W633" s="129">
        <f t="shared" si="148"/>
        <v>55.846666666666664</v>
      </c>
      <c r="X633" s="197"/>
      <c r="Y633" s="115">
        <f t="shared" ca="1" si="149"/>
        <v>50</v>
      </c>
      <c r="Z633" s="118">
        <f t="shared" ca="1" si="150"/>
        <v>0.86301369863013699</v>
      </c>
      <c r="AA633" s="116"/>
      <c r="AB633" s="117">
        <f t="shared" si="151"/>
        <v>19.740145873159999</v>
      </c>
      <c r="AC633" s="118">
        <f t="shared" si="152"/>
        <v>0.90583941138166668</v>
      </c>
      <c r="AE633" s="55"/>
      <c r="AF633" s="72"/>
      <c r="AG633" s="72"/>
      <c r="AH633" s="66"/>
      <c r="AJ633" t="s">
        <v>382</v>
      </c>
    </row>
    <row r="634" spans="1:36" ht="16" thickBot="1" x14ac:dyDescent="0.25">
      <c r="A634" s="119" t="s">
        <v>383</v>
      </c>
      <c r="B634" s="120" t="s">
        <v>1302</v>
      </c>
      <c r="C634" s="108" t="str">
        <f t="shared" si="153"/>
        <v>/Applications/Stellarium.app/Contents/Resources/nebulae/default/n4395.png</v>
      </c>
      <c r="D634" s="121" t="s">
        <v>2063</v>
      </c>
      <c r="E634" s="109"/>
      <c r="F634" s="122">
        <v>12</v>
      </c>
      <c r="G634" s="123">
        <v>26</v>
      </c>
      <c r="H634" s="122">
        <v>33</v>
      </c>
      <c r="I634" s="124">
        <v>24</v>
      </c>
      <c r="J634" s="112" t="s">
        <v>948</v>
      </c>
      <c r="K634" s="125">
        <v>13.5</v>
      </c>
      <c r="L634" s="196"/>
      <c r="M634" s="110">
        <f t="shared" si="154"/>
        <v>33.4</v>
      </c>
      <c r="N634" s="111">
        <f t="shared" si="155"/>
        <v>71.180000000000007</v>
      </c>
      <c r="O634" s="112">
        <f t="shared" si="156"/>
        <v>12.433333333333334</v>
      </c>
      <c r="P634" s="113">
        <f t="shared" ca="1" si="157"/>
        <v>46463.741368000003</v>
      </c>
      <c r="Q634" s="114">
        <f t="shared" ca="1" si="158"/>
        <v>46478.741368000003</v>
      </c>
      <c r="R634" s="114" t="b">
        <f t="shared" ca="1" si="145"/>
        <v>1</v>
      </c>
      <c r="S634" s="115">
        <f t="shared" ca="1" si="146"/>
        <v>15</v>
      </c>
      <c r="T634" s="126">
        <f t="shared" ca="1" si="147"/>
        <v>46493.741368000003</v>
      </c>
      <c r="U634" s="127" t="str">
        <f t="shared" si="160"/>
        <v>S</v>
      </c>
      <c r="V634" s="128">
        <f t="shared" si="159"/>
        <v>71.180000000000007</v>
      </c>
      <c r="W634" s="129">
        <f t="shared" si="148"/>
        <v>71.180000000000007</v>
      </c>
      <c r="X634" s="197"/>
      <c r="Y634" s="115">
        <f t="shared" ca="1" si="149"/>
        <v>50</v>
      </c>
      <c r="Z634" s="118">
        <f t="shared" ca="1" si="150"/>
        <v>0.86301369863013699</v>
      </c>
      <c r="AA634" s="116"/>
      <c r="AB634" s="117">
        <f t="shared" si="151"/>
        <v>19.740145873159999</v>
      </c>
      <c r="AC634" s="118">
        <f t="shared" si="152"/>
        <v>0.90583941138166668</v>
      </c>
      <c r="AE634" s="55"/>
      <c r="AF634" s="72"/>
      <c r="AG634" s="72"/>
      <c r="AH634" s="66"/>
      <c r="AJ634" t="s">
        <v>383</v>
      </c>
    </row>
    <row r="635" spans="1:36" ht="17.25" hidden="1" customHeight="1" thickBot="1" x14ac:dyDescent="0.25">
      <c r="A635" s="119" t="s">
        <v>384</v>
      </c>
      <c r="B635" s="120" t="s">
        <v>1269</v>
      </c>
      <c r="C635" s="108" t="str">
        <f t="shared" si="153"/>
        <v>/Applications/Stellarium.app/Contents/Resources/nebulae/default/n4414.png</v>
      </c>
      <c r="D635" s="121" t="s">
        <v>2064</v>
      </c>
      <c r="E635" s="109"/>
      <c r="F635" s="122">
        <v>12</v>
      </c>
      <c r="G635" s="123">
        <v>27</v>
      </c>
      <c r="H635" s="122">
        <v>31</v>
      </c>
      <c r="I635" s="124">
        <v>5</v>
      </c>
      <c r="J635" s="112" t="s">
        <v>949</v>
      </c>
      <c r="K635" s="125">
        <v>13</v>
      </c>
      <c r="L635" s="196"/>
      <c r="M635" s="110">
        <f t="shared" si="154"/>
        <v>31.083333333333332</v>
      </c>
      <c r="N635" s="111">
        <f t="shared" si="155"/>
        <v>68.86333333333333</v>
      </c>
      <c r="O635" s="112">
        <f t="shared" si="156"/>
        <v>12.45</v>
      </c>
      <c r="P635" s="113">
        <f t="shared" ca="1" si="157"/>
        <v>46463.995007999998</v>
      </c>
      <c r="Q635" s="114">
        <f t="shared" ca="1" si="158"/>
        <v>46478.995007999998</v>
      </c>
      <c r="R635" s="114" t="b">
        <f t="shared" ca="1" si="145"/>
        <v>1</v>
      </c>
      <c r="S635" s="115">
        <f t="shared" ca="1" si="146"/>
        <v>15</v>
      </c>
      <c r="T635" s="126">
        <f t="shared" ca="1" si="147"/>
        <v>46493.995007999998</v>
      </c>
      <c r="U635" s="127" t="str">
        <f t="shared" si="160"/>
        <v>S</v>
      </c>
      <c r="V635" s="128">
        <f t="shared" si="159"/>
        <v>68.86333333333333</v>
      </c>
      <c r="W635" s="129">
        <f t="shared" si="148"/>
        <v>68.86333333333333</v>
      </c>
      <c r="X635" s="197"/>
      <c r="Y635" s="115">
        <f t="shared" ca="1" si="149"/>
        <v>50</v>
      </c>
      <c r="Z635" s="118">
        <f t="shared" ca="1" si="150"/>
        <v>0.86301369863013699</v>
      </c>
      <c r="AA635" s="116"/>
      <c r="AB635" s="117">
        <f t="shared" si="151"/>
        <v>19.75676703259883</v>
      </c>
      <c r="AC635" s="118">
        <f t="shared" si="152"/>
        <v>0.90653195969161793</v>
      </c>
      <c r="AE635" s="55"/>
      <c r="AF635" s="72"/>
      <c r="AG635" s="72"/>
      <c r="AH635" s="66"/>
      <c r="AJ635" t="s">
        <v>384</v>
      </c>
    </row>
    <row r="636" spans="1:36" ht="18.75" hidden="1" customHeight="1" thickBot="1" x14ac:dyDescent="0.25">
      <c r="A636" s="119" t="s">
        <v>385</v>
      </c>
      <c r="B636" s="120" t="s">
        <v>1302</v>
      </c>
      <c r="C636" s="108" t="str">
        <f t="shared" si="153"/>
        <v>/Applications/Stellarium.app/Contents/Resources/nebulae/default/n4449.png</v>
      </c>
      <c r="D636" s="121" t="s">
        <v>2065</v>
      </c>
      <c r="E636" s="109"/>
      <c r="F636" s="122">
        <v>12</v>
      </c>
      <c r="G636" s="123">
        <v>28</v>
      </c>
      <c r="H636" s="122">
        <v>44</v>
      </c>
      <c r="I636" s="124">
        <v>0</v>
      </c>
      <c r="J636" s="112" t="s">
        <v>950</v>
      </c>
      <c r="K636" s="125">
        <v>13.8</v>
      </c>
      <c r="L636" s="196"/>
      <c r="M636" s="110">
        <f t="shared" si="154"/>
        <v>44</v>
      </c>
      <c r="N636" s="111">
        <f t="shared" si="155"/>
        <v>81.78</v>
      </c>
      <c r="O636" s="112">
        <f t="shared" si="156"/>
        <v>12.466666666666667</v>
      </c>
      <c r="P636" s="113">
        <f t="shared" ca="1" si="157"/>
        <v>46464.248648000001</v>
      </c>
      <c r="Q636" s="114">
        <f t="shared" ca="1" si="158"/>
        <v>46479.248648000001</v>
      </c>
      <c r="R636" s="114" t="b">
        <f t="shared" ca="1" si="145"/>
        <v>1</v>
      </c>
      <c r="S636" s="115">
        <f t="shared" ca="1" si="146"/>
        <v>15</v>
      </c>
      <c r="T636" s="126">
        <f t="shared" ca="1" si="147"/>
        <v>46494.248648000001</v>
      </c>
      <c r="U636" s="127" t="str">
        <f t="shared" si="160"/>
        <v>S</v>
      </c>
      <c r="V636" s="128">
        <f t="shared" si="159"/>
        <v>81.78</v>
      </c>
      <c r="W636" s="129">
        <f t="shared" si="148"/>
        <v>81.78</v>
      </c>
      <c r="X636" s="197"/>
      <c r="Y636" s="115">
        <f t="shared" ca="1" si="149"/>
        <v>50</v>
      </c>
      <c r="Z636" s="118">
        <f t="shared" ca="1" si="150"/>
        <v>0.86301369863013699</v>
      </c>
      <c r="AA636" s="116"/>
      <c r="AB636" s="117">
        <f t="shared" si="151"/>
        <v>19.773388192037665</v>
      </c>
      <c r="AC636" s="118">
        <f t="shared" si="152"/>
        <v>0.9072245080015694</v>
      </c>
      <c r="AE636" s="55"/>
      <c r="AF636" s="72"/>
      <c r="AG636" s="72"/>
      <c r="AH636" s="66"/>
      <c r="AJ636" t="s">
        <v>385</v>
      </c>
    </row>
    <row r="637" spans="1:36" ht="16" hidden="1" thickBot="1" x14ac:dyDescent="0.25">
      <c r="A637" s="119" t="s">
        <v>386</v>
      </c>
      <c r="B637" s="120" t="s">
        <v>1269</v>
      </c>
      <c r="C637" s="108" t="str">
        <f t="shared" si="153"/>
        <v>/Applications/Stellarium.app/Contents/Resources/nebulae/default/n4450.png</v>
      </c>
      <c r="D637" s="121" t="s">
        <v>2066</v>
      </c>
      <c r="E637" s="109"/>
      <c r="F637" s="122">
        <v>12</v>
      </c>
      <c r="G637" s="123">
        <v>28</v>
      </c>
      <c r="H637" s="122">
        <v>17</v>
      </c>
      <c r="I637" s="124">
        <v>5</v>
      </c>
      <c r="J637" s="112" t="s">
        <v>951</v>
      </c>
      <c r="K637" s="125">
        <v>13</v>
      </c>
      <c r="L637" s="196"/>
      <c r="M637" s="110">
        <f t="shared" si="154"/>
        <v>17.083333333333332</v>
      </c>
      <c r="N637" s="111">
        <f t="shared" si="155"/>
        <v>54.86333333333333</v>
      </c>
      <c r="O637" s="112">
        <f t="shared" si="156"/>
        <v>12.466666666666667</v>
      </c>
      <c r="P637" s="113">
        <f t="shared" ca="1" si="157"/>
        <v>46464.248648000001</v>
      </c>
      <c r="Q637" s="114">
        <f t="shared" ca="1" si="158"/>
        <v>46479.248648000001</v>
      </c>
      <c r="R637" s="114" t="b">
        <f t="shared" ca="1" si="145"/>
        <v>1</v>
      </c>
      <c r="S637" s="115">
        <f t="shared" ca="1" si="146"/>
        <v>15</v>
      </c>
      <c r="T637" s="126">
        <f t="shared" ca="1" si="147"/>
        <v>46494.248648000001</v>
      </c>
      <c r="U637" s="127" t="str">
        <f t="shared" si="160"/>
        <v>S</v>
      </c>
      <c r="V637" s="128">
        <f t="shared" si="159"/>
        <v>54.86333333333333</v>
      </c>
      <c r="W637" s="129">
        <f t="shared" si="148"/>
        <v>54.86333333333333</v>
      </c>
      <c r="X637" s="197"/>
      <c r="Y637" s="115">
        <f t="shared" ca="1" si="149"/>
        <v>50</v>
      </c>
      <c r="Z637" s="118">
        <f t="shared" ca="1" si="150"/>
        <v>0.86301369863013699</v>
      </c>
      <c r="AA637" s="116"/>
      <c r="AB637" s="117">
        <f t="shared" si="151"/>
        <v>19.773388192037665</v>
      </c>
      <c r="AC637" s="118">
        <f t="shared" si="152"/>
        <v>0.9072245080015694</v>
      </c>
      <c r="AE637" s="55"/>
      <c r="AF637" s="72"/>
      <c r="AG637" s="72"/>
      <c r="AH637" s="66"/>
      <c r="AJ637" t="s">
        <v>386</v>
      </c>
    </row>
    <row r="638" spans="1:36" ht="15" hidden="1" customHeight="1" thickBot="1" x14ac:dyDescent="0.25">
      <c r="A638" s="119" t="s">
        <v>138</v>
      </c>
      <c r="B638" s="120" t="s">
        <v>1224</v>
      </c>
      <c r="C638" s="108" t="str">
        <f t="shared" si="153"/>
        <v>/Applications/Stellarium.app/Contents/Resources/nebulae/default/m49.png</v>
      </c>
      <c r="D638" s="121" t="s">
        <v>2067</v>
      </c>
      <c r="E638" s="109"/>
      <c r="F638" s="122">
        <v>12</v>
      </c>
      <c r="G638" s="123">
        <v>31</v>
      </c>
      <c r="H638" s="122">
        <v>7</v>
      </c>
      <c r="I638" s="124">
        <v>46</v>
      </c>
      <c r="J638" s="112" t="s">
        <v>747</v>
      </c>
      <c r="K638" s="125">
        <v>13.2</v>
      </c>
      <c r="L638" s="196"/>
      <c r="M638" s="110">
        <f t="shared" si="154"/>
        <v>7.7666666666666666</v>
      </c>
      <c r="N638" s="111">
        <f t="shared" si="155"/>
        <v>45.546666666666667</v>
      </c>
      <c r="O638" s="112">
        <f t="shared" si="156"/>
        <v>12.516666666666667</v>
      </c>
      <c r="P638" s="113">
        <f t="shared" ca="1" si="157"/>
        <v>46465.009568000001</v>
      </c>
      <c r="Q638" s="114">
        <f t="shared" ca="1" si="158"/>
        <v>46480.009568000001</v>
      </c>
      <c r="R638" s="114" t="b">
        <f t="shared" ca="1" si="145"/>
        <v>1</v>
      </c>
      <c r="S638" s="115">
        <f t="shared" ca="1" si="146"/>
        <v>15</v>
      </c>
      <c r="T638" s="126">
        <f t="shared" ca="1" si="147"/>
        <v>46495.009568000001</v>
      </c>
      <c r="U638" s="127" t="str">
        <f t="shared" si="160"/>
        <v>S</v>
      </c>
      <c r="V638" s="128">
        <f t="shared" si="159"/>
        <v>45.546666666666667</v>
      </c>
      <c r="W638" s="129">
        <f t="shared" si="148"/>
        <v>45.546666666666667</v>
      </c>
      <c r="X638" s="197"/>
      <c r="Y638" s="115">
        <f t="shared" ca="1" si="149"/>
        <v>49</v>
      </c>
      <c r="Z638" s="118">
        <f t="shared" ca="1" si="150"/>
        <v>0.86575342465753424</v>
      </c>
      <c r="AA638" s="116"/>
      <c r="AB638" s="117">
        <f t="shared" si="151"/>
        <v>19.823251670354157</v>
      </c>
      <c r="AC638" s="118">
        <f t="shared" si="152"/>
        <v>0.90930215293142325</v>
      </c>
      <c r="AE638" s="55"/>
      <c r="AF638" s="72"/>
      <c r="AG638" s="72"/>
      <c r="AH638" s="66"/>
      <c r="AJ638" t="s">
        <v>138</v>
      </c>
    </row>
    <row r="639" spans="1:36" ht="15" hidden="1" customHeight="1" thickBot="1" x14ac:dyDescent="0.25">
      <c r="A639" s="119" t="s">
        <v>387</v>
      </c>
      <c r="B639" s="120" t="s">
        <v>1269</v>
      </c>
      <c r="C639" s="108" t="str">
        <f t="shared" si="153"/>
        <v>/Applications/Stellarium.app/Contents/Resources/nebulae/default/n4490.png</v>
      </c>
      <c r="D639" s="121" t="s">
        <v>2068</v>
      </c>
      <c r="E639" s="109"/>
      <c r="F639" s="122">
        <v>12</v>
      </c>
      <c r="G639" s="123">
        <v>31</v>
      </c>
      <c r="H639" s="122">
        <v>41</v>
      </c>
      <c r="I639" s="124">
        <v>36</v>
      </c>
      <c r="J639" s="112" t="s">
        <v>952</v>
      </c>
      <c r="K639" s="125">
        <v>14</v>
      </c>
      <c r="L639" s="196"/>
      <c r="M639" s="110">
        <f t="shared" si="154"/>
        <v>41.6</v>
      </c>
      <c r="N639" s="111">
        <f t="shared" si="155"/>
        <v>79.38</v>
      </c>
      <c r="O639" s="112">
        <f t="shared" si="156"/>
        <v>12.516666666666667</v>
      </c>
      <c r="P639" s="113">
        <f t="shared" ca="1" si="157"/>
        <v>46465.009568000001</v>
      </c>
      <c r="Q639" s="114">
        <f t="shared" ca="1" si="158"/>
        <v>46480.009568000001</v>
      </c>
      <c r="R639" s="114" t="b">
        <f t="shared" ca="1" si="145"/>
        <v>1</v>
      </c>
      <c r="S639" s="115">
        <f t="shared" ca="1" si="146"/>
        <v>15</v>
      </c>
      <c r="T639" s="126">
        <f t="shared" ca="1" si="147"/>
        <v>46495.009568000001</v>
      </c>
      <c r="U639" s="127" t="str">
        <f t="shared" si="160"/>
        <v>S</v>
      </c>
      <c r="V639" s="128">
        <f t="shared" si="159"/>
        <v>79.38</v>
      </c>
      <c r="W639" s="129">
        <f t="shared" si="148"/>
        <v>79.38</v>
      </c>
      <c r="X639" s="197"/>
      <c r="Y639" s="115">
        <f t="shared" ca="1" si="149"/>
        <v>49</v>
      </c>
      <c r="Z639" s="118">
        <f t="shared" ca="1" si="150"/>
        <v>0.86575342465753424</v>
      </c>
      <c r="AA639" s="116"/>
      <c r="AB639" s="117">
        <f t="shared" si="151"/>
        <v>19.823251670354157</v>
      </c>
      <c r="AC639" s="118">
        <f t="shared" si="152"/>
        <v>0.90930215293142325</v>
      </c>
      <c r="AE639" s="55"/>
      <c r="AF639" s="72"/>
      <c r="AG639" s="72"/>
      <c r="AH639" s="66"/>
      <c r="AJ639" t="s">
        <v>387</v>
      </c>
    </row>
    <row r="640" spans="1:36" ht="16" hidden="1" thickBot="1" x14ac:dyDescent="0.25">
      <c r="A640" s="119" t="s">
        <v>388</v>
      </c>
      <c r="B640" s="120" t="s">
        <v>1302</v>
      </c>
      <c r="C640" s="108" t="str">
        <f t="shared" si="153"/>
        <v>/Applications/Stellarium.app/Contents/Resources/nebulae/default/n4494.png</v>
      </c>
      <c r="D640" s="121" t="s">
        <v>2069</v>
      </c>
      <c r="E640" s="109"/>
      <c r="F640" s="122">
        <v>12</v>
      </c>
      <c r="G640" s="123">
        <v>31</v>
      </c>
      <c r="H640" s="122">
        <v>25</v>
      </c>
      <c r="I640" s="124">
        <v>41</v>
      </c>
      <c r="J640" s="112" t="s">
        <v>953</v>
      </c>
      <c r="K640" s="125">
        <v>14</v>
      </c>
      <c r="L640" s="196"/>
      <c r="M640" s="110">
        <f t="shared" si="154"/>
        <v>25.683333333333334</v>
      </c>
      <c r="N640" s="111">
        <f t="shared" si="155"/>
        <v>63.463333333333338</v>
      </c>
      <c r="O640" s="112">
        <f t="shared" si="156"/>
        <v>12.516666666666667</v>
      </c>
      <c r="P640" s="113">
        <f t="shared" ca="1" si="157"/>
        <v>46465.009568000001</v>
      </c>
      <c r="Q640" s="114">
        <f t="shared" ca="1" si="158"/>
        <v>46480.009568000001</v>
      </c>
      <c r="R640" s="114" t="b">
        <f t="shared" ca="1" si="145"/>
        <v>1</v>
      </c>
      <c r="S640" s="115">
        <f t="shared" ca="1" si="146"/>
        <v>15</v>
      </c>
      <c r="T640" s="126">
        <f t="shared" ca="1" si="147"/>
        <v>46495.009568000001</v>
      </c>
      <c r="U640" s="127" t="str">
        <f t="shared" si="160"/>
        <v>S</v>
      </c>
      <c r="V640" s="128">
        <f t="shared" si="159"/>
        <v>63.463333333333338</v>
      </c>
      <c r="W640" s="129">
        <f t="shared" si="148"/>
        <v>63.463333333333338</v>
      </c>
      <c r="X640" s="197"/>
      <c r="Y640" s="115">
        <f t="shared" ca="1" si="149"/>
        <v>49</v>
      </c>
      <c r="Z640" s="118">
        <f t="shared" ca="1" si="150"/>
        <v>0.86575342465753424</v>
      </c>
      <c r="AA640" s="116"/>
      <c r="AB640" s="117">
        <f t="shared" si="151"/>
        <v>19.823251670354157</v>
      </c>
      <c r="AC640" s="118">
        <f t="shared" si="152"/>
        <v>0.90930215293142325</v>
      </c>
      <c r="AE640" s="55"/>
      <c r="AF640" s="72"/>
      <c r="AG640" s="72"/>
      <c r="AH640" s="66"/>
      <c r="AJ640" t="s">
        <v>388</v>
      </c>
    </row>
    <row r="641" spans="1:36" ht="16" hidden="1" thickBot="1" x14ac:dyDescent="0.25">
      <c r="A641" s="119" t="s">
        <v>173</v>
      </c>
      <c r="B641" s="120" t="s">
        <v>1244</v>
      </c>
      <c r="C641" s="108" t="str">
        <f t="shared" si="153"/>
        <v>/Applications/Stellarium.app/Contents/Resources/nebulae/default/virgo_cluster.png</v>
      </c>
      <c r="D641" s="121" t="s">
        <v>2070</v>
      </c>
      <c r="E641" s="109"/>
      <c r="F641" s="122">
        <v>12</v>
      </c>
      <c r="G641" s="123">
        <v>32</v>
      </c>
      <c r="H641" s="122">
        <v>12</v>
      </c>
      <c r="I641" s="124">
        <v>9</v>
      </c>
      <c r="J641" s="112" t="s">
        <v>770</v>
      </c>
      <c r="K641" s="125">
        <v>13.5</v>
      </c>
      <c r="L641" s="196"/>
      <c r="M641" s="110">
        <f t="shared" si="154"/>
        <v>12.15</v>
      </c>
      <c r="N641" s="111">
        <f t="shared" si="155"/>
        <v>49.93</v>
      </c>
      <c r="O641" s="112">
        <f t="shared" si="156"/>
        <v>12.533333333333333</v>
      </c>
      <c r="P641" s="113">
        <f t="shared" ca="1" si="157"/>
        <v>46465.263207999997</v>
      </c>
      <c r="Q641" s="114">
        <f t="shared" ca="1" si="158"/>
        <v>46480.263207999997</v>
      </c>
      <c r="R641" s="114" t="b">
        <f t="shared" ca="1" si="145"/>
        <v>1</v>
      </c>
      <c r="S641" s="115">
        <f t="shared" ca="1" si="146"/>
        <v>15</v>
      </c>
      <c r="T641" s="126">
        <f t="shared" ca="1" si="147"/>
        <v>46495.263207999997</v>
      </c>
      <c r="U641" s="127" t="str">
        <f t="shared" si="160"/>
        <v>S</v>
      </c>
      <c r="V641" s="128">
        <f t="shared" si="159"/>
        <v>49.93</v>
      </c>
      <c r="W641" s="129">
        <f t="shared" si="148"/>
        <v>49.93</v>
      </c>
      <c r="X641" s="197"/>
      <c r="Y641" s="115">
        <f t="shared" ca="1" si="149"/>
        <v>49</v>
      </c>
      <c r="Z641" s="118">
        <f t="shared" ca="1" si="150"/>
        <v>0.86575342465753424</v>
      </c>
      <c r="AA641" s="116"/>
      <c r="AB641" s="117">
        <f t="shared" si="151"/>
        <v>19.839872829792988</v>
      </c>
      <c r="AC641" s="118">
        <f t="shared" si="152"/>
        <v>0.90999470124137449</v>
      </c>
      <c r="AE641" s="55"/>
      <c r="AF641" s="72"/>
      <c r="AG641" s="72"/>
      <c r="AH641" s="66"/>
      <c r="AJ641" t="s">
        <v>173</v>
      </c>
    </row>
    <row r="642" spans="1:36" ht="16" hidden="1" thickBot="1" x14ac:dyDescent="0.25">
      <c r="A642" s="119" t="s">
        <v>175</v>
      </c>
      <c r="B642" s="120" t="s">
        <v>1246</v>
      </c>
      <c r="C642" s="108" t="str">
        <f t="shared" si="153"/>
        <v>/Applications/Stellarium.app/Contents/Resources/nebulae/default/m88.png</v>
      </c>
      <c r="D642" s="121" t="s">
        <v>2071</v>
      </c>
      <c r="E642" s="109"/>
      <c r="F642" s="122">
        <v>12</v>
      </c>
      <c r="G642" s="123">
        <v>32</v>
      </c>
      <c r="H642" s="122">
        <v>14</v>
      </c>
      <c r="I642" s="124">
        <v>21</v>
      </c>
      <c r="J642" s="112" t="s">
        <v>772</v>
      </c>
      <c r="K642" s="125">
        <v>13</v>
      </c>
      <c r="L642" s="196"/>
      <c r="M642" s="110">
        <f t="shared" si="154"/>
        <v>14.35</v>
      </c>
      <c r="N642" s="111">
        <f t="shared" si="155"/>
        <v>52.13</v>
      </c>
      <c r="O642" s="112">
        <f t="shared" si="156"/>
        <v>12.533333333333333</v>
      </c>
      <c r="P642" s="113">
        <f t="shared" ca="1" si="157"/>
        <v>46465.263207999997</v>
      </c>
      <c r="Q642" s="114">
        <f t="shared" ca="1" si="158"/>
        <v>46480.263207999997</v>
      </c>
      <c r="R642" s="114" t="b">
        <f t="shared" ca="1" si="145"/>
        <v>1</v>
      </c>
      <c r="S642" s="115">
        <f t="shared" ca="1" si="146"/>
        <v>15</v>
      </c>
      <c r="T642" s="126">
        <f t="shared" ca="1" si="147"/>
        <v>46495.263207999997</v>
      </c>
      <c r="U642" s="127" t="str">
        <f t="shared" si="160"/>
        <v>S</v>
      </c>
      <c r="V642" s="128">
        <f t="shared" si="159"/>
        <v>52.13</v>
      </c>
      <c r="W642" s="129">
        <f t="shared" si="148"/>
        <v>52.13</v>
      </c>
      <c r="X642" s="197"/>
      <c r="Y642" s="115">
        <f t="shared" ca="1" si="149"/>
        <v>49</v>
      </c>
      <c r="Z642" s="118">
        <f t="shared" ca="1" si="150"/>
        <v>0.86575342465753424</v>
      </c>
      <c r="AA642" s="116"/>
      <c r="AB642" s="117">
        <f t="shared" si="151"/>
        <v>19.839872829792988</v>
      </c>
      <c r="AC642" s="118">
        <f t="shared" si="152"/>
        <v>0.90999470124137449</v>
      </c>
      <c r="AE642" s="55"/>
      <c r="AF642" s="72"/>
      <c r="AG642" s="72"/>
      <c r="AH642" s="66"/>
      <c r="AJ642" t="s">
        <v>175</v>
      </c>
    </row>
    <row r="643" spans="1:36" ht="16" hidden="1" thickBot="1" x14ac:dyDescent="0.25">
      <c r="A643" s="119" t="s">
        <v>389</v>
      </c>
      <c r="B643" s="120" t="s">
        <v>1269</v>
      </c>
      <c r="C643" s="108" t="str">
        <f t="shared" si="153"/>
        <v>/Applications/Stellarium.app/Contents/Resources/nebulae/default/n4517.png</v>
      </c>
      <c r="D643" s="121" t="s">
        <v>2072</v>
      </c>
      <c r="E643" s="109"/>
      <c r="F643" s="122">
        <v>12</v>
      </c>
      <c r="G643" s="123">
        <v>33</v>
      </c>
      <c r="H643" s="122">
        <v>0</v>
      </c>
      <c r="I643" s="124">
        <v>3</v>
      </c>
      <c r="J643" s="112" t="s">
        <v>954</v>
      </c>
      <c r="K643" s="125">
        <v>14.5</v>
      </c>
      <c r="L643" s="196"/>
      <c r="M643" s="110">
        <f t="shared" si="154"/>
        <v>0.05</v>
      </c>
      <c r="N643" s="111">
        <f t="shared" si="155"/>
        <v>37.83</v>
      </c>
      <c r="O643" s="112">
        <f t="shared" si="156"/>
        <v>12.55</v>
      </c>
      <c r="P643" s="113">
        <f t="shared" ca="1" si="157"/>
        <v>46465.516847999999</v>
      </c>
      <c r="Q643" s="114">
        <f t="shared" ca="1" si="158"/>
        <v>46480.516847999999</v>
      </c>
      <c r="R643" s="114" t="b">
        <f t="shared" ca="1" si="145"/>
        <v>1</v>
      </c>
      <c r="S643" s="115">
        <f t="shared" ca="1" si="146"/>
        <v>15</v>
      </c>
      <c r="T643" s="126">
        <f t="shared" ca="1" si="147"/>
        <v>46495.516847999999</v>
      </c>
      <c r="U643" s="127" t="str">
        <f t="shared" si="160"/>
        <v>S</v>
      </c>
      <c r="V643" s="128">
        <f t="shared" si="159"/>
        <v>37.83</v>
      </c>
      <c r="W643" s="129">
        <f t="shared" si="148"/>
        <v>37.83</v>
      </c>
      <c r="X643" s="197"/>
      <c r="Y643" s="115">
        <f t="shared" ca="1" si="149"/>
        <v>48</v>
      </c>
      <c r="Z643" s="118">
        <f t="shared" ca="1" si="150"/>
        <v>0.86849315068493149</v>
      </c>
      <c r="AA643" s="116"/>
      <c r="AB643" s="117">
        <f t="shared" si="151"/>
        <v>19.856493989231819</v>
      </c>
      <c r="AC643" s="118">
        <f t="shared" si="152"/>
        <v>0.91068724955132574</v>
      </c>
      <c r="AE643" s="55"/>
      <c r="AF643" s="72"/>
      <c r="AG643" s="72"/>
      <c r="AH643" s="66"/>
      <c r="AJ643" t="s">
        <v>389</v>
      </c>
    </row>
    <row r="644" spans="1:36" ht="16" hidden="1" thickBot="1" x14ac:dyDescent="0.25">
      <c r="A644" s="119" t="s">
        <v>591</v>
      </c>
      <c r="B644" s="120" t="s">
        <v>1375</v>
      </c>
      <c r="C644" s="108" t="str">
        <f t="shared" si="153"/>
        <v>/Applications/Stellarium.app/Contents/Resources/nebulae/default/ic3568.png</v>
      </c>
      <c r="D644" s="121" t="s">
        <v>2073</v>
      </c>
      <c r="E644" s="109"/>
      <c r="F644" s="122">
        <v>12</v>
      </c>
      <c r="G644" s="123">
        <v>33</v>
      </c>
      <c r="H644" s="122">
        <v>82</v>
      </c>
      <c r="I644" s="124">
        <v>33</v>
      </c>
      <c r="J644" s="112" t="s">
        <v>1032</v>
      </c>
      <c r="K644" s="125">
        <v>13.4</v>
      </c>
      <c r="L644" s="196"/>
      <c r="M644" s="110">
        <f t="shared" si="154"/>
        <v>82.55</v>
      </c>
      <c r="N644" s="111">
        <f t="shared" si="155"/>
        <v>120.33</v>
      </c>
      <c r="O644" s="112">
        <f t="shared" si="156"/>
        <v>12.55</v>
      </c>
      <c r="P644" s="113">
        <f t="shared" ca="1" si="157"/>
        <v>46465.516847999999</v>
      </c>
      <c r="Q644" s="114">
        <f t="shared" ca="1" si="158"/>
        <v>46480.516847999999</v>
      </c>
      <c r="R644" s="114" t="b">
        <f t="shared" ca="1" si="145"/>
        <v>1</v>
      </c>
      <c r="S644" s="115">
        <f t="shared" ca="1" si="146"/>
        <v>15</v>
      </c>
      <c r="T644" s="126">
        <f t="shared" ca="1" si="147"/>
        <v>46495.516847999999</v>
      </c>
      <c r="U644" s="127" t="str">
        <f t="shared" si="160"/>
        <v>N</v>
      </c>
      <c r="V644" s="128">
        <f t="shared" si="159"/>
        <v>59.67</v>
      </c>
      <c r="W644" s="129">
        <f t="shared" si="148"/>
        <v>59.67</v>
      </c>
      <c r="X644" s="197"/>
      <c r="Y644" s="115">
        <f t="shared" ca="1" si="149"/>
        <v>48</v>
      </c>
      <c r="Z644" s="118">
        <f t="shared" ca="1" si="150"/>
        <v>0.86849315068493149</v>
      </c>
      <c r="AA644" s="116"/>
      <c r="AB644" s="117">
        <f t="shared" si="151"/>
        <v>19.856493989231819</v>
      </c>
      <c r="AC644" s="118">
        <f t="shared" si="152"/>
        <v>0.91068724955132574</v>
      </c>
      <c r="AE644" s="55"/>
      <c r="AF644" s="72"/>
      <c r="AG644" s="72"/>
      <c r="AH644" s="66"/>
      <c r="AJ644" t="s">
        <v>591</v>
      </c>
    </row>
    <row r="645" spans="1:36" ht="16" hidden="1" thickBot="1" x14ac:dyDescent="0.25">
      <c r="A645" s="119" t="s">
        <v>381</v>
      </c>
      <c r="B645" s="120" t="s">
        <v>1191</v>
      </c>
      <c r="C645" s="108" t="str">
        <f t="shared" si="153"/>
        <v>/Applications/Stellarium.app/Contents/Resources/nebulae/default/n4372.png</v>
      </c>
      <c r="D645" s="121" t="s">
        <v>2074</v>
      </c>
      <c r="E645" s="109"/>
      <c r="F645" s="122">
        <v>12</v>
      </c>
      <c r="G645" s="123">
        <v>34</v>
      </c>
      <c r="H645" s="122">
        <v>-74</v>
      </c>
      <c r="I645" s="124">
        <v>41</v>
      </c>
      <c r="J645" s="112" t="s">
        <v>844</v>
      </c>
      <c r="K645" s="125">
        <v>14.6</v>
      </c>
      <c r="L645" s="196"/>
      <c r="M645" s="110">
        <f t="shared" si="154"/>
        <v>-73.316666666666663</v>
      </c>
      <c r="N645" s="111">
        <f t="shared" si="155"/>
        <v>-35.536666666666662</v>
      </c>
      <c r="O645" s="112">
        <f t="shared" si="156"/>
        <v>12.566666666666666</v>
      </c>
      <c r="P645" s="113">
        <f t="shared" ca="1" si="157"/>
        <v>46465.770488000002</v>
      </c>
      <c r="Q645" s="114">
        <f t="shared" ca="1" si="158"/>
        <v>46480.770488000002</v>
      </c>
      <c r="R645" s="114" t="b">
        <f t="shared" ca="1" si="145"/>
        <v>1</v>
      </c>
      <c r="S645" s="115">
        <f t="shared" ca="1" si="146"/>
        <v>15</v>
      </c>
      <c r="T645" s="126">
        <f t="shared" ca="1" si="147"/>
        <v>46495.770488000002</v>
      </c>
      <c r="U645" s="127" t="str">
        <f t="shared" si="160"/>
        <v>S</v>
      </c>
      <c r="V645" s="128">
        <f t="shared" si="159"/>
        <v>-35.536666666666662</v>
      </c>
      <c r="W645" s="129">
        <f t="shared" si="148"/>
        <v>-35.536666666666662</v>
      </c>
      <c r="X645" s="197"/>
      <c r="Y645" s="115">
        <f t="shared" ca="1" si="149"/>
        <v>48</v>
      </c>
      <c r="Z645" s="118">
        <f t="shared" ca="1" si="150"/>
        <v>0.86849315068493149</v>
      </c>
      <c r="AA645" s="116"/>
      <c r="AB645" s="117">
        <f t="shared" si="151"/>
        <v>19.873115148670649</v>
      </c>
      <c r="AC645" s="118">
        <f t="shared" si="152"/>
        <v>0.9113797978612771</v>
      </c>
      <c r="AE645" s="55"/>
      <c r="AF645" s="72"/>
      <c r="AG645" s="72"/>
      <c r="AH645" s="66"/>
      <c r="AJ645" t="s">
        <v>381</v>
      </c>
    </row>
    <row r="646" spans="1:36" ht="16" hidden="1" thickBot="1" x14ac:dyDescent="0.25">
      <c r="A646" s="119" t="s">
        <v>390</v>
      </c>
      <c r="B646" s="120" t="s">
        <v>1302</v>
      </c>
      <c r="C646" s="108" t="str">
        <f t="shared" si="153"/>
        <v>/Applications/Stellarium.app/Contents/Resources/nebulae/default/n4526.png</v>
      </c>
      <c r="D646" s="121" t="s">
        <v>2075</v>
      </c>
      <c r="E646" s="109"/>
      <c r="F646" s="122">
        <v>12</v>
      </c>
      <c r="G646" s="123">
        <v>34</v>
      </c>
      <c r="H646" s="122">
        <v>7</v>
      </c>
      <c r="I646" s="124">
        <v>36</v>
      </c>
      <c r="J646" s="112" t="s">
        <v>955</v>
      </c>
      <c r="K646" s="125">
        <v>13.8</v>
      </c>
      <c r="L646" s="196"/>
      <c r="M646" s="110">
        <f t="shared" si="154"/>
        <v>7.6</v>
      </c>
      <c r="N646" s="111">
        <f t="shared" si="155"/>
        <v>45.38</v>
      </c>
      <c r="O646" s="112">
        <f t="shared" si="156"/>
        <v>12.566666666666666</v>
      </c>
      <c r="P646" s="113">
        <f t="shared" ca="1" si="157"/>
        <v>46465.770488000002</v>
      </c>
      <c r="Q646" s="114">
        <f t="shared" ca="1" si="158"/>
        <v>46480.770488000002</v>
      </c>
      <c r="R646" s="114" t="b">
        <f t="shared" ca="1" si="145"/>
        <v>1</v>
      </c>
      <c r="S646" s="115">
        <f t="shared" ca="1" si="146"/>
        <v>15</v>
      </c>
      <c r="T646" s="126">
        <f t="shared" ca="1" si="147"/>
        <v>46495.770488000002</v>
      </c>
      <c r="U646" s="127" t="str">
        <f t="shared" si="160"/>
        <v>S</v>
      </c>
      <c r="V646" s="128">
        <f t="shared" si="159"/>
        <v>45.38</v>
      </c>
      <c r="W646" s="129">
        <f t="shared" si="148"/>
        <v>45.38</v>
      </c>
      <c r="X646" s="197"/>
      <c r="Y646" s="115">
        <f t="shared" ca="1" si="149"/>
        <v>48</v>
      </c>
      <c r="Z646" s="118">
        <f t="shared" ca="1" si="150"/>
        <v>0.86849315068493149</v>
      </c>
      <c r="AA646" s="116"/>
      <c r="AB646" s="117">
        <f t="shared" si="151"/>
        <v>19.873115148670649</v>
      </c>
      <c r="AC646" s="118">
        <f t="shared" si="152"/>
        <v>0.9113797978612771</v>
      </c>
      <c r="AE646" s="55"/>
      <c r="AF646" s="72"/>
      <c r="AG646" s="72"/>
      <c r="AH646" s="66"/>
      <c r="AJ646" t="s">
        <v>390</v>
      </c>
    </row>
    <row r="647" spans="1:36" ht="16" hidden="1" thickBot="1" x14ac:dyDescent="0.25">
      <c r="A647" s="119" t="s">
        <v>391</v>
      </c>
      <c r="B647" s="120" t="s">
        <v>1303</v>
      </c>
      <c r="C647" s="108" t="str">
        <f t="shared" si="153"/>
        <v>/Applications/Stellarium.app/Contents/Resources/nebulae/default/n4527.png</v>
      </c>
      <c r="D647" s="121" t="s">
        <v>2076</v>
      </c>
      <c r="E647" s="109"/>
      <c r="F647" s="122">
        <v>12</v>
      </c>
      <c r="G647" s="123">
        <v>34</v>
      </c>
      <c r="H647" s="122">
        <v>2</v>
      </c>
      <c r="I647" s="124">
        <v>34</v>
      </c>
      <c r="J647" s="112" t="s">
        <v>956</v>
      </c>
      <c r="K647" s="125">
        <v>13.4</v>
      </c>
      <c r="L647" s="196"/>
      <c r="M647" s="110">
        <f t="shared" si="154"/>
        <v>2.5666666666666664</v>
      </c>
      <c r="N647" s="111">
        <f t="shared" si="155"/>
        <v>40.346666666666664</v>
      </c>
      <c r="O647" s="112">
        <f t="shared" si="156"/>
        <v>12.566666666666666</v>
      </c>
      <c r="P647" s="113">
        <f t="shared" ca="1" si="157"/>
        <v>46465.770488000002</v>
      </c>
      <c r="Q647" s="114">
        <f t="shared" ca="1" si="158"/>
        <v>46480.770488000002</v>
      </c>
      <c r="R647" s="114" t="b">
        <f t="shared" ca="1" si="145"/>
        <v>1</v>
      </c>
      <c r="S647" s="115">
        <f t="shared" ca="1" si="146"/>
        <v>15</v>
      </c>
      <c r="T647" s="126">
        <f t="shared" ca="1" si="147"/>
        <v>46495.770488000002</v>
      </c>
      <c r="U647" s="127" t="str">
        <f t="shared" si="160"/>
        <v>S</v>
      </c>
      <c r="V647" s="128">
        <f t="shared" si="159"/>
        <v>40.346666666666664</v>
      </c>
      <c r="W647" s="129">
        <f t="shared" si="148"/>
        <v>40.346666666666664</v>
      </c>
      <c r="X647" s="197"/>
      <c r="Y647" s="115">
        <f t="shared" ca="1" si="149"/>
        <v>48</v>
      </c>
      <c r="Z647" s="118">
        <f t="shared" ca="1" si="150"/>
        <v>0.86849315068493149</v>
      </c>
      <c r="AA647" s="116"/>
      <c r="AB647" s="117">
        <f t="shared" si="151"/>
        <v>19.873115148670649</v>
      </c>
      <c r="AC647" s="118">
        <f t="shared" si="152"/>
        <v>0.9113797978612771</v>
      </c>
      <c r="AE647" s="55"/>
      <c r="AF647" s="72"/>
      <c r="AG647" s="72"/>
      <c r="AH647" s="66"/>
      <c r="AJ647" t="s">
        <v>391</v>
      </c>
    </row>
    <row r="648" spans="1:36" ht="16" hidden="1" thickBot="1" x14ac:dyDescent="0.25">
      <c r="A648" s="119" t="s">
        <v>392</v>
      </c>
      <c r="B648" s="120" t="s">
        <v>1269</v>
      </c>
      <c r="C648" s="108" t="str">
        <f t="shared" si="153"/>
        <v>/Applications/Stellarium.app/Contents/Resources/nebulae/default/n4535-vasey.png</v>
      </c>
      <c r="D648" s="121" t="s">
        <v>2077</v>
      </c>
      <c r="E648" s="109"/>
      <c r="F648" s="122">
        <v>12</v>
      </c>
      <c r="G648" s="123">
        <v>34</v>
      </c>
      <c r="H648" s="122">
        <v>8</v>
      </c>
      <c r="I648" s="124">
        <v>1</v>
      </c>
      <c r="J648" s="112" t="s">
        <v>957</v>
      </c>
      <c r="K648" s="125">
        <v>13.4</v>
      </c>
      <c r="L648" s="196"/>
      <c r="M648" s="110">
        <f t="shared" si="154"/>
        <v>8.0166666666666675</v>
      </c>
      <c r="N648" s="111">
        <f t="shared" si="155"/>
        <v>45.796666666666667</v>
      </c>
      <c r="O648" s="112">
        <f t="shared" si="156"/>
        <v>12.566666666666666</v>
      </c>
      <c r="P648" s="113">
        <f t="shared" ca="1" si="157"/>
        <v>46465.770488000002</v>
      </c>
      <c r="Q648" s="114">
        <f t="shared" ca="1" si="158"/>
        <v>46480.770488000002</v>
      </c>
      <c r="R648" s="114" t="b">
        <f t="shared" ca="1" si="145"/>
        <v>1</v>
      </c>
      <c r="S648" s="115">
        <f t="shared" ca="1" si="146"/>
        <v>15</v>
      </c>
      <c r="T648" s="126">
        <f t="shared" ca="1" si="147"/>
        <v>46495.770488000002</v>
      </c>
      <c r="U648" s="127" t="str">
        <f t="shared" si="160"/>
        <v>S</v>
      </c>
      <c r="V648" s="128">
        <f t="shared" si="159"/>
        <v>45.796666666666667</v>
      </c>
      <c r="W648" s="129">
        <f t="shared" si="148"/>
        <v>45.796666666666667</v>
      </c>
      <c r="X648" s="197"/>
      <c r="Y648" s="115">
        <f t="shared" ca="1" si="149"/>
        <v>48</v>
      </c>
      <c r="Z648" s="118">
        <f t="shared" ca="1" si="150"/>
        <v>0.86849315068493149</v>
      </c>
      <c r="AA648" s="116"/>
      <c r="AB648" s="117">
        <f t="shared" si="151"/>
        <v>19.873115148670649</v>
      </c>
      <c r="AC648" s="118">
        <f t="shared" si="152"/>
        <v>0.9113797978612771</v>
      </c>
      <c r="AE648" s="55"/>
      <c r="AF648" s="72"/>
      <c r="AG648" s="72"/>
      <c r="AH648" s="66"/>
      <c r="AJ648" t="s">
        <v>392</v>
      </c>
    </row>
    <row r="649" spans="1:36" ht="16" hidden="1" thickBot="1" x14ac:dyDescent="0.25">
      <c r="A649" s="119" t="s">
        <v>178</v>
      </c>
      <c r="B649" s="120" t="s">
        <v>1249</v>
      </c>
      <c r="C649" s="108" t="str">
        <f t="shared" si="153"/>
        <v>/Applications/Stellarium.app/Contents/Resources/nebulae/default/m91.png</v>
      </c>
      <c r="D649" s="121" t="s">
        <v>2078</v>
      </c>
      <c r="E649" s="109"/>
      <c r="F649" s="122">
        <v>12</v>
      </c>
      <c r="G649" s="123">
        <v>35</v>
      </c>
      <c r="H649" s="122">
        <v>14</v>
      </c>
      <c r="I649" s="124">
        <v>25</v>
      </c>
      <c r="J649" s="112" t="s">
        <v>753</v>
      </c>
      <c r="K649" s="125">
        <v>13.3</v>
      </c>
      <c r="L649" s="196"/>
      <c r="M649" s="110">
        <f t="shared" si="154"/>
        <v>14.416666666666666</v>
      </c>
      <c r="N649" s="111">
        <f t="shared" si="155"/>
        <v>52.196666666666665</v>
      </c>
      <c r="O649" s="112">
        <f t="shared" si="156"/>
        <v>12.583333333333334</v>
      </c>
      <c r="P649" s="113">
        <f t="shared" ca="1" si="157"/>
        <v>46466.024127999997</v>
      </c>
      <c r="Q649" s="114">
        <f t="shared" ca="1" si="158"/>
        <v>46481.024127999997</v>
      </c>
      <c r="R649" s="114" t="b">
        <f t="shared" ca="1" si="145"/>
        <v>1</v>
      </c>
      <c r="S649" s="115">
        <f t="shared" ca="1" si="146"/>
        <v>15</v>
      </c>
      <c r="T649" s="126">
        <f t="shared" ca="1" si="147"/>
        <v>46496.024127999997</v>
      </c>
      <c r="U649" s="127" t="str">
        <f t="shared" si="160"/>
        <v>S</v>
      </c>
      <c r="V649" s="128">
        <f t="shared" si="159"/>
        <v>52.196666666666665</v>
      </c>
      <c r="W649" s="129">
        <f t="shared" si="148"/>
        <v>52.196666666666665</v>
      </c>
      <c r="X649" s="197"/>
      <c r="Y649" s="115">
        <f t="shared" ca="1" si="149"/>
        <v>48</v>
      </c>
      <c r="Z649" s="118">
        <f t="shared" ca="1" si="150"/>
        <v>0.86849315068493149</v>
      </c>
      <c r="AA649" s="116"/>
      <c r="AB649" s="117">
        <f t="shared" si="151"/>
        <v>19.889736308109484</v>
      </c>
      <c r="AC649" s="118">
        <f t="shared" si="152"/>
        <v>0.91207234617122845</v>
      </c>
      <c r="AE649" s="55"/>
      <c r="AF649" s="72"/>
      <c r="AG649" s="72"/>
      <c r="AH649" s="66"/>
      <c r="AJ649" t="s">
        <v>178</v>
      </c>
    </row>
    <row r="650" spans="1:36" ht="16" hidden="1" thickBot="1" x14ac:dyDescent="0.25">
      <c r="A650" s="119" t="s">
        <v>176</v>
      </c>
      <c r="B650" s="120" t="s">
        <v>1247</v>
      </c>
      <c r="C650" s="108" t="str">
        <f t="shared" si="153"/>
        <v>/Applications/Stellarium.app/Contents/Resources/nebulae/default/m89.png</v>
      </c>
      <c r="D650" s="121" t="s">
        <v>2079</v>
      </c>
      <c r="E650" s="109"/>
      <c r="F650" s="122">
        <v>12</v>
      </c>
      <c r="G650" s="123">
        <v>36</v>
      </c>
      <c r="H650" s="122">
        <v>12</v>
      </c>
      <c r="I650" s="124">
        <v>27</v>
      </c>
      <c r="J650" s="112" t="s">
        <v>773</v>
      </c>
      <c r="K650" s="125">
        <v>12.7</v>
      </c>
      <c r="L650" s="196"/>
      <c r="M650" s="110">
        <f t="shared" si="154"/>
        <v>12.45</v>
      </c>
      <c r="N650" s="111">
        <f t="shared" si="155"/>
        <v>50.230000000000004</v>
      </c>
      <c r="O650" s="112">
        <f t="shared" si="156"/>
        <v>12.6</v>
      </c>
      <c r="P650" s="113">
        <f t="shared" ca="1" si="157"/>
        <v>46466.277768</v>
      </c>
      <c r="Q650" s="114">
        <f t="shared" ca="1" si="158"/>
        <v>46481.277768</v>
      </c>
      <c r="R650" s="114" t="b">
        <f t="shared" ca="1" si="145"/>
        <v>1</v>
      </c>
      <c r="S650" s="115">
        <f t="shared" ca="1" si="146"/>
        <v>15</v>
      </c>
      <c r="T650" s="126">
        <f t="shared" ca="1" si="147"/>
        <v>46496.277768</v>
      </c>
      <c r="U650" s="127" t="str">
        <f t="shared" si="160"/>
        <v>S</v>
      </c>
      <c r="V650" s="128">
        <f t="shared" si="159"/>
        <v>50.230000000000004</v>
      </c>
      <c r="W650" s="129">
        <f t="shared" si="148"/>
        <v>50.230000000000004</v>
      </c>
      <c r="X650" s="197"/>
      <c r="Y650" s="115">
        <f t="shared" ca="1" si="149"/>
        <v>48</v>
      </c>
      <c r="Z650" s="118">
        <f t="shared" ca="1" si="150"/>
        <v>0.86849315068493149</v>
      </c>
      <c r="AA650" s="116"/>
      <c r="AB650" s="117">
        <f t="shared" si="151"/>
        <v>19.906357467548315</v>
      </c>
      <c r="AC650" s="118">
        <f t="shared" si="152"/>
        <v>0.91276489448117981</v>
      </c>
      <c r="AE650" s="55"/>
      <c r="AF650" s="72"/>
      <c r="AG650" s="72"/>
      <c r="AH650" s="66"/>
      <c r="AJ650" t="s">
        <v>176</v>
      </c>
    </row>
    <row r="651" spans="1:36" ht="16" thickBot="1" x14ac:dyDescent="0.25">
      <c r="A651" s="119" t="s">
        <v>393</v>
      </c>
      <c r="B651" s="120" t="s">
        <v>1302</v>
      </c>
      <c r="C651" s="108" t="str">
        <f t="shared" si="153"/>
        <v>/Applications/Stellarium.app/Contents/Resources/nebulae/default/n4559-vasey.png</v>
      </c>
      <c r="D651" s="121" t="s">
        <v>2080</v>
      </c>
      <c r="E651" s="109"/>
      <c r="F651" s="122">
        <v>12</v>
      </c>
      <c r="G651" s="123">
        <v>36</v>
      </c>
      <c r="H651" s="122">
        <v>27</v>
      </c>
      <c r="I651" s="124">
        <v>50</v>
      </c>
      <c r="J651" s="112" t="s">
        <v>958</v>
      </c>
      <c r="K651" s="125">
        <v>13.4</v>
      </c>
      <c r="L651" s="196"/>
      <c r="M651" s="110">
        <f t="shared" si="154"/>
        <v>27.833333333333332</v>
      </c>
      <c r="N651" s="111">
        <f t="shared" si="155"/>
        <v>65.61333333333333</v>
      </c>
      <c r="O651" s="112">
        <f t="shared" si="156"/>
        <v>12.6</v>
      </c>
      <c r="P651" s="113">
        <f t="shared" ca="1" si="157"/>
        <v>46466.277768</v>
      </c>
      <c r="Q651" s="114">
        <f t="shared" ca="1" si="158"/>
        <v>46481.277768</v>
      </c>
      <c r="R651" s="114" t="b">
        <f t="shared" ref="R651:R654" ca="1" si="161">AND(Q651&gt;=DATE(YEAR(Q651),3,31)-WEEKDAY(DATE(YEAR(Q651),3,31),2),Q651&lt;DATE(YEAR(Q651),10,31)-WEEKDAY(DATE(YEAR(Q651),10,31),2))</f>
        <v>1</v>
      </c>
      <c r="S651" s="115">
        <f t="shared" ref="S651:S654" ca="1" si="162">IF(R651,15,0)</f>
        <v>15</v>
      </c>
      <c r="T651" s="126">
        <f t="shared" ref="T651:T654" ca="1" si="163">Q651+S651</f>
        <v>46496.277768</v>
      </c>
      <c r="U651" s="127" t="str">
        <f t="shared" si="160"/>
        <v>S</v>
      </c>
      <c r="V651" s="128">
        <f t="shared" si="159"/>
        <v>65.61333333333333</v>
      </c>
      <c r="W651" s="129">
        <f t="shared" ref="W651:W654" si="164">IF(M651&lt;&gt;0,V651,"")</f>
        <v>65.61333333333333</v>
      </c>
      <c r="X651" s="197"/>
      <c r="Y651" s="115">
        <f t="shared" ca="1" si="149"/>
        <v>48</v>
      </c>
      <c r="Z651" s="118">
        <f t="shared" ref="Z651:Z654" ca="1" si="165">$AB$5-Y651/365</f>
        <v>0.86849315068493149</v>
      </c>
      <c r="AA651" s="116"/>
      <c r="AB651" s="117">
        <f t="shared" si="151"/>
        <v>19.906357467548315</v>
      </c>
      <c r="AC651" s="118">
        <f t="shared" ref="AC651:AC654" si="166">(IF(M651&lt;&gt;0,MOD(AB651+AB$11,24)/24,""))</f>
        <v>0.91276489448117981</v>
      </c>
      <c r="AE651" s="55"/>
      <c r="AF651" s="72"/>
      <c r="AG651" s="72"/>
      <c r="AH651" s="66"/>
      <c r="AJ651" t="s">
        <v>393</v>
      </c>
    </row>
    <row r="652" spans="1:36" x14ac:dyDescent="0.2">
      <c r="A652" s="119" t="s">
        <v>81</v>
      </c>
      <c r="B652" s="120" t="s">
        <v>1302</v>
      </c>
      <c r="C652" s="108" t="str">
        <f t="shared" ref="C652:C654" si="167">CONCATENATE(A$9&amp;D652)</f>
        <v>/Applications/Stellarium.app/Contents/Resources/nebulae/default/n4565.png</v>
      </c>
      <c r="D652" s="121" t="s">
        <v>2081</v>
      </c>
      <c r="E652" s="109"/>
      <c r="F652" s="122">
        <v>12</v>
      </c>
      <c r="G652" s="123">
        <v>36</v>
      </c>
      <c r="H652" s="122">
        <v>25</v>
      </c>
      <c r="I652" s="124">
        <v>48</v>
      </c>
      <c r="J652" s="112" t="s">
        <v>959</v>
      </c>
      <c r="K652" s="125">
        <v>13.8</v>
      </c>
      <c r="L652" s="196"/>
      <c r="M652" s="110">
        <f t="shared" ref="M652:M715" si="168">H652+I652/60</f>
        <v>25.8</v>
      </c>
      <c r="N652" s="111">
        <f t="shared" ref="N652:N715" si="169">90-$B$6+M652</f>
        <v>63.58</v>
      </c>
      <c r="O652" s="112">
        <f t="shared" ref="O652:O715" si="170">F652+G652/60</f>
        <v>12.6</v>
      </c>
      <c r="P652" s="113">
        <f t="shared" ref="P652:P715" ca="1" si="171">DATE(YEAR(TODAY()),3,21)+MOD(O652-12-$B$7/15,24)*15.2184</f>
        <v>46466.277768</v>
      </c>
      <c r="Q652" s="114">
        <f t="shared" ref="Q652:Q715" ca="1" si="172">DATE(YEAR(TODAY()),3,21)+MOD(O652-12-$B$7/15,24)*15.2184+15</f>
        <v>46481.277768</v>
      </c>
      <c r="R652" s="114" t="b">
        <f t="shared" ca="1" si="161"/>
        <v>1</v>
      </c>
      <c r="S652" s="115">
        <f t="shared" ca="1" si="162"/>
        <v>15</v>
      </c>
      <c r="T652" s="126">
        <f t="shared" ca="1" si="163"/>
        <v>46496.277768</v>
      </c>
      <c r="U652" s="127" t="str">
        <f t="shared" si="160"/>
        <v>S</v>
      </c>
      <c r="V652" s="128">
        <f t="shared" ref="V652:V715" si="173">IF(90-B$6+M652&gt;90,180-90+B$6-M652,90-B$6+M652)</f>
        <v>63.58</v>
      </c>
      <c r="W652" s="129">
        <f t="shared" si="164"/>
        <v>63.58</v>
      </c>
      <c r="X652" s="197"/>
      <c r="Y652" s="115">
        <f t="shared" ca="1" si="149"/>
        <v>48</v>
      </c>
      <c r="Z652" s="118">
        <f t="shared" ca="1" si="165"/>
        <v>0.86849315068493149</v>
      </c>
      <c r="AA652" s="116"/>
      <c r="AB652" s="117">
        <f t="shared" si="151"/>
        <v>19.906357467548315</v>
      </c>
      <c r="AC652" s="118">
        <f t="shared" si="166"/>
        <v>0.91276489448117981</v>
      </c>
      <c r="AE652" s="55"/>
      <c r="AF652" s="72"/>
      <c r="AG652" s="72"/>
      <c r="AH652" s="66"/>
      <c r="AJ652" t="s">
        <v>81</v>
      </c>
    </row>
    <row r="653" spans="1:36" ht="16" hidden="1" thickBot="1" x14ac:dyDescent="0.25">
      <c r="A653" s="119" t="s">
        <v>394</v>
      </c>
      <c r="B653" s="120" t="s">
        <v>1304</v>
      </c>
      <c r="C653" s="108" t="str">
        <f t="shared" si="167"/>
        <v>/Applications/Stellarium.app/Contents/Resources/nebulae/default/n4567.png</v>
      </c>
      <c r="D653" s="121" t="s">
        <v>2082</v>
      </c>
      <c r="E653" s="109"/>
      <c r="F653" s="122">
        <v>12</v>
      </c>
      <c r="G653" s="123">
        <v>36</v>
      </c>
      <c r="H653" s="122">
        <v>11</v>
      </c>
      <c r="I653" s="124">
        <v>11</v>
      </c>
      <c r="J653" s="112" t="s">
        <v>960</v>
      </c>
      <c r="K653" s="125">
        <v>14.6</v>
      </c>
      <c r="L653" s="196"/>
      <c r="M653" s="110">
        <f t="shared" si="168"/>
        <v>11.183333333333334</v>
      </c>
      <c r="N653" s="111">
        <f t="shared" si="169"/>
        <v>48.963333333333338</v>
      </c>
      <c r="O653" s="112">
        <f t="shared" si="170"/>
        <v>12.6</v>
      </c>
      <c r="P653" s="113">
        <f t="shared" ca="1" si="171"/>
        <v>46466.277768</v>
      </c>
      <c r="Q653" s="114">
        <f t="shared" ca="1" si="172"/>
        <v>46481.277768</v>
      </c>
      <c r="R653" s="114" t="b">
        <f t="shared" ca="1" si="161"/>
        <v>1</v>
      </c>
      <c r="S653" s="115">
        <f t="shared" ca="1" si="162"/>
        <v>15</v>
      </c>
      <c r="T653" s="126">
        <f t="shared" ca="1" si="163"/>
        <v>46496.277768</v>
      </c>
      <c r="U653" s="127" t="str">
        <f t="shared" si="160"/>
        <v>S</v>
      </c>
      <c r="V653" s="128">
        <f t="shared" si="173"/>
        <v>48.963333333333338</v>
      </c>
      <c r="W653" s="129">
        <f t="shared" si="164"/>
        <v>48.963333333333338</v>
      </c>
      <c r="X653" s="197"/>
      <c r="Y653" s="115">
        <f t="shared" ca="1" si="149"/>
        <v>48</v>
      </c>
      <c r="Z653" s="118">
        <f t="shared" ca="1" si="165"/>
        <v>0.86849315068493149</v>
      </c>
      <c r="AA653" s="116"/>
      <c r="AB653" s="117">
        <f t="shared" si="151"/>
        <v>19.906357467548315</v>
      </c>
      <c r="AC653" s="118">
        <f t="shared" si="166"/>
        <v>0.91276489448117981</v>
      </c>
      <c r="AE653" s="55"/>
      <c r="AF653" s="72"/>
      <c r="AG653" s="72"/>
      <c r="AH653" s="66"/>
      <c r="AJ653" t="s">
        <v>394</v>
      </c>
    </row>
    <row r="654" spans="1:36" ht="15.75" hidden="1" customHeight="1" thickBot="1" x14ac:dyDescent="0.25">
      <c r="A654" s="133" t="s">
        <v>177</v>
      </c>
      <c r="B654" s="134" t="s">
        <v>1248</v>
      </c>
      <c r="C654" s="135" t="str">
        <f t="shared" si="167"/>
        <v>/Applications/Stellarium.app/Contents/Resources/nebulae/default/m90.png</v>
      </c>
      <c r="D654" s="136" t="s">
        <v>2083</v>
      </c>
      <c r="E654" s="109"/>
      <c r="F654" s="122">
        <v>12</v>
      </c>
      <c r="G654" s="123">
        <v>37</v>
      </c>
      <c r="H654" s="122">
        <v>13</v>
      </c>
      <c r="I654" s="124">
        <v>3</v>
      </c>
      <c r="J654" s="112" t="s">
        <v>774</v>
      </c>
      <c r="K654" s="125">
        <v>13</v>
      </c>
      <c r="L654" s="196"/>
      <c r="M654" s="110">
        <f t="shared" si="168"/>
        <v>13.05</v>
      </c>
      <c r="N654" s="111">
        <f t="shared" si="169"/>
        <v>50.83</v>
      </c>
      <c r="O654" s="112">
        <f t="shared" si="170"/>
        <v>12.616666666666667</v>
      </c>
      <c r="P654" s="113">
        <f t="shared" ca="1" si="171"/>
        <v>46466.531408000003</v>
      </c>
      <c r="Q654" s="114">
        <f t="shared" ca="1" si="172"/>
        <v>46481.531408000003</v>
      </c>
      <c r="R654" s="114" t="b">
        <f t="shared" ca="1" si="161"/>
        <v>1</v>
      </c>
      <c r="S654" s="115">
        <f t="shared" ca="1" si="162"/>
        <v>15</v>
      </c>
      <c r="T654" s="126">
        <f t="shared" ca="1" si="163"/>
        <v>46496.531408000003</v>
      </c>
      <c r="U654" s="127" t="str">
        <f t="shared" si="160"/>
        <v>S</v>
      </c>
      <c r="V654" s="128">
        <f t="shared" si="173"/>
        <v>50.83</v>
      </c>
      <c r="W654" s="129">
        <f t="shared" si="164"/>
        <v>50.83</v>
      </c>
      <c r="X654" s="197"/>
      <c r="Y654" s="115">
        <f t="shared" ca="1" si="149"/>
        <v>47</v>
      </c>
      <c r="Z654" s="118">
        <f t="shared" ca="1" si="165"/>
        <v>0.87123287671232874</v>
      </c>
      <c r="AA654" s="116"/>
      <c r="AB654" s="117">
        <f t="shared" si="151"/>
        <v>19.922978626987145</v>
      </c>
      <c r="AC654" s="118">
        <f t="shared" si="166"/>
        <v>0.91345744279113106</v>
      </c>
      <c r="AE654" s="55"/>
      <c r="AF654" s="72"/>
      <c r="AG654" s="72"/>
      <c r="AH654" s="66"/>
      <c r="AJ654" t="s">
        <v>177</v>
      </c>
    </row>
    <row r="655" spans="1:36" hidden="1" x14ac:dyDescent="0.2">
      <c r="A655" s="137" t="s">
        <v>2092</v>
      </c>
      <c r="B655" s="138"/>
      <c r="C655" s="139"/>
      <c r="D655" s="138"/>
      <c r="E655" s="140"/>
      <c r="F655" s="122"/>
      <c r="G655" s="123"/>
      <c r="H655" s="122"/>
      <c r="I655" s="124"/>
      <c r="J655" s="112"/>
      <c r="K655" s="125"/>
      <c r="L655" s="196"/>
      <c r="M655" s="110">
        <f t="shared" si="168"/>
        <v>0</v>
      </c>
      <c r="N655" s="111">
        <f t="shared" si="169"/>
        <v>37.78</v>
      </c>
      <c r="O655" s="112">
        <f t="shared" si="170"/>
        <v>0</v>
      </c>
      <c r="P655" s="113">
        <f t="shared" ca="1" si="171"/>
        <v>46274.525928000003</v>
      </c>
      <c r="Q655" s="114">
        <f t="shared" ca="1" si="172"/>
        <v>46289.525928000003</v>
      </c>
      <c r="R655" s="114" t="b">
        <f t="shared" ref="R655:R703" ca="1" si="174">AND(Q655&gt;=DATE(YEAR(Q655),3,31)-WEEKDAY(DATE(YEAR(Q655),3,31),2),Q655&lt;DATE(YEAR(Q655),10,31)-WEEKDAY(DATE(YEAR(Q655),10,31),2))</f>
        <v>1</v>
      </c>
      <c r="S655" s="115">
        <f t="shared" ref="S655:S703" ca="1" si="175">IF(R655,15,0)</f>
        <v>15</v>
      </c>
      <c r="T655" s="126">
        <f t="shared" ref="T655:T703" ca="1" si="176">Q655+S655</f>
        <v>46304.525928000003</v>
      </c>
      <c r="U655" s="127" t="s">
        <v>83</v>
      </c>
      <c r="V655" s="128">
        <f t="shared" si="173"/>
        <v>37.78</v>
      </c>
      <c r="W655" s="129" t="str">
        <f t="shared" ref="W655:W703" si="177">IF(M655&gt;0,V655,"")</f>
        <v/>
      </c>
      <c r="X655" s="197"/>
      <c r="Y655" s="115">
        <f t="shared" ref="Y655:Y735" ca="1" si="178">INT(IF(AC$7&gt;T655,AC$7-T655,AC$7+365-T655)+0.5)+S655</f>
        <v>239</v>
      </c>
      <c r="Z655" s="118">
        <f t="shared" ref="Z655:Z715" ca="1" si="179">$AB$5-Y655/365</f>
        <v>0.34520547945205482</v>
      </c>
      <c r="AA655" s="116"/>
      <c r="AB655" s="117">
        <f t="shared" ref="AB655:AB735" si="180">MOD(O655-AB$10,24)/1.00273790935</f>
        <v>7.3407609317918876</v>
      </c>
      <c r="AC655" s="118" t="str">
        <f t="shared" ref="AC655:AC703" si="181">(IF(M655&gt;0,MOD(AB655+AB$11,24)/24,""))</f>
        <v/>
      </c>
      <c r="AE655" s="55"/>
      <c r="AF655" s="72"/>
      <c r="AG655" s="72"/>
      <c r="AH655" s="66"/>
    </row>
    <row r="656" spans="1:36" ht="16" hidden="1" thickBot="1" x14ac:dyDescent="0.25">
      <c r="A656" s="82"/>
      <c r="B656" s="62"/>
      <c r="C656" s="87"/>
      <c r="D656" s="62"/>
      <c r="F656" s="55"/>
      <c r="G656" s="56"/>
      <c r="H656" s="55"/>
      <c r="I656" s="57"/>
      <c r="J656" s="65"/>
      <c r="K656" s="66"/>
      <c r="L656" s="132"/>
      <c r="M656" s="43">
        <f t="shared" si="168"/>
        <v>0</v>
      </c>
      <c r="N656" s="49">
        <f t="shared" si="169"/>
        <v>37.78</v>
      </c>
      <c r="O656" s="42">
        <f t="shared" si="170"/>
        <v>0</v>
      </c>
      <c r="P656" s="48">
        <f t="shared" ca="1" si="171"/>
        <v>46274.525928000003</v>
      </c>
      <c r="Q656" s="41">
        <f t="shared" ca="1" si="172"/>
        <v>46289.525928000003</v>
      </c>
      <c r="R656" s="41" t="b">
        <f t="shared" ca="1" si="174"/>
        <v>1</v>
      </c>
      <c r="S656" s="44">
        <f t="shared" ca="1" si="175"/>
        <v>15</v>
      </c>
      <c r="T656" s="74">
        <f t="shared" ca="1" si="176"/>
        <v>46304.525928000003</v>
      </c>
      <c r="U656" s="75" t="s">
        <v>83</v>
      </c>
      <c r="V656" s="76">
        <f t="shared" si="173"/>
        <v>37.78</v>
      </c>
      <c r="W656" s="77" t="str">
        <f t="shared" si="177"/>
        <v/>
      </c>
      <c r="Y656" s="51">
        <f t="shared" ca="1" si="178"/>
        <v>239</v>
      </c>
      <c r="Z656" s="52">
        <f t="shared" ca="1" si="179"/>
        <v>0.34520547945205482</v>
      </c>
      <c r="AB656" s="46">
        <f t="shared" si="180"/>
        <v>7.3407609317918876</v>
      </c>
      <c r="AC656" s="83" t="str">
        <f t="shared" si="181"/>
        <v/>
      </c>
      <c r="AE656" s="55"/>
      <c r="AF656" s="72"/>
      <c r="AG656" s="72"/>
      <c r="AH656" s="66"/>
    </row>
    <row r="657" spans="1:34" ht="16" hidden="1" thickBot="1" x14ac:dyDescent="0.25">
      <c r="A657" s="82"/>
      <c r="B657" s="62"/>
      <c r="C657" s="87"/>
      <c r="D657" s="62"/>
      <c r="F657" s="55"/>
      <c r="G657" s="56"/>
      <c r="H657" s="55"/>
      <c r="I657" s="57"/>
      <c r="J657" s="65"/>
      <c r="K657" s="66"/>
      <c r="L657" s="132"/>
      <c r="M657" s="43">
        <f t="shared" si="168"/>
        <v>0</v>
      </c>
      <c r="N657" s="49">
        <f t="shared" si="169"/>
        <v>37.78</v>
      </c>
      <c r="O657" s="42">
        <f t="shared" si="170"/>
        <v>0</v>
      </c>
      <c r="P657" s="48">
        <f t="shared" ca="1" si="171"/>
        <v>46274.525928000003</v>
      </c>
      <c r="Q657" s="41">
        <f t="shared" ca="1" si="172"/>
        <v>46289.525928000003</v>
      </c>
      <c r="R657" s="41" t="b">
        <f t="shared" ca="1" si="174"/>
        <v>1</v>
      </c>
      <c r="S657" s="44">
        <f t="shared" ca="1" si="175"/>
        <v>15</v>
      </c>
      <c r="T657" s="74">
        <f t="shared" ca="1" si="176"/>
        <v>46304.525928000003</v>
      </c>
      <c r="U657" s="75" t="s">
        <v>83</v>
      </c>
      <c r="V657" s="76">
        <f t="shared" si="173"/>
        <v>37.78</v>
      </c>
      <c r="W657" s="77" t="str">
        <f t="shared" si="177"/>
        <v/>
      </c>
      <c r="Y657" s="51">
        <f t="shared" ca="1" si="178"/>
        <v>239</v>
      </c>
      <c r="Z657" s="52">
        <f t="shared" ca="1" si="179"/>
        <v>0.34520547945205482</v>
      </c>
      <c r="AB657" s="46">
        <f t="shared" si="180"/>
        <v>7.3407609317918876</v>
      </c>
      <c r="AC657" s="83" t="str">
        <f t="shared" si="181"/>
        <v/>
      </c>
      <c r="AE657" s="55"/>
      <c r="AF657" s="72"/>
      <c r="AG657" s="72"/>
      <c r="AH657" s="66"/>
    </row>
    <row r="658" spans="1:34" ht="16" hidden="1" thickBot="1" x14ac:dyDescent="0.25">
      <c r="A658" s="82"/>
      <c r="B658" s="62"/>
      <c r="C658" s="87"/>
      <c r="D658" s="62"/>
      <c r="F658" s="55"/>
      <c r="G658" s="56"/>
      <c r="H658" s="55"/>
      <c r="I658" s="57"/>
      <c r="J658" s="65"/>
      <c r="K658" s="66"/>
      <c r="L658" s="132"/>
      <c r="M658" s="43">
        <f t="shared" si="168"/>
        <v>0</v>
      </c>
      <c r="N658" s="49">
        <f t="shared" si="169"/>
        <v>37.78</v>
      </c>
      <c r="O658" s="42">
        <f t="shared" si="170"/>
        <v>0</v>
      </c>
      <c r="P658" s="48">
        <f t="shared" ca="1" si="171"/>
        <v>46274.525928000003</v>
      </c>
      <c r="Q658" s="41">
        <f t="shared" ca="1" si="172"/>
        <v>46289.525928000003</v>
      </c>
      <c r="R658" s="41" t="b">
        <f t="shared" ca="1" si="174"/>
        <v>1</v>
      </c>
      <c r="S658" s="44">
        <f t="shared" ca="1" si="175"/>
        <v>15</v>
      </c>
      <c r="T658" s="74">
        <f t="shared" ca="1" si="176"/>
        <v>46304.525928000003</v>
      </c>
      <c r="U658" s="75" t="s">
        <v>83</v>
      </c>
      <c r="V658" s="76">
        <f t="shared" si="173"/>
        <v>37.78</v>
      </c>
      <c r="W658" s="77" t="str">
        <f t="shared" si="177"/>
        <v/>
      </c>
      <c r="Y658" s="51">
        <f t="shared" ca="1" si="178"/>
        <v>239</v>
      </c>
      <c r="Z658" s="52">
        <f t="shared" ca="1" si="179"/>
        <v>0.34520547945205482</v>
      </c>
      <c r="AB658" s="46">
        <f t="shared" si="180"/>
        <v>7.3407609317918876</v>
      </c>
      <c r="AC658" s="83" t="str">
        <f t="shared" si="181"/>
        <v/>
      </c>
      <c r="AE658" s="55"/>
      <c r="AF658" s="72"/>
      <c r="AG658" s="72"/>
      <c r="AH658" s="66"/>
    </row>
    <row r="659" spans="1:34" ht="16" hidden="1" thickBot="1" x14ac:dyDescent="0.25">
      <c r="A659" s="82"/>
      <c r="B659" s="62"/>
      <c r="C659" s="87"/>
      <c r="D659" s="62"/>
      <c r="F659" s="55"/>
      <c r="G659" s="56"/>
      <c r="H659" s="55"/>
      <c r="I659" s="57"/>
      <c r="J659" s="65"/>
      <c r="K659" s="66"/>
      <c r="L659" s="132"/>
      <c r="M659" s="43">
        <f t="shared" si="168"/>
        <v>0</v>
      </c>
      <c r="N659" s="49">
        <f t="shared" si="169"/>
        <v>37.78</v>
      </c>
      <c r="O659" s="42">
        <f t="shared" si="170"/>
        <v>0</v>
      </c>
      <c r="P659" s="48">
        <f t="shared" ca="1" si="171"/>
        <v>46274.525928000003</v>
      </c>
      <c r="Q659" s="41">
        <f t="shared" ca="1" si="172"/>
        <v>46289.525928000003</v>
      </c>
      <c r="R659" s="41" t="b">
        <f t="shared" ca="1" si="174"/>
        <v>1</v>
      </c>
      <c r="S659" s="44">
        <f t="shared" ca="1" si="175"/>
        <v>15</v>
      </c>
      <c r="T659" s="74">
        <f t="shared" ca="1" si="176"/>
        <v>46304.525928000003</v>
      </c>
      <c r="U659" s="75" t="s">
        <v>83</v>
      </c>
      <c r="V659" s="76">
        <f t="shared" si="173"/>
        <v>37.78</v>
      </c>
      <c r="W659" s="77" t="str">
        <f t="shared" si="177"/>
        <v/>
      </c>
      <c r="Y659" s="51">
        <f t="shared" ca="1" si="178"/>
        <v>239</v>
      </c>
      <c r="Z659" s="52">
        <f t="shared" ca="1" si="179"/>
        <v>0.34520547945205482</v>
      </c>
      <c r="AB659" s="46">
        <f t="shared" si="180"/>
        <v>7.3407609317918876</v>
      </c>
      <c r="AC659" s="83" t="str">
        <f t="shared" si="181"/>
        <v/>
      </c>
      <c r="AE659" s="55"/>
      <c r="AF659" s="72"/>
      <c r="AG659" s="72"/>
      <c r="AH659" s="66"/>
    </row>
    <row r="660" spans="1:34" ht="16" hidden="1" thickBot="1" x14ac:dyDescent="0.25">
      <c r="A660" s="82"/>
      <c r="B660" s="62"/>
      <c r="C660" s="87"/>
      <c r="D660" s="62"/>
      <c r="F660" s="55"/>
      <c r="G660" s="56"/>
      <c r="H660" s="55"/>
      <c r="I660" s="57"/>
      <c r="J660" s="65"/>
      <c r="K660" s="66"/>
      <c r="L660" s="132"/>
      <c r="M660" s="43">
        <f t="shared" si="168"/>
        <v>0</v>
      </c>
      <c r="N660" s="49">
        <f t="shared" si="169"/>
        <v>37.78</v>
      </c>
      <c r="O660" s="42">
        <f t="shared" si="170"/>
        <v>0</v>
      </c>
      <c r="P660" s="48">
        <f t="shared" ca="1" si="171"/>
        <v>46274.525928000003</v>
      </c>
      <c r="Q660" s="41">
        <f t="shared" ca="1" si="172"/>
        <v>46289.525928000003</v>
      </c>
      <c r="R660" s="41" t="b">
        <f t="shared" ca="1" si="174"/>
        <v>1</v>
      </c>
      <c r="S660" s="44">
        <f t="shared" ca="1" si="175"/>
        <v>15</v>
      </c>
      <c r="T660" s="74">
        <f t="shared" ca="1" si="176"/>
        <v>46304.525928000003</v>
      </c>
      <c r="U660" s="75" t="s">
        <v>83</v>
      </c>
      <c r="V660" s="76">
        <f t="shared" si="173"/>
        <v>37.78</v>
      </c>
      <c r="W660" s="77" t="str">
        <f t="shared" si="177"/>
        <v/>
      </c>
      <c r="Y660" s="51">
        <f t="shared" ca="1" si="178"/>
        <v>239</v>
      </c>
      <c r="Z660" s="52">
        <f t="shared" ca="1" si="179"/>
        <v>0.34520547945205482</v>
      </c>
      <c r="AB660" s="46">
        <f t="shared" si="180"/>
        <v>7.3407609317918876</v>
      </c>
      <c r="AC660" s="83" t="str">
        <f t="shared" si="181"/>
        <v/>
      </c>
      <c r="AE660" s="55"/>
      <c r="AF660" s="72"/>
      <c r="AG660" s="72"/>
      <c r="AH660" s="66"/>
    </row>
    <row r="661" spans="1:34" ht="16" hidden="1" thickBot="1" x14ac:dyDescent="0.25">
      <c r="A661" s="82"/>
      <c r="B661" s="62"/>
      <c r="C661" s="87"/>
      <c r="D661" s="62"/>
      <c r="F661" s="55"/>
      <c r="G661" s="56"/>
      <c r="H661" s="55"/>
      <c r="I661" s="57"/>
      <c r="J661" s="65"/>
      <c r="K661" s="66"/>
      <c r="L661" s="132"/>
      <c r="M661" s="43">
        <f t="shared" si="168"/>
        <v>0</v>
      </c>
      <c r="N661" s="49">
        <f t="shared" si="169"/>
        <v>37.78</v>
      </c>
      <c r="O661" s="42">
        <f t="shared" si="170"/>
        <v>0</v>
      </c>
      <c r="P661" s="48">
        <f t="shared" ca="1" si="171"/>
        <v>46274.525928000003</v>
      </c>
      <c r="Q661" s="41">
        <f t="shared" ca="1" si="172"/>
        <v>46289.525928000003</v>
      </c>
      <c r="R661" s="41" t="b">
        <f t="shared" ca="1" si="174"/>
        <v>1</v>
      </c>
      <c r="S661" s="44">
        <f t="shared" ca="1" si="175"/>
        <v>15</v>
      </c>
      <c r="T661" s="74">
        <f t="shared" ca="1" si="176"/>
        <v>46304.525928000003</v>
      </c>
      <c r="U661" s="75" t="s">
        <v>83</v>
      </c>
      <c r="V661" s="76">
        <f t="shared" si="173"/>
        <v>37.78</v>
      </c>
      <c r="W661" s="77" t="str">
        <f t="shared" si="177"/>
        <v/>
      </c>
      <c r="Y661" s="51">
        <f t="shared" ca="1" si="178"/>
        <v>239</v>
      </c>
      <c r="Z661" s="52">
        <f t="shared" ca="1" si="179"/>
        <v>0.34520547945205482</v>
      </c>
      <c r="AB661" s="46">
        <f t="shared" si="180"/>
        <v>7.3407609317918876</v>
      </c>
      <c r="AC661" s="83" t="str">
        <f t="shared" si="181"/>
        <v/>
      </c>
      <c r="AE661" s="55"/>
      <c r="AF661" s="72"/>
      <c r="AG661" s="72"/>
      <c r="AH661" s="66"/>
    </row>
    <row r="662" spans="1:34" ht="16" hidden="1" thickBot="1" x14ac:dyDescent="0.25">
      <c r="A662" s="82"/>
      <c r="B662" s="62"/>
      <c r="C662" s="87"/>
      <c r="D662" s="62"/>
      <c r="F662" s="55"/>
      <c r="G662" s="56"/>
      <c r="H662" s="55"/>
      <c r="I662" s="57"/>
      <c r="J662" s="65"/>
      <c r="K662" s="66"/>
      <c r="L662" s="132"/>
      <c r="M662" s="43">
        <f t="shared" si="168"/>
        <v>0</v>
      </c>
      <c r="N662" s="49">
        <f t="shared" si="169"/>
        <v>37.78</v>
      </c>
      <c r="O662" s="42">
        <f t="shared" si="170"/>
        <v>0</v>
      </c>
      <c r="P662" s="48">
        <f t="shared" ca="1" si="171"/>
        <v>46274.525928000003</v>
      </c>
      <c r="Q662" s="41">
        <f t="shared" ca="1" si="172"/>
        <v>46289.525928000003</v>
      </c>
      <c r="R662" s="41" t="b">
        <f t="shared" ca="1" si="174"/>
        <v>1</v>
      </c>
      <c r="S662" s="44">
        <f t="shared" ca="1" si="175"/>
        <v>15</v>
      </c>
      <c r="T662" s="74">
        <f t="shared" ca="1" si="176"/>
        <v>46304.525928000003</v>
      </c>
      <c r="U662" s="75" t="s">
        <v>83</v>
      </c>
      <c r="V662" s="76">
        <f t="shared" si="173"/>
        <v>37.78</v>
      </c>
      <c r="W662" s="77" t="str">
        <f t="shared" si="177"/>
        <v/>
      </c>
      <c r="Y662" s="51">
        <f t="shared" ca="1" si="178"/>
        <v>239</v>
      </c>
      <c r="Z662" s="52">
        <f t="shared" ca="1" si="179"/>
        <v>0.34520547945205482</v>
      </c>
      <c r="AB662" s="46">
        <f t="shared" si="180"/>
        <v>7.3407609317918876</v>
      </c>
      <c r="AC662" s="83" t="str">
        <f t="shared" si="181"/>
        <v/>
      </c>
      <c r="AE662" s="55"/>
      <c r="AF662" s="72"/>
      <c r="AG662" s="72"/>
      <c r="AH662" s="66"/>
    </row>
    <row r="663" spans="1:34" ht="16" hidden="1" thickBot="1" x14ac:dyDescent="0.25">
      <c r="A663" s="82"/>
      <c r="B663" s="62"/>
      <c r="C663" s="87"/>
      <c r="D663" s="62"/>
      <c r="F663" s="55"/>
      <c r="G663" s="56"/>
      <c r="H663" s="55"/>
      <c r="I663" s="57"/>
      <c r="J663" s="65"/>
      <c r="K663" s="66"/>
      <c r="L663" s="132"/>
      <c r="M663" s="43">
        <f t="shared" si="168"/>
        <v>0</v>
      </c>
      <c r="N663" s="49">
        <f t="shared" si="169"/>
        <v>37.78</v>
      </c>
      <c r="O663" s="42">
        <f t="shared" si="170"/>
        <v>0</v>
      </c>
      <c r="P663" s="48">
        <f t="shared" ca="1" si="171"/>
        <v>46274.525928000003</v>
      </c>
      <c r="Q663" s="41">
        <f t="shared" ca="1" si="172"/>
        <v>46289.525928000003</v>
      </c>
      <c r="R663" s="41" t="b">
        <f t="shared" ca="1" si="174"/>
        <v>1</v>
      </c>
      <c r="S663" s="44">
        <f t="shared" ca="1" si="175"/>
        <v>15</v>
      </c>
      <c r="T663" s="74">
        <f t="shared" ca="1" si="176"/>
        <v>46304.525928000003</v>
      </c>
      <c r="U663" s="75" t="s">
        <v>83</v>
      </c>
      <c r="V663" s="76">
        <f t="shared" si="173"/>
        <v>37.78</v>
      </c>
      <c r="W663" s="77" t="str">
        <f t="shared" si="177"/>
        <v/>
      </c>
      <c r="Y663" s="51">
        <f t="shared" ca="1" si="178"/>
        <v>239</v>
      </c>
      <c r="Z663" s="52">
        <f t="shared" ca="1" si="179"/>
        <v>0.34520547945205482</v>
      </c>
      <c r="AB663" s="46">
        <f t="shared" si="180"/>
        <v>7.3407609317918876</v>
      </c>
      <c r="AC663" s="83" t="str">
        <f t="shared" si="181"/>
        <v/>
      </c>
      <c r="AE663" s="55"/>
      <c r="AF663" s="72"/>
      <c r="AG663" s="72"/>
      <c r="AH663" s="66"/>
    </row>
    <row r="664" spans="1:34" ht="16" hidden="1" thickBot="1" x14ac:dyDescent="0.25">
      <c r="A664" s="82"/>
      <c r="B664" s="62"/>
      <c r="C664" s="87"/>
      <c r="D664" s="62"/>
      <c r="F664" s="55"/>
      <c r="G664" s="56"/>
      <c r="H664" s="55"/>
      <c r="I664" s="57"/>
      <c r="J664" s="65"/>
      <c r="K664" s="66"/>
      <c r="L664" s="132"/>
      <c r="M664" s="43">
        <f t="shared" si="168"/>
        <v>0</v>
      </c>
      <c r="N664" s="49">
        <f t="shared" si="169"/>
        <v>37.78</v>
      </c>
      <c r="O664" s="42">
        <f t="shared" si="170"/>
        <v>0</v>
      </c>
      <c r="P664" s="48">
        <f t="shared" ca="1" si="171"/>
        <v>46274.525928000003</v>
      </c>
      <c r="Q664" s="41">
        <f t="shared" ca="1" si="172"/>
        <v>46289.525928000003</v>
      </c>
      <c r="R664" s="41" t="b">
        <f t="shared" ca="1" si="174"/>
        <v>1</v>
      </c>
      <c r="S664" s="44">
        <f t="shared" ca="1" si="175"/>
        <v>15</v>
      </c>
      <c r="T664" s="74">
        <f t="shared" ca="1" si="176"/>
        <v>46304.525928000003</v>
      </c>
      <c r="U664" s="75" t="s">
        <v>83</v>
      </c>
      <c r="V664" s="76">
        <f t="shared" si="173"/>
        <v>37.78</v>
      </c>
      <c r="W664" s="77" t="str">
        <f t="shared" si="177"/>
        <v/>
      </c>
      <c r="Y664" s="51">
        <f t="shared" ca="1" si="178"/>
        <v>239</v>
      </c>
      <c r="Z664" s="52">
        <f t="shared" ca="1" si="179"/>
        <v>0.34520547945205482</v>
      </c>
      <c r="AB664" s="46">
        <f t="shared" si="180"/>
        <v>7.3407609317918876</v>
      </c>
      <c r="AC664" s="83" t="str">
        <f t="shared" si="181"/>
        <v/>
      </c>
      <c r="AE664" s="55"/>
      <c r="AF664" s="72"/>
      <c r="AG664" s="72"/>
      <c r="AH664" s="66"/>
    </row>
    <row r="665" spans="1:34" ht="16" hidden="1" thickBot="1" x14ac:dyDescent="0.25">
      <c r="A665" s="82"/>
      <c r="B665" s="62"/>
      <c r="C665" s="87"/>
      <c r="D665" s="62"/>
      <c r="F665" s="55"/>
      <c r="G665" s="56"/>
      <c r="H665" s="55"/>
      <c r="I665" s="57"/>
      <c r="J665" s="65"/>
      <c r="K665" s="66"/>
      <c r="L665" s="132"/>
      <c r="M665" s="43">
        <f t="shared" si="168"/>
        <v>0</v>
      </c>
      <c r="N665" s="49">
        <f t="shared" si="169"/>
        <v>37.78</v>
      </c>
      <c r="O665" s="42">
        <f t="shared" si="170"/>
        <v>0</v>
      </c>
      <c r="P665" s="48">
        <f t="shared" ca="1" si="171"/>
        <v>46274.525928000003</v>
      </c>
      <c r="Q665" s="41">
        <f t="shared" ca="1" si="172"/>
        <v>46289.525928000003</v>
      </c>
      <c r="R665" s="41" t="b">
        <f t="shared" ca="1" si="174"/>
        <v>1</v>
      </c>
      <c r="S665" s="44">
        <f t="shared" ca="1" si="175"/>
        <v>15</v>
      </c>
      <c r="T665" s="74">
        <f t="shared" ca="1" si="176"/>
        <v>46304.525928000003</v>
      </c>
      <c r="U665" s="75" t="s">
        <v>83</v>
      </c>
      <c r="V665" s="76">
        <f t="shared" si="173"/>
        <v>37.78</v>
      </c>
      <c r="W665" s="77" t="str">
        <f t="shared" si="177"/>
        <v/>
      </c>
      <c r="Y665" s="51">
        <f t="shared" ca="1" si="178"/>
        <v>239</v>
      </c>
      <c r="Z665" s="52">
        <f t="shared" ca="1" si="179"/>
        <v>0.34520547945205482</v>
      </c>
      <c r="AB665" s="46">
        <f t="shared" si="180"/>
        <v>7.3407609317918876</v>
      </c>
      <c r="AC665" s="83" t="str">
        <f t="shared" si="181"/>
        <v/>
      </c>
      <c r="AE665" s="55"/>
      <c r="AF665" s="72"/>
      <c r="AG665" s="72"/>
      <c r="AH665" s="66"/>
    </row>
    <row r="666" spans="1:34" ht="16" hidden="1" thickBot="1" x14ac:dyDescent="0.25">
      <c r="A666" s="82"/>
      <c r="B666" s="62"/>
      <c r="C666" s="87"/>
      <c r="D666" s="62"/>
      <c r="F666" s="55"/>
      <c r="G666" s="56"/>
      <c r="H666" s="55"/>
      <c r="I666" s="57"/>
      <c r="J666" s="65"/>
      <c r="K666" s="66"/>
      <c r="L666" s="132"/>
      <c r="M666" s="43">
        <f t="shared" si="168"/>
        <v>0</v>
      </c>
      <c r="N666" s="49">
        <f t="shared" si="169"/>
        <v>37.78</v>
      </c>
      <c r="O666" s="42">
        <f t="shared" si="170"/>
        <v>0</v>
      </c>
      <c r="P666" s="48">
        <f t="shared" ca="1" si="171"/>
        <v>46274.525928000003</v>
      </c>
      <c r="Q666" s="41">
        <f t="shared" ca="1" si="172"/>
        <v>46289.525928000003</v>
      </c>
      <c r="R666" s="41" t="b">
        <f t="shared" ca="1" si="174"/>
        <v>1</v>
      </c>
      <c r="S666" s="44">
        <f t="shared" ca="1" si="175"/>
        <v>15</v>
      </c>
      <c r="T666" s="74">
        <f t="shared" ca="1" si="176"/>
        <v>46304.525928000003</v>
      </c>
      <c r="U666" s="75" t="s">
        <v>83</v>
      </c>
      <c r="V666" s="76">
        <f t="shared" si="173"/>
        <v>37.78</v>
      </c>
      <c r="W666" s="77" t="str">
        <f t="shared" si="177"/>
        <v/>
      </c>
      <c r="Y666" s="51">
        <f t="shared" ca="1" si="178"/>
        <v>239</v>
      </c>
      <c r="Z666" s="52">
        <f t="shared" ca="1" si="179"/>
        <v>0.34520547945205482</v>
      </c>
      <c r="AB666" s="46">
        <f t="shared" si="180"/>
        <v>7.3407609317918876</v>
      </c>
      <c r="AC666" s="83" t="str">
        <f t="shared" si="181"/>
        <v/>
      </c>
      <c r="AE666" s="55"/>
      <c r="AF666" s="72"/>
      <c r="AG666" s="72"/>
      <c r="AH666" s="66"/>
    </row>
    <row r="667" spans="1:34" ht="16" hidden="1" thickBot="1" x14ac:dyDescent="0.25">
      <c r="A667" s="82"/>
      <c r="B667" s="62"/>
      <c r="C667" s="87"/>
      <c r="D667" s="62"/>
      <c r="F667" s="55"/>
      <c r="G667" s="56"/>
      <c r="H667" s="55"/>
      <c r="I667" s="57"/>
      <c r="J667" s="65"/>
      <c r="K667" s="66"/>
      <c r="L667" s="132"/>
      <c r="M667" s="43">
        <f t="shared" si="168"/>
        <v>0</v>
      </c>
      <c r="N667" s="49">
        <f t="shared" si="169"/>
        <v>37.78</v>
      </c>
      <c r="O667" s="42">
        <f t="shared" si="170"/>
        <v>0</v>
      </c>
      <c r="P667" s="48">
        <f t="shared" ca="1" si="171"/>
        <v>46274.525928000003</v>
      </c>
      <c r="Q667" s="41">
        <f t="shared" ca="1" si="172"/>
        <v>46289.525928000003</v>
      </c>
      <c r="R667" s="41" t="b">
        <f t="shared" ca="1" si="174"/>
        <v>1</v>
      </c>
      <c r="S667" s="44">
        <f t="shared" ca="1" si="175"/>
        <v>15</v>
      </c>
      <c r="T667" s="74">
        <f t="shared" ca="1" si="176"/>
        <v>46304.525928000003</v>
      </c>
      <c r="U667" s="75" t="s">
        <v>83</v>
      </c>
      <c r="V667" s="76">
        <f t="shared" si="173"/>
        <v>37.78</v>
      </c>
      <c r="W667" s="77" t="str">
        <f t="shared" si="177"/>
        <v/>
      </c>
      <c r="Y667" s="51">
        <f t="shared" ca="1" si="178"/>
        <v>239</v>
      </c>
      <c r="Z667" s="52">
        <f t="shared" ca="1" si="179"/>
        <v>0.34520547945205482</v>
      </c>
      <c r="AB667" s="46">
        <f t="shared" si="180"/>
        <v>7.3407609317918876</v>
      </c>
      <c r="AC667" s="83" t="str">
        <f t="shared" si="181"/>
        <v/>
      </c>
      <c r="AE667" s="55"/>
      <c r="AF667" s="72"/>
      <c r="AG667" s="72"/>
      <c r="AH667" s="66"/>
    </row>
    <row r="668" spans="1:34" ht="16" hidden="1" thickBot="1" x14ac:dyDescent="0.25">
      <c r="A668" s="82"/>
      <c r="B668" s="62"/>
      <c r="C668" s="87"/>
      <c r="D668" s="62"/>
      <c r="F668" s="55"/>
      <c r="G668" s="56"/>
      <c r="H668" s="55"/>
      <c r="I668" s="57"/>
      <c r="J668" s="65"/>
      <c r="K668" s="66"/>
      <c r="L668" s="132"/>
      <c r="M668" s="43">
        <f t="shared" si="168"/>
        <v>0</v>
      </c>
      <c r="N668" s="49">
        <f t="shared" si="169"/>
        <v>37.78</v>
      </c>
      <c r="O668" s="42">
        <f t="shared" si="170"/>
        <v>0</v>
      </c>
      <c r="P668" s="48">
        <f t="shared" ca="1" si="171"/>
        <v>46274.525928000003</v>
      </c>
      <c r="Q668" s="41">
        <f t="shared" ca="1" si="172"/>
        <v>46289.525928000003</v>
      </c>
      <c r="R668" s="41" t="b">
        <f t="shared" ca="1" si="174"/>
        <v>1</v>
      </c>
      <c r="S668" s="44">
        <f t="shared" ca="1" si="175"/>
        <v>15</v>
      </c>
      <c r="T668" s="74">
        <f t="shared" ca="1" si="176"/>
        <v>46304.525928000003</v>
      </c>
      <c r="U668" s="75" t="s">
        <v>83</v>
      </c>
      <c r="V668" s="76">
        <f t="shared" si="173"/>
        <v>37.78</v>
      </c>
      <c r="W668" s="77" t="str">
        <f t="shared" si="177"/>
        <v/>
      </c>
      <c r="Y668" s="51">
        <f t="shared" ca="1" si="178"/>
        <v>239</v>
      </c>
      <c r="Z668" s="52">
        <f t="shared" ca="1" si="179"/>
        <v>0.34520547945205482</v>
      </c>
      <c r="AB668" s="46">
        <f t="shared" si="180"/>
        <v>7.3407609317918876</v>
      </c>
      <c r="AC668" s="83" t="str">
        <f t="shared" si="181"/>
        <v/>
      </c>
      <c r="AE668" s="55"/>
      <c r="AF668" s="72"/>
      <c r="AG668" s="72"/>
      <c r="AH668" s="66"/>
    </row>
    <row r="669" spans="1:34" ht="16" hidden="1" thickBot="1" x14ac:dyDescent="0.25">
      <c r="A669" s="82"/>
      <c r="B669" s="62"/>
      <c r="C669" s="87"/>
      <c r="D669" s="62"/>
      <c r="F669" s="55"/>
      <c r="G669" s="56"/>
      <c r="H669" s="55"/>
      <c r="I669" s="57"/>
      <c r="J669" s="65"/>
      <c r="K669" s="66"/>
      <c r="L669" s="132"/>
      <c r="M669" s="43">
        <f t="shared" si="168"/>
        <v>0</v>
      </c>
      <c r="N669" s="49">
        <f t="shared" si="169"/>
        <v>37.78</v>
      </c>
      <c r="O669" s="42">
        <f t="shared" si="170"/>
        <v>0</v>
      </c>
      <c r="P669" s="48">
        <f t="shared" ca="1" si="171"/>
        <v>46274.525928000003</v>
      </c>
      <c r="Q669" s="41">
        <f t="shared" ca="1" si="172"/>
        <v>46289.525928000003</v>
      </c>
      <c r="R669" s="41" t="b">
        <f t="shared" ca="1" si="174"/>
        <v>1</v>
      </c>
      <c r="S669" s="44">
        <f t="shared" ca="1" si="175"/>
        <v>15</v>
      </c>
      <c r="T669" s="74">
        <f t="shared" ca="1" si="176"/>
        <v>46304.525928000003</v>
      </c>
      <c r="U669" s="75" t="s">
        <v>83</v>
      </c>
      <c r="V669" s="76">
        <f t="shared" si="173"/>
        <v>37.78</v>
      </c>
      <c r="W669" s="77" t="str">
        <f t="shared" si="177"/>
        <v/>
      </c>
      <c r="Y669" s="51">
        <f t="shared" ca="1" si="178"/>
        <v>239</v>
      </c>
      <c r="Z669" s="52">
        <f t="shared" ca="1" si="179"/>
        <v>0.34520547945205482</v>
      </c>
      <c r="AB669" s="46">
        <f t="shared" si="180"/>
        <v>7.3407609317918876</v>
      </c>
      <c r="AC669" s="83" t="str">
        <f t="shared" si="181"/>
        <v/>
      </c>
      <c r="AE669" s="55"/>
      <c r="AF669" s="72"/>
      <c r="AG669" s="72"/>
      <c r="AH669" s="66"/>
    </row>
    <row r="670" spans="1:34" ht="16" hidden="1" thickBot="1" x14ac:dyDescent="0.25">
      <c r="A670" s="82"/>
      <c r="B670" s="62"/>
      <c r="C670" s="87"/>
      <c r="D670" s="62"/>
      <c r="F670" s="55"/>
      <c r="G670" s="56"/>
      <c r="H670" s="55"/>
      <c r="I670" s="57"/>
      <c r="J670" s="65"/>
      <c r="K670" s="66"/>
      <c r="L670" s="132"/>
      <c r="M670" s="43">
        <f t="shared" si="168"/>
        <v>0</v>
      </c>
      <c r="N670" s="49">
        <f t="shared" si="169"/>
        <v>37.78</v>
      </c>
      <c r="O670" s="42">
        <f t="shared" si="170"/>
        <v>0</v>
      </c>
      <c r="P670" s="48">
        <f t="shared" ca="1" si="171"/>
        <v>46274.525928000003</v>
      </c>
      <c r="Q670" s="41">
        <f t="shared" ca="1" si="172"/>
        <v>46289.525928000003</v>
      </c>
      <c r="R670" s="41" t="b">
        <f t="shared" ca="1" si="174"/>
        <v>1</v>
      </c>
      <c r="S670" s="44">
        <f t="shared" ca="1" si="175"/>
        <v>15</v>
      </c>
      <c r="T670" s="74">
        <f t="shared" ca="1" si="176"/>
        <v>46304.525928000003</v>
      </c>
      <c r="U670" s="75" t="s">
        <v>83</v>
      </c>
      <c r="V670" s="76">
        <f t="shared" si="173"/>
        <v>37.78</v>
      </c>
      <c r="W670" s="77" t="str">
        <f t="shared" si="177"/>
        <v/>
      </c>
      <c r="Y670" s="51">
        <f t="shared" ca="1" si="178"/>
        <v>239</v>
      </c>
      <c r="Z670" s="52">
        <f t="shared" ca="1" si="179"/>
        <v>0.34520547945205482</v>
      </c>
      <c r="AB670" s="46">
        <f t="shared" si="180"/>
        <v>7.3407609317918876</v>
      </c>
      <c r="AC670" s="83" t="str">
        <f t="shared" si="181"/>
        <v/>
      </c>
      <c r="AE670" s="55"/>
      <c r="AF670" s="72"/>
      <c r="AG670" s="72"/>
      <c r="AH670" s="66"/>
    </row>
    <row r="671" spans="1:34" ht="16" hidden="1" thickBot="1" x14ac:dyDescent="0.25">
      <c r="A671" s="82"/>
      <c r="B671" s="62"/>
      <c r="C671" s="87"/>
      <c r="D671" s="62"/>
      <c r="F671" s="55"/>
      <c r="G671" s="56"/>
      <c r="H671" s="55"/>
      <c r="I671" s="57"/>
      <c r="J671" s="65"/>
      <c r="K671" s="66"/>
      <c r="L671" s="132"/>
      <c r="M671" s="43">
        <f t="shared" si="168"/>
        <v>0</v>
      </c>
      <c r="N671" s="49">
        <f t="shared" si="169"/>
        <v>37.78</v>
      </c>
      <c r="O671" s="42">
        <f t="shared" si="170"/>
        <v>0</v>
      </c>
      <c r="P671" s="48">
        <f t="shared" ca="1" si="171"/>
        <v>46274.525928000003</v>
      </c>
      <c r="Q671" s="41">
        <f t="shared" ca="1" si="172"/>
        <v>46289.525928000003</v>
      </c>
      <c r="R671" s="41" t="b">
        <f t="shared" ca="1" si="174"/>
        <v>1</v>
      </c>
      <c r="S671" s="44">
        <f t="shared" ca="1" si="175"/>
        <v>15</v>
      </c>
      <c r="T671" s="74">
        <f t="shared" ca="1" si="176"/>
        <v>46304.525928000003</v>
      </c>
      <c r="U671" s="75" t="s">
        <v>83</v>
      </c>
      <c r="V671" s="76">
        <f t="shared" si="173"/>
        <v>37.78</v>
      </c>
      <c r="W671" s="77" t="str">
        <f t="shared" si="177"/>
        <v/>
      </c>
      <c r="Y671" s="51">
        <f t="shared" ca="1" si="178"/>
        <v>239</v>
      </c>
      <c r="Z671" s="52">
        <f t="shared" ca="1" si="179"/>
        <v>0.34520547945205482</v>
      </c>
      <c r="AB671" s="46">
        <f t="shared" si="180"/>
        <v>7.3407609317918876</v>
      </c>
      <c r="AC671" s="83" t="str">
        <f t="shared" si="181"/>
        <v/>
      </c>
      <c r="AE671" s="55"/>
      <c r="AF671" s="72"/>
      <c r="AG671" s="72"/>
      <c r="AH671" s="66"/>
    </row>
    <row r="672" spans="1:34" ht="16" hidden="1" thickBot="1" x14ac:dyDescent="0.25">
      <c r="A672" s="82"/>
      <c r="B672" s="62"/>
      <c r="C672" s="87"/>
      <c r="D672" s="62"/>
      <c r="F672" s="55"/>
      <c r="G672" s="56"/>
      <c r="H672" s="55"/>
      <c r="I672" s="57"/>
      <c r="J672" s="65"/>
      <c r="K672" s="66"/>
      <c r="L672" s="132"/>
      <c r="M672" s="43">
        <f t="shared" si="168"/>
        <v>0</v>
      </c>
      <c r="N672" s="49">
        <f t="shared" si="169"/>
        <v>37.78</v>
      </c>
      <c r="O672" s="42">
        <f t="shared" si="170"/>
        <v>0</v>
      </c>
      <c r="P672" s="48">
        <f t="shared" ca="1" si="171"/>
        <v>46274.525928000003</v>
      </c>
      <c r="Q672" s="41">
        <f t="shared" ca="1" si="172"/>
        <v>46289.525928000003</v>
      </c>
      <c r="R672" s="41" t="b">
        <f t="shared" ca="1" si="174"/>
        <v>1</v>
      </c>
      <c r="S672" s="44">
        <f t="shared" ca="1" si="175"/>
        <v>15</v>
      </c>
      <c r="T672" s="74">
        <f t="shared" ca="1" si="176"/>
        <v>46304.525928000003</v>
      </c>
      <c r="U672" s="75" t="s">
        <v>83</v>
      </c>
      <c r="V672" s="76">
        <f t="shared" si="173"/>
        <v>37.78</v>
      </c>
      <c r="W672" s="77" t="str">
        <f t="shared" si="177"/>
        <v/>
      </c>
      <c r="Y672" s="51">
        <f t="shared" ca="1" si="178"/>
        <v>239</v>
      </c>
      <c r="Z672" s="52">
        <f t="shared" ca="1" si="179"/>
        <v>0.34520547945205482</v>
      </c>
      <c r="AB672" s="46">
        <f t="shared" si="180"/>
        <v>7.3407609317918876</v>
      </c>
      <c r="AC672" s="83" t="str">
        <f t="shared" si="181"/>
        <v/>
      </c>
      <c r="AE672" s="55"/>
      <c r="AF672" s="72"/>
      <c r="AG672" s="72"/>
      <c r="AH672" s="66"/>
    </row>
    <row r="673" spans="1:34" ht="16" hidden="1" thickBot="1" x14ac:dyDescent="0.25">
      <c r="A673" s="82"/>
      <c r="B673" s="62"/>
      <c r="C673" s="87"/>
      <c r="D673" s="62"/>
      <c r="F673" s="55"/>
      <c r="G673" s="56"/>
      <c r="H673" s="55"/>
      <c r="I673" s="57"/>
      <c r="J673" s="65"/>
      <c r="K673" s="66"/>
      <c r="L673" s="132"/>
      <c r="M673" s="43">
        <f t="shared" si="168"/>
        <v>0</v>
      </c>
      <c r="N673" s="49">
        <f t="shared" si="169"/>
        <v>37.78</v>
      </c>
      <c r="O673" s="42">
        <f t="shared" si="170"/>
        <v>0</v>
      </c>
      <c r="P673" s="48">
        <f t="shared" ca="1" si="171"/>
        <v>46274.525928000003</v>
      </c>
      <c r="Q673" s="41">
        <f t="shared" ca="1" si="172"/>
        <v>46289.525928000003</v>
      </c>
      <c r="R673" s="41" t="b">
        <f t="shared" ca="1" si="174"/>
        <v>1</v>
      </c>
      <c r="S673" s="44">
        <f t="shared" ca="1" si="175"/>
        <v>15</v>
      </c>
      <c r="T673" s="74">
        <f t="shared" ca="1" si="176"/>
        <v>46304.525928000003</v>
      </c>
      <c r="U673" s="75" t="s">
        <v>83</v>
      </c>
      <c r="V673" s="76">
        <f t="shared" si="173"/>
        <v>37.78</v>
      </c>
      <c r="W673" s="77" t="str">
        <f t="shared" si="177"/>
        <v/>
      </c>
      <c r="Y673" s="51">
        <f t="shared" ca="1" si="178"/>
        <v>239</v>
      </c>
      <c r="Z673" s="52">
        <f t="shared" ca="1" si="179"/>
        <v>0.34520547945205482</v>
      </c>
      <c r="AB673" s="46">
        <f t="shared" si="180"/>
        <v>7.3407609317918876</v>
      </c>
      <c r="AC673" s="83" t="str">
        <f t="shared" si="181"/>
        <v/>
      </c>
      <c r="AE673" s="55"/>
      <c r="AF673" s="72"/>
      <c r="AG673" s="72"/>
      <c r="AH673" s="66"/>
    </row>
    <row r="674" spans="1:34" ht="16" hidden="1" thickBot="1" x14ac:dyDescent="0.25">
      <c r="A674" s="82"/>
      <c r="B674" s="62"/>
      <c r="C674" s="87"/>
      <c r="D674" s="62"/>
      <c r="F674" s="55"/>
      <c r="G674" s="56"/>
      <c r="H674" s="55"/>
      <c r="I674" s="57"/>
      <c r="J674" s="65"/>
      <c r="K674" s="66"/>
      <c r="L674" s="132"/>
      <c r="M674" s="43">
        <f t="shared" si="168"/>
        <v>0</v>
      </c>
      <c r="N674" s="49">
        <f t="shared" si="169"/>
        <v>37.78</v>
      </c>
      <c r="O674" s="42">
        <f t="shared" si="170"/>
        <v>0</v>
      </c>
      <c r="P674" s="48">
        <f t="shared" ca="1" si="171"/>
        <v>46274.525928000003</v>
      </c>
      <c r="Q674" s="41">
        <f t="shared" ca="1" si="172"/>
        <v>46289.525928000003</v>
      </c>
      <c r="R674" s="41" t="b">
        <f t="shared" ca="1" si="174"/>
        <v>1</v>
      </c>
      <c r="S674" s="44">
        <f t="shared" ca="1" si="175"/>
        <v>15</v>
      </c>
      <c r="T674" s="74">
        <f t="shared" ca="1" si="176"/>
        <v>46304.525928000003</v>
      </c>
      <c r="U674" s="75" t="s">
        <v>83</v>
      </c>
      <c r="V674" s="76">
        <f t="shared" si="173"/>
        <v>37.78</v>
      </c>
      <c r="W674" s="77" t="str">
        <f t="shared" si="177"/>
        <v/>
      </c>
      <c r="Y674" s="51">
        <f t="shared" ca="1" si="178"/>
        <v>239</v>
      </c>
      <c r="Z674" s="52">
        <f t="shared" ca="1" si="179"/>
        <v>0.34520547945205482</v>
      </c>
      <c r="AB674" s="46">
        <f t="shared" si="180"/>
        <v>7.3407609317918876</v>
      </c>
      <c r="AC674" s="83" t="str">
        <f t="shared" si="181"/>
        <v/>
      </c>
      <c r="AE674" s="55"/>
      <c r="AF674" s="72"/>
      <c r="AG674" s="72"/>
      <c r="AH674" s="66"/>
    </row>
    <row r="675" spans="1:34" ht="16" hidden="1" thickBot="1" x14ac:dyDescent="0.25">
      <c r="A675" s="82"/>
      <c r="B675" s="62"/>
      <c r="C675" s="87"/>
      <c r="D675" s="62"/>
      <c r="F675" s="55"/>
      <c r="G675" s="56"/>
      <c r="H675" s="55"/>
      <c r="I675" s="57"/>
      <c r="J675" s="65"/>
      <c r="K675" s="66"/>
      <c r="L675" s="132"/>
      <c r="M675" s="43">
        <f t="shared" si="168"/>
        <v>0</v>
      </c>
      <c r="N675" s="49">
        <f t="shared" si="169"/>
        <v>37.78</v>
      </c>
      <c r="O675" s="42">
        <f t="shared" si="170"/>
        <v>0</v>
      </c>
      <c r="P675" s="48">
        <f t="shared" ca="1" si="171"/>
        <v>46274.525928000003</v>
      </c>
      <c r="Q675" s="41">
        <f t="shared" ca="1" si="172"/>
        <v>46289.525928000003</v>
      </c>
      <c r="R675" s="41" t="b">
        <f t="shared" ca="1" si="174"/>
        <v>1</v>
      </c>
      <c r="S675" s="44">
        <f t="shared" ca="1" si="175"/>
        <v>15</v>
      </c>
      <c r="T675" s="74">
        <f t="shared" ca="1" si="176"/>
        <v>46304.525928000003</v>
      </c>
      <c r="U675" s="75" t="s">
        <v>83</v>
      </c>
      <c r="V675" s="76">
        <f t="shared" si="173"/>
        <v>37.78</v>
      </c>
      <c r="W675" s="77" t="str">
        <f t="shared" si="177"/>
        <v/>
      </c>
      <c r="Y675" s="51">
        <f t="shared" ca="1" si="178"/>
        <v>239</v>
      </c>
      <c r="Z675" s="52">
        <f t="shared" ca="1" si="179"/>
        <v>0.34520547945205482</v>
      </c>
      <c r="AB675" s="46">
        <f t="shared" si="180"/>
        <v>7.3407609317918876</v>
      </c>
      <c r="AC675" s="83" t="str">
        <f t="shared" si="181"/>
        <v/>
      </c>
      <c r="AE675" s="55"/>
      <c r="AF675" s="72"/>
      <c r="AG675" s="72"/>
      <c r="AH675" s="66"/>
    </row>
    <row r="676" spans="1:34" ht="16" hidden="1" thickBot="1" x14ac:dyDescent="0.25">
      <c r="A676" s="82"/>
      <c r="B676" s="62"/>
      <c r="C676" s="87"/>
      <c r="D676" s="62"/>
      <c r="F676" s="55"/>
      <c r="G676" s="56"/>
      <c r="H676" s="55"/>
      <c r="I676" s="57"/>
      <c r="J676" s="65"/>
      <c r="K676" s="66"/>
      <c r="L676" s="132"/>
      <c r="M676" s="43">
        <f t="shared" si="168"/>
        <v>0</v>
      </c>
      <c r="N676" s="49">
        <f t="shared" si="169"/>
        <v>37.78</v>
      </c>
      <c r="O676" s="42">
        <f t="shared" si="170"/>
        <v>0</v>
      </c>
      <c r="P676" s="48">
        <f t="shared" ca="1" si="171"/>
        <v>46274.525928000003</v>
      </c>
      <c r="Q676" s="41">
        <f t="shared" ca="1" si="172"/>
        <v>46289.525928000003</v>
      </c>
      <c r="R676" s="41" t="b">
        <f t="shared" ca="1" si="174"/>
        <v>1</v>
      </c>
      <c r="S676" s="44">
        <f t="shared" ca="1" si="175"/>
        <v>15</v>
      </c>
      <c r="T676" s="74">
        <f t="shared" ca="1" si="176"/>
        <v>46304.525928000003</v>
      </c>
      <c r="U676" s="75" t="s">
        <v>83</v>
      </c>
      <c r="V676" s="76">
        <f t="shared" si="173"/>
        <v>37.78</v>
      </c>
      <c r="W676" s="77" t="str">
        <f t="shared" si="177"/>
        <v/>
      </c>
      <c r="Y676" s="51">
        <f t="shared" ca="1" si="178"/>
        <v>239</v>
      </c>
      <c r="Z676" s="52">
        <f t="shared" ca="1" si="179"/>
        <v>0.34520547945205482</v>
      </c>
      <c r="AB676" s="46">
        <f t="shared" si="180"/>
        <v>7.3407609317918876</v>
      </c>
      <c r="AC676" s="83" t="str">
        <f t="shared" si="181"/>
        <v/>
      </c>
      <c r="AE676" s="55"/>
      <c r="AF676" s="72"/>
      <c r="AG676" s="72"/>
      <c r="AH676" s="66"/>
    </row>
    <row r="677" spans="1:34" ht="16" hidden="1" thickBot="1" x14ac:dyDescent="0.25">
      <c r="A677" s="82"/>
      <c r="B677" s="62"/>
      <c r="C677" s="87"/>
      <c r="D677" s="62"/>
      <c r="F677" s="55"/>
      <c r="G677" s="56"/>
      <c r="H677" s="55"/>
      <c r="I677" s="57"/>
      <c r="J677" s="65"/>
      <c r="K677" s="66"/>
      <c r="L677" s="132"/>
      <c r="M677" s="43">
        <f t="shared" si="168"/>
        <v>0</v>
      </c>
      <c r="N677" s="49">
        <f t="shared" si="169"/>
        <v>37.78</v>
      </c>
      <c r="O677" s="42">
        <f t="shared" si="170"/>
        <v>0</v>
      </c>
      <c r="P677" s="48">
        <f t="shared" ca="1" si="171"/>
        <v>46274.525928000003</v>
      </c>
      <c r="Q677" s="41">
        <f t="shared" ca="1" si="172"/>
        <v>46289.525928000003</v>
      </c>
      <c r="R677" s="41" t="b">
        <f t="shared" ca="1" si="174"/>
        <v>1</v>
      </c>
      <c r="S677" s="44">
        <f t="shared" ca="1" si="175"/>
        <v>15</v>
      </c>
      <c r="T677" s="74">
        <f t="shared" ca="1" si="176"/>
        <v>46304.525928000003</v>
      </c>
      <c r="U677" s="75" t="s">
        <v>83</v>
      </c>
      <c r="V677" s="76">
        <f t="shared" si="173"/>
        <v>37.78</v>
      </c>
      <c r="W677" s="77" t="str">
        <f t="shared" si="177"/>
        <v/>
      </c>
      <c r="Y677" s="51">
        <f t="shared" ca="1" si="178"/>
        <v>239</v>
      </c>
      <c r="Z677" s="52">
        <f t="shared" ca="1" si="179"/>
        <v>0.34520547945205482</v>
      </c>
      <c r="AB677" s="46">
        <f t="shared" si="180"/>
        <v>7.3407609317918876</v>
      </c>
      <c r="AC677" s="83" t="str">
        <f t="shared" si="181"/>
        <v/>
      </c>
      <c r="AE677" s="55"/>
      <c r="AF677" s="72"/>
      <c r="AG677" s="72"/>
      <c r="AH677" s="66"/>
    </row>
    <row r="678" spans="1:34" ht="16" hidden="1" thickBot="1" x14ac:dyDescent="0.25">
      <c r="A678" s="82"/>
      <c r="B678" s="62"/>
      <c r="C678" s="87"/>
      <c r="D678" s="62"/>
      <c r="F678" s="55"/>
      <c r="G678" s="56"/>
      <c r="H678" s="55"/>
      <c r="I678" s="57"/>
      <c r="J678" s="65"/>
      <c r="K678" s="66"/>
      <c r="L678" s="132"/>
      <c r="M678" s="43">
        <f t="shared" si="168"/>
        <v>0</v>
      </c>
      <c r="N678" s="49">
        <f t="shared" si="169"/>
        <v>37.78</v>
      </c>
      <c r="O678" s="42">
        <f t="shared" si="170"/>
        <v>0</v>
      </c>
      <c r="P678" s="48">
        <f t="shared" ca="1" si="171"/>
        <v>46274.525928000003</v>
      </c>
      <c r="Q678" s="41">
        <f t="shared" ca="1" si="172"/>
        <v>46289.525928000003</v>
      </c>
      <c r="R678" s="41" t="b">
        <f t="shared" ca="1" si="174"/>
        <v>1</v>
      </c>
      <c r="S678" s="44">
        <f t="shared" ca="1" si="175"/>
        <v>15</v>
      </c>
      <c r="T678" s="74">
        <f t="shared" ca="1" si="176"/>
        <v>46304.525928000003</v>
      </c>
      <c r="U678" s="75" t="s">
        <v>83</v>
      </c>
      <c r="V678" s="76">
        <f t="shared" si="173"/>
        <v>37.78</v>
      </c>
      <c r="W678" s="77" t="str">
        <f t="shared" si="177"/>
        <v/>
      </c>
      <c r="Y678" s="51">
        <f t="shared" ca="1" si="178"/>
        <v>239</v>
      </c>
      <c r="Z678" s="52">
        <f t="shared" ca="1" si="179"/>
        <v>0.34520547945205482</v>
      </c>
      <c r="AB678" s="46">
        <f t="shared" si="180"/>
        <v>7.3407609317918876</v>
      </c>
      <c r="AC678" s="83" t="str">
        <f t="shared" si="181"/>
        <v/>
      </c>
      <c r="AE678" s="55"/>
      <c r="AF678" s="72"/>
      <c r="AG678" s="72"/>
      <c r="AH678" s="66"/>
    </row>
    <row r="679" spans="1:34" ht="16" hidden="1" thickBot="1" x14ac:dyDescent="0.25">
      <c r="A679" s="82"/>
      <c r="B679" s="62"/>
      <c r="C679" s="87"/>
      <c r="D679" s="62"/>
      <c r="F679" s="55"/>
      <c r="G679" s="56"/>
      <c r="H679" s="55"/>
      <c r="I679" s="57"/>
      <c r="J679" s="65"/>
      <c r="K679" s="66"/>
      <c r="L679" s="132"/>
      <c r="M679" s="43">
        <f t="shared" si="168"/>
        <v>0</v>
      </c>
      <c r="N679" s="49">
        <f t="shared" si="169"/>
        <v>37.78</v>
      </c>
      <c r="O679" s="42">
        <f t="shared" si="170"/>
        <v>0</v>
      </c>
      <c r="P679" s="48">
        <f t="shared" ca="1" si="171"/>
        <v>46274.525928000003</v>
      </c>
      <c r="Q679" s="41">
        <f t="shared" ca="1" si="172"/>
        <v>46289.525928000003</v>
      </c>
      <c r="R679" s="41" t="b">
        <f t="shared" ca="1" si="174"/>
        <v>1</v>
      </c>
      <c r="S679" s="44">
        <f t="shared" ca="1" si="175"/>
        <v>15</v>
      </c>
      <c r="T679" s="74">
        <f t="shared" ca="1" si="176"/>
        <v>46304.525928000003</v>
      </c>
      <c r="U679" s="75" t="s">
        <v>83</v>
      </c>
      <c r="V679" s="76">
        <f t="shared" si="173"/>
        <v>37.78</v>
      </c>
      <c r="W679" s="77" t="str">
        <f t="shared" si="177"/>
        <v/>
      </c>
      <c r="Y679" s="51">
        <f t="shared" ca="1" si="178"/>
        <v>239</v>
      </c>
      <c r="Z679" s="52">
        <f t="shared" ca="1" si="179"/>
        <v>0.34520547945205482</v>
      </c>
      <c r="AB679" s="46">
        <f t="shared" si="180"/>
        <v>7.3407609317918876</v>
      </c>
      <c r="AC679" s="83" t="str">
        <f t="shared" si="181"/>
        <v/>
      </c>
      <c r="AE679" s="55"/>
      <c r="AF679" s="72"/>
      <c r="AG679" s="72"/>
      <c r="AH679" s="66"/>
    </row>
    <row r="680" spans="1:34" ht="16" hidden="1" thickBot="1" x14ac:dyDescent="0.25">
      <c r="A680" s="82"/>
      <c r="B680" s="62"/>
      <c r="C680" s="87"/>
      <c r="D680" s="62"/>
      <c r="F680" s="55"/>
      <c r="G680" s="56"/>
      <c r="H680" s="55"/>
      <c r="I680" s="57"/>
      <c r="J680" s="65"/>
      <c r="K680" s="66"/>
      <c r="L680" s="132"/>
      <c r="M680" s="43">
        <f t="shared" si="168"/>
        <v>0</v>
      </c>
      <c r="N680" s="49">
        <f t="shared" si="169"/>
        <v>37.78</v>
      </c>
      <c r="O680" s="42">
        <f t="shared" si="170"/>
        <v>0</v>
      </c>
      <c r="P680" s="48">
        <f t="shared" ca="1" si="171"/>
        <v>46274.525928000003</v>
      </c>
      <c r="Q680" s="41">
        <f t="shared" ca="1" si="172"/>
        <v>46289.525928000003</v>
      </c>
      <c r="R680" s="41" t="b">
        <f t="shared" ca="1" si="174"/>
        <v>1</v>
      </c>
      <c r="S680" s="44">
        <f t="shared" ca="1" si="175"/>
        <v>15</v>
      </c>
      <c r="T680" s="74">
        <f t="shared" ca="1" si="176"/>
        <v>46304.525928000003</v>
      </c>
      <c r="U680" s="75" t="s">
        <v>83</v>
      </c>
      <c r="V680" s="76">
        <f t="shared" si="173"/>
        <v>37.78</v>
      </c>
      <c r="W680" s="77" t="str">
        <f t="shared" si="177"/>
        <v/>
      </c>
      <c r="Y680" s="51">
        <f t="shared" ca="1" si="178"/>
        <v>239</v>
      </c>
      <c r="Z680" s="52">
        <f t="shared" ca="1" si="179"/>
        <v>0.34520547945205482</v>
      </c>
      <c r="AB680" s="46">
        <f t="shared" si="180"/>
        <v>7.3407609317918876</v>
      </c>
      <c r="AC680" s="83" t="str">
        <f t="shared" si="181"/>
        <v/>
      </c>
      <c r="AE680" s="55"/>
      <c r="AF680" s="72"/>
      <c r="AG680" s="72"/>
      <c r="AH680" s="66"/>
    </row>
    <row r="681" spans="1:34" ht="16" hidden="1" thickBot="1" x14ac:dyDescent="0.25">
      <c r="A681" s="82"/>
      <c r="B681" s="62"/>
      <c r="C681" s="87"/>
      <c r="D681" s="62"/>
      <c r="F681" s="55"/>
      <c r="G681" s="56"/>
      <c r="H681" s="55"/>
      <c r="I681" s="57"/>
      <c r="J681" s="65"/>
      <c r="K681" s="66"/>
      <c r="L681" s="132"/>
      <c r="M681" s="43">
        <f t="shared" si="168"/>
        <v>0</v>
      </c>
      <c r="N681" s="49">
        <f t="shared" si="169"/>
        <v>37.78</v>
      </c>
      <c r="O681" s="42">
        <f t="shared" si="170"/>
        <v>0</v>
      </c>
      <c r="P681" s="48">
        <f t="shared" ca="1" si="171"/>
        <v>46274.525928000003</v>
      </c>
      <c r="Q681" s="41">
        <f t="shared" ca="1" si="172"/>
        <v>46289.525928000003</v>
      </c>
      <c r="R681" s="41" t="b">
        <f t="shared" ca="1" si="174"/>
        <v>1</v>
      </c>
      <c r="S681" s="44">
        <f t="shared" ca="1" si="175"/>
        <v>15</v>
      </c>
      <c r="T681" s="74">
        <f t="shared" ca="1" si="176"/>
        <v>46304.525928000003</v>
      </c>
      <c r="U681" s="75" t="s">
        <v>83</v>
      </c>
      <c r="V681" s="76">
        <f t="shared" si="173"/>
        <v>37.78</v>
      </c>
      <c r="W681" s="77" t="str">
        <f t="shared" si="177"/>
        <v/>
      </c>
      <c r="Y681" s="51">
        <f t="shared" ca="1" si="178"/>
        <v>239</v>
      </c>
      <c r="Z681" s="52">
        <f t="shared" ca="1" si="179"/>
        <v>0.34520547945205482</v>
      </c>
      <c r="AB681" s="46">
        <f t="shared" si="180"/>
        <v>7.3407609317918876</v>
      </c>
      <c r="AC681" s="83" t="str">
        <f t="shared" si="181"/>
        <v/>
      </c>
      <c r="AE681" s="55"/>
      <c r="AF681" s="72"/>
      <c r="AG681" s="72"/>
      <c r="AH681" s="66"/>
    </row>
    <row r="682" spans="1:34" ht="16" hidden="1" thickBot="1" x14ac:dyDescent="0.25">
      <c r="A682" s="82"/>
      <c r="B682" s="62"/>
      <c r="C682" s="87"/>
      <c r="D682" s="62"/>
      <c r="F682" s="55"/>
      <c r="G682" s="56"/>
      <c r="H682" s="55"/>
      <c r="I682" s="57"/>
      <c r="J682" s="65"/>
      <c r="K682" s="66"/>
      <c r="L682" s="132"/>
      <c r="M682" s="43">
        <f t="shared" si="168"/>
        <v>0</v>
      </c>
      <c r="N682" s="49">
        <f t="shared" si="169"/>
        <v>37.78</v>
      </c>
      <c r="O682" s="42">
        <f t="shared" si="170"/>
        <v>0</v>
      </c>
      <c r="P682" s="48">
        <f t="shared" ca="1" si="171"/>
        <v>46274.525928000003</v>
      </c>
      <c r="Q682" s="41">
        <f t="shared" ca="1" si="172"/>
        <v>46289.525928000003</v>
      </c>
      <c r="R682" s="41" t="b">
        <f t="shared" ca="1" si="174"/>
        <v>1</v>
      </c>
      <c r="S682" s="44">
        <f t="shared" ca="1" si="175"/>
        <v>15</v>
      </c>
      <c r="T682" s="74">
        <f t="shared" ca="1" si="176"/>
        <v>46304.525928000003</v>
      </c>
      <c r="U682" s="75" t="s">
        <v>83</v>
      </c>
      <c r="V682" s="76">
        <f t="shared" si="173"/>
        <v>37.78</v>
      </c>
      <c r="W682" s="77" t="str">
        <f t="shared" si="177"/>
        <v/>
      </c>
      <c r="Y682" s="51">
        <f t="shared" ca="1" si="178"/>
        <v>239</v>
      </c>
      <c r="Z682" s="52">
        <f t="shared" ca="1" si="179"/>
        <v>0.34520547945205482</v>
      </c>
      <c r="AB682" s="46">
        <f t="shared" si="180"/>
        <v>7.3407609317918876</v>
      </c>
      <c r="AC682" s="83" t="str">
        <f t="shared" si="181"/>
        <v/>
      </c>
      <c r="AE682" s="55"/>
      <c r="AF682" s="72"/>
      <c r="AG682" s="72"/>
      <c r="AH682" s="66"/>
    </row>
    <row r="683" spans="1:34" ht="16" hidden="1" thickBot="1" x14ac:dyDescent="0.25">
      <c r="A683" s="82"/>
      <c r="B683" s="62"/>
      <c r="C683" s="87"/>
      <c r="D683" s="62"/>
      <c r="F683" s="55"/>
      <c r="G683" s="56"/>
      <c r="H683" s="55"/>
      <c r="I683" s="57"/>
      <c r="J683" s="65"/>
      <c r="K683" s="66"/>
      <c r="L683" s="132"/>
      <c r="M683" s="43">
        <f t="shared" si="168"/>
        <v>0</v>
      </c>
      <c r="N683" s="49">
        <f t="shared" si="169"/>
        <v>37.78</v>
      </c>
      <c r="O683" s="42">
        <f t="shared" si="170"/>
        <v>0</v>
      </c>
      <c r="P683" s="48">
        <f t="shared" ca="1" si="171"/>
        <v>46274.525928000003</v>
      </c>
      <c r="Q683" s="41">
        <f t="shared" ca="1" si="172"/>
        <v>46289.525928000003</v>
      </c>
      <c r="R683" s="41" t="b">
        <f t="shared" ca="1" si="174"/>
        <v>1</v>
      </c>
      <c r="S683" s="44">
        <f t="shared" ca="1" si="175"/>
        <v>15</v>
      </c>
      <c r="T683" s="74">
        <f t="shared" ca="1" si="176"/>
        <v>46304.525928000003</v>
      </c>
      <c r="U683" s="75" t="s">
        <v>83</v>
      </c>
      <c r="V683" s="76">
        <f t="shared" si="173"/>
        <v>37.78</v>
      </c>
      <c r="W683" s="77" t="str">
        <f t="shared" si="177"/>
        <v/>
      </c>
      <c r="Y683" s="51">
        <f t="shared" ca="1" si="178"/>
        <v>239</v>
      </c>
      <c r="Z683" s="52">
        <f t="shared" ca="1" si="179"/>
        <v>0.34520547945205482</v>
      </c>
      <c r="AB683" s="46">
        <f t="shared" si="180"/>
        <v>7.3407609317918876</v>
      </c>
      <c r="AC683" s="83" t="str">
        <f t="shared" si="181"/>
        <v/>
      </c>
      <c r="AE683" s="55"/>
      <c r="AF683" s="72"/>
      <c r="AG683" s="72"/>
      <c r="AH683" s="66"/>
    </row>
    <row r="684" spans="1:34" ht="16" hidden="1" thickBot="1" x14ac:dyDescent="0.25">
      <c r="A684" s="82"/>
      <c r="B684" s="62"/>
      <c r="C684" s="87"/>
      <c r="D684" s="62"/>
      <c r="F684" s="55"/>
      <c r="G684" s="56"/>
      <c r="H684" s="55"/>
      <c r="I684" s="57"/>
      <c r="J684" s="65"/>
      <c r="K684" s="66"/>
      <c r="L684" s="132"/>
      <c r="M684" s="43">
        <f t="shared" si="168"/>
        <v>0</v>
      </c>
      <c r="N684" s="49">
        <f t="shared" si="169"/>
        <v>37.78</v>
      </c>
      <c r="O684" s="42">
        <f t="shared" si="170"/>
        <v>0</v>
      </c>
      <c r="P684" s="48">
        <f t="shared" ca="1" si="171"/>
        <v>46274.525928000003</v>
      </c>
      <c r="Q684" s="41">
        <f t="shared" ca="1" si="172"/>
        <v>46289.525928000003</v>
      </c>
      <c r="R684" s="41" t="b">
        <f t="shared" ca="1" si="174"/>
        <v>1</v>
      </c>
      <c r="S684" s="44">
        <f t="shared" ca="1" si="175"/>
        <v>15</v>
      </c>
      <c r="T684" s="74">
        <f t="shared" ca="1" si="176"/>
        <v>46304.525928000003</v>
      </c>
      <c r="U684" s="75" t="s">
        <v>83</v>
      </c>
      <c r="V684" s="76">
        <f t="shared" si="173"/>
        <v>37.78</v>
      </c>
      <c r="W684" s="77" t="str">
        <f t="shared" si="177"/>
        <v/>
      </c>
      <c r="Y684" s="51">
        <f t="shared" ca="1" si="178"/>
        <v>239</v>
      </c>
      <c r="Z684" s="52">
        <f t="shared" ca="1" si="179"/>
        <v>0.34520547945205482</v>
      </c>
      <c r="AB684" s="46">
        <f t="shared" si="180"/>
        <v>7.3407609317918876</v>
      </c>
      <c r="AC684" s="83" t="str">
        <f t="shared" si="181"/>
        <v/>
      </c>
      <c r="AE684" s="55"/>
      <c r="AF684" s="72"/>
      <c r="AG684" s="72"/>
      <c r="AH684" s="66"/>
    </row>
    <row r="685" spans="1:34" ht="16" hidden="1" thickBot="1" x14ac:dyDescent="0.25">
      <c r="A685" s="82"/>
      <c r="B685" s="62"/>
      <c r="C685" s="87"/>
      <c r="D685" s="62"/>
      <c r="F685" s="55"/>
      <c r="G685" s="56"/>
      <c r="H685" s="55"/>
      <c r="I685" s="57"/>
      <c r="J685" s="65"/>
      <c r="K685" s="66"/>
      <c r="L685" s="132"/>
      <c r="M685" s="43">
        <f t="shared" si="168"/>
        <v>0</v>
      </c>
      <c r="N685" s="49">
        <f t="shared" si="169"/>
        <v>37.78</v>
      </c>
      <c r="O685" s="42">
        <f t="shared" si="170"/>
        <v>0</v>
      </c>
      <c r="P685" s="48">
        <f t="shared" ca="1" si="171"/>
        <v>46274.525928000003</v>
      </c>
      <c r="Q685" s="41">
        <f t="shared" ca="1" si="172"/>
        <v>46289.525928000003</v>
      </c>
      <c r="R685" s="41" t="b">
        <f t="shared" ca="1" si="174"/>
        <v>1</v>
      </c>
      <c r="S685" s="44">
        <f t="shared" ca="1" si="175"/>
        <v>15</v>
      </c>
      <c r="T685" s="74">
        <f t="shared" ca="1" si="176"/>
        <v>46304.525928000003</v>
      </c>
      <c r="U685" s="75" t="s">
        <v>83</v>
      </c>
      <c r="V685" s="76">
        <f t="shared" si="173"/>
        <v>37.78</v>
      </c>
      <c r="W685" s="77" t="str">
        <f t="shared" si="177"/>
        <v/>
      </c>
      <c r="Y685" s="51">
        <f t="shared" ca="1" si="178"/>
        <v>239</v>
      </c>
      <c r="Z685" s="52">
        <f t="shared" ca="1" si="179"/>
        <v>0.34520547945205482</v>
      </c>
      <c r="AB685" s="46">
        <f t="shared" si="180"/>
        <v>7.3407609317918876</v>
      </c>
      <c r="AC685" s="83" t="str">
        <f t="shared" si="181"/>
        <v/>
      </c>
      <c r="AE685" s="55"/>
      <c r="AF685" s="72"/>
      <c r="AG685" s="72"/>
      <c r="AH685" s="66"/>
    </row>
    <row r="686" spans="1:34" ht="16" hidden="1" thickBot="1" x14ac:dyDescent="0.25">
      <c r="A686" s="82"/>
      <c r="B686" s="62"/>
      <c r="C686" s="87"/>
      <c r="D686" s="62"/>
      <c r="F686" s="55"/>
      <c r="G686" s="56"/>
      <c r="H686" s="55"/>
      <c r="I686" s="57"/>
      <c r="J686" s="65"/>
      <c r="K686" s="66"/>
      <c r="L686" s="132"/>
      <c r="M686" s="43">
        <f t="shared" si="168"/>
        <v>0</v>
      </c>
      <c r="N686" s="49">
        <f t="shared" si="169"/>
        <v>37.78</v>
      </c>
      <c r="O686" s="42">
        <f t="shared" si="170"/>
        <v>0</v>
      </c>
      <c r="P686" s="48">
        <f t="shared" ca="1" si="171"/>
        <v>46274.525928000003</v>
      </c>
      <c r="Q686" s="41">
        <f t="shared" ca="1" si="172"/>
        <v>46289.525928000003</v>
      </c>
      <c r="R686" s="41" t="b">
        <f t="shared" ca="1" si="174"/>
        <v>1</v>
      </c>
      <c r="S686" s="44">
        <f t="shared" ca="1" si="175"/>
        <v>15</v>
      </c>
      <c r="T686" s="74">
        <f t="shared" ca="1" si="176"/>
        <v>46304.525928000003</v>
      </c>
      <c r="U686" s="75" t="s">
        <v>83</v>
      </c>
      <c r="V686" s="76">
        <f t="shared" si="173"/>
        <v>37.78</v>
      </c>
      <c r="W686" s="77" t="str">
        <f t="shared" si="177"/>
        <v/>
      </c>
      <c r="Y686" s="51">
        <f t="shared" ca="1" si="178"/>
        <v>239</v>
      </c>
      <c r="Z686" s="52">
        <f t="shared" ca="1" si="179"/>
        <v>0.34520547945205482</v>
      </c>
      <c r="AB686" s="46">
        <f t="shared" si="180"/>
        <v>7.3407609317918876</v>
      </c>
      <c r="AC686" s="83" t="str">
        <f t="shared" si="181"/>
        <v/>
      </c>
      <c r="AE686" s="55"/>
      <c r="AF686" s="72"/>
      <c r="AG686" s="72"/>
      <c r="AH686" s="66"/>
    </row>
    <row r="687" spans="1:34" ht="16" hidden="1" thickBot="1" x14ac:dyDescent="0.25">
      <c r="A687" s="82"/>
      <c r="B687" s="62"/>
      <c r="C687" s="87"/>
      <c r="D687" s="62"/>
      <c r="F687" s="55"/>
      <c r="G687" s="56"/>
      <c r="H687" s="55"/>
      <c r="I687" s="57"/>
      <c r="J687" s="65"/>
      <c r="K687" s="66"/>
      <c r="L687" s="132"/>
      <c r="M687" s="43">
        <f t="shared" si="168"/>
        <v>0</v>
      </c>
      <c r="N687" s="49">
        <f t="shared" si="169"/>
        <v>37.78</v>
      </c>
      <c r="O687" s="42">
        <f t="shared" si="170"/>
        <v>0</v>
      </c>
      <c r="P687" s="48">
        <f t="shared" ca="1" si="171"/>
        <v>46274.525928000003</v>
      </c>
      <c r="Q687" s="41">
        <f t="shared" ca="1" si="172"/>
        <v>46289.525928000003</v>
      </c>
      <c r="R687" s="41" t="b">
        <f t="shared" ca="1" si="174"/>
        <v>1</v>
      </c>
      <c r="S687" s="44">
        <f t="shared" ca="1" si="175"/>
        <v>15</v>
      </c>
      <c r="T687" s="74">
        <f t="shared" ca="1" si="176"/>
        <v>46304.525928000003</v>
      </c>
      <c r="U687" s="75" t="s">
        <v>83</v>
      </c>
      <c r="V687" s="76">
        <f t="shared" si="173"/>
        <v>37.78</v>
      </c>
      <c r="W687" s="77" t="str">
        <f t="shared" si="177"/>
        <v/>
      </c>
      <c r="Y687" s="51">
        <f t="shared" ca="1" si="178"/>
        <v>239</v>
      </c>
      <c r="Z687" s="52">
        <f t="shared" ca="1" si="179"/>
        <v>0.34520547945205482</v>
      </c>
      <c r="AB687" s="46">
        <f t="shared" si="180"/>
        <v>7.3407609317918876</v>
      </c>
      <c r="AC687" s="83" t="str">
        <f t="shared" si="181"/>
        <v/>
      </c>
      <c r="AE687" s="55"/>
      <c r="AF687" s="72"/>
      <c r="AG687" s="72"/>
      <c r="AH687" s="66"/>
    </row>
    <row r="688" spans="1:34" ht="16" hidden="1" thickBot="1" x14ac:dyDescent="0.25">
      <c r="A688" s="82"/>
      <c r="B688" s="62"/>
      <c r="C688" s="87"/>
      <c r="D688" s="62"/>
      <c r="F688" s="55"/>
      <c r="G688" s="56"/>
      <c r="H688" s="55"/>
      <c r="I688" s="57"/>
      <c r="J688" s="65"/>
      <c r="K688" s="66"/>
      <c r="L688" s="132"/>
      <c r="M688" s="43">
        <f t="shared" si="168"/>
        <v>0</v>
      </c>
      <c r="N688" s="49">
        <f t="shared" si="169"/>
        <v>37.78</v>
      </c>
      <c r="O688" s="42">
        <f t="shared" si="170"/>
        <v>0</v>
      </c>
      <c r="P688" s="48">
        <f t="shared" ca="1" si="171"/>
        <v>46274.525928000003</v>
      </c>
      <c r="Q688" s="41">
        <f t="shared" ca="1" si="172"/>
        <v>46289.525928000003</v>
      </c>
      <c r="R688" s="41" t="b">
        <f t="shared" ca="1" si="174"/>
        <v>1</v>
      </c>
      <c r="S688" s="44">
        <f t="shared" ca="1" si="175"/>
        <v>15</v>
      </c>
      <c r="T688" s="74">
        <f t="shared" ca="1" si="176"/>
        <v>46304.525928000003</v>
      </c>
      <c r="U688" s="75" t="s">
        <v>83</v>
      </c>
      <c r="V688" s="76">
        <f t="shared" si="173"/>
        <v>37.78</v>
      </c>
      <c r="W688" s="77" t="str">
        <f t="shared" si="177"/>
        <v/>
      </c>
      <c r="Y688" s="51">
        <f t="shared" ca="1" si="178"/>
        <v>239</v>
      </c>
      <c r="Z688" s="52">
        <f t="shared" ca="1" si="179"/>
        <v>0.34520547945205482</v>
      </c>
      <c r="AB688" s="46">
        <f t="shared" si="180"/>
        <v>7.3407609317918876</v>
      </c>
      <c r="AC688" s="83" t="str">
        <f t="shared" si="181"/>
        <v/>
      </c>
      <c r="AE688" s="55"/>
      <c r="AF688" s="72"/>
      <c r="AG688" s="72"/>
      <c r="AH688" s="66"/>
    </row>
    <row r="689" spans="1:34" ht="16" hidden="1" thickBot="1" x14ac:dyDescent="0.25">
      <c r="A689" s="82"/>
      <c r="B689" s="62"/>
      <c r="C689" s="87"/>
      <c r="D689" s="62"/>
      <c r="F689" s="55"/>
      <c r="G689" s="56"/>
      <c r="H689" s="55"/>
      <c r="I689" s="57"/>
      <c r="J689" s="65"/>
      <c r="K689" s="66"/>
      <c r="L689" s="132"/>
      <c r="M689" s="43">
        <f t="shared" si="168"/>
        <v>0</v>
      </c>
      <c r="N689" s="49">
        <f t="shared" si="169"/>
        <v>37.78</v>
      </c>
      <c r="O689" s="42">
        <f t="shared" si="170"/>
        <v>0</v>
      </c>
      <c r="P689" s="48">
        <f t="shared" ca="1" si="171"/>
        <v>46274.525928000003</v>
      </c>
      <c r="Q689" s="41">
        <f t="shared" ca="1" si="172"/>
        <v>46289.525928000003</v>
      </c>
      <c r="R689" s="41" t="b">
        <f t="shared" ca="1" si="174"/>
        <v>1</v>
      </c>
      <c r="S689" s="44">
        <f t="shared" ca="1" si="175"/>
        <v>15</v>
      </c>
      <c r="T689" s="74">
        <f t="shared" ca="1" si="176"/>
        <v>46304.525928000003</v>
      </c>
      <c r="U689" s="75" t="s">
        <v>83</v>
      </c>
      <c r="V689" s="76">
        <f t="shared" si="173"/>
        <v>37.78</v>
      </c>
      <c r="W689" s="77" t="str">
        <f t="shared" si="177"/>
        <v/>
      </c>
      <c r="Y689" s="51">
        <f t="shared" ca="1" si="178"/>
        <v>239</v>
      </c>
      <c r="Z689" s="52">
        <f t="shared" ca="1" si="179"/>
        <v>0.34520547945205482</v>
      </c>
      <c r="AB689" s="46">
        <f t="shared" si="180"/>
        <v>7.3407609317918876</v>
      </c>
      <c r="AC689" s="83" t="str">
        <f t="shared" si="181"/>
        <v/>
      </c>
      <c r="AE689" s="55"/>
      <c r="AF689" s="72"/>
      <c r="AG689" s="72"/>
      <c r="AH689" s="66"/>
    </row>
    <row r="690" spans="1:34" ht="16" hidden="1" thickBot="1" x14ac:dyDescent="0.25">
      <c r="A690" s="82"/>
      <c r="B690" s="62"/>
      <c r="C690" s="87"/>
      <c r="D690" s="62"/>
      <c r="F690" s="55"/>
      <c r="G690" s="56"/>
      <c r="H690" s="55"/>
      <c r="I690" s="57"/>
      <c r="J690" s="65"/>
      <c r="K690" s="66"/>
      <c r="L690" s="132"/>
      <c r="M690" s="43">
        <f t="shared" si="168"/>
        <v>0</v>
      </c>
      <c r="N690" s="49">
        <f t="shared" si="169"/>
        <v>37.78</v>
      </c>
      <c r="O690" s="42">
        <f t="shared" si="170"/>
        <v>0</v>
      </c>
      <c r="P690" s="48">
        <f t="shared" ca="1" si="171"/>
        <v>46274.525928000003</v>
      </c>
      <c r="Q690" s="41">
        <f t="shared" ca="1" si="172"/>
        <v>46289.525928000003</v>
      </c>
      <c r="R690" s="41" t="b">
        <f t="shared" ca="1" si="174"/>
        <v>1</v>
      </c>
      <c r="S690" s="44">
        <f t="shared" ca="1" si="175"/>
        <v>15</v>
      </c>
      <c r="T690" s="74">
        <f t="shared" ca="1" si="176"/>
        <v>46304.525928000003</v>
      </c>
      <c r="U690" s="75" t="s">
        <v>83</v>
      </c>
      <c r="V690" s="76">
        <f t="shared" si="173"/>
        <v>37.78</v>
      </c>
      <c r="W690" s="77" t="str">
        <f t="shared" si="177"/>
        <v/>
      </c>
      <c r="Y690" s="51">
        <f t="shared" ca="1" si="178"/>
        <v>239</v>
      </c>
      <c r="Z690" s="52">
        <f t="shared" ca="1" si="179"/>
        <v>0.34520547945205482</v>
      </c>
      <c r="AB690" s="46">
        <f t="shared" si="180"/>
        <v>7.3407609317918876</v>
      </c>
      <c r="AC690" s="83" t="str">
        <f t="shared" si="181"/>
        <v/>
      </c>
      <c r="AE690" s="55"/>
      <c r="AF690" s="72"/>
      <c r="AG690" s="72"/>
      <c r="AH690" s="66"/>
    </row>
    <row r="691" spans="1:34" ht="16" hidden="1" thickBot="1" x14ac:dyDescent="0.25">
      <c r="A691" s="82"/>
      <c r="B691" s="62"/>
      <c r="C691" s="87"/>
      <c r="D691" s="62"/>
      <c r="F691" s="55"/>
      <c r="G691" s="56"/>
      <c r="H691" s="55"/>
      <c r="I691" s="57"/>
      <c r="J691" s="65"/>
      <c r="K691" s="66"/>
      <c r="L691" s="132"/>
      <c r="M691" s="43">
        <f t="shared" si="168"/>
        <v>0</v>
      </c>
      <c r="N691" s="49">
        <f t="shared" si="169"/>
        <v>37.78</v>
      </c>
      <c r="O691" s="42">
        <f t="shared" si="170"/>
        <v>0</v>
      </c>
      <c r="P691" s="48">
        <f t="shared" ca="1" si="171"/>
        <v>46274.525928000003</v>
      </c>
      <c r="Q691" s="41">
        <f t="shared" ca="1" si="172"/>
        <v>46289.525928000003</v>
      </c>
      <c r="R691" s="41" t="b">
        <f t="shared" ca="1" si="174"/>
        <v>1</v>
      </c>
      <c r="S691" s="44">
        <f t="shared" ca="1" si="175"/>
        <v>15</v>
      </c>
      <c r="T691" s="74">
        <f t="shared" ca="1" si="176"/>
        <v>46304.525928000003</v>
      </c>
      <c r="U691" s="75" t="s">
        <v>83</v>
      </c>
      <c r="V691" s="76">
        <f t="shared" si="173"/>
        <v>37.78</v>
      </c>
      <c r="W691" s="77" t="str">
        <f t="shared" si="177"/>
        <v/>
      </c>
      <c r="Y691" s="51">
        <f t="shared" ca="1" si="178"/>
        <v>239</v>
      </c>
      <c r="Z691" s="52">
        <f t="shared" ca="1" si="179"/>
        <v>0.34520547945205482</v>
      </c>
      <c r="AB691" s="46">
        <f t="shared" si="180"/>
        <v>7.3407609317918876</v>
      </c>
      <c r="AC691" s="83" t="str">
        <f t="shared" si="181"/>
        <v/>
      </c>
      <c r="AE691" s="55"/>
      <c r="AF691" s="72"/>
      <c r="AG691" s="72"/>
      <c r="AH691" s="66"/>
    </row>
    <row r="692" spans="1:34" ht="16" hidden="1" thickBot="1" x14ac:dyDescent="0.25">
      <c r="A692" s="82"/>
      <c r="B692" s="62"/>
      <c r="C692" s="87"/>
      <c r="D692" s="62"/>
      <c r="F692" s="55"/>
      <c r="G692" s="56"/>
      <c r="H692" s="55"/>
      <c r="I692" s="57"/>
      <c r="J692" s="65"/>
      <c r="K692" s="66"/>
      <c r="L692" s="132"/>
      <c r="M692" s="43">
        <f t="shared" si="168"/>
        <v>0</v>
      </c>
      <c r="N692" s="49">
        <f t="shared" si="169"/>
        <v>37.78</v>
      </c>
      <c r="O692" s="42">
        <f t="shared" si="170"/>
        <v>0</v>
      </c>
      <c r="P692" s="48">
        <f t="shared" ca="1" si="171"/>
        <v>46274.525928000003</v>
      </c>
      <c r="Q692" s="41">
        <f t="shared" ca="1" si="172"/>
        <v>46289.525928000003</v>
      </c>
      <c r="R692" s="41" t="b">
        <f t="shared" ca="1" si="174"/>
        <v>1</v>
      </c>
      <c r="S692" s="44">
        <f t="shared" ca="1" si="175"/>
        <v>15</v>
      </c>
      <c r="T692" s="74">
        <f t="shared" ca="1" si="176"/>
        <v>46304.525928000003</v>
      </c>
      <c r="U692" s="75" t="s">
        <v>83</v>
      </c>
      <c r="V692" s="76">
        <f t="shared" si="173"/>
        <v>37.78</v>
      </c>
      <c r="W692" s="77" t="str">
        <f t="shared" si="177"/>
        <v/>
      </c>
      <c r="Y692" s="51">
        <f t="shared" ca="1" si="178"/>
        <v>239</v>
      </c>
      <c r="Z692" s="52">
        <f t="shared" ca="1" si="179"/>
        <v>0.34520547945205482</v>
      </c>
      <c r="AB692" s="46">
        <f t="shared" si="180"/>
        <v>7.3407609317918876</v>
      </c>
      <c r="AC692" s="83" t="str">
        <f t="shared" si="181"/>
        <v/>
      </c>
      <c r="AE692" s="55"/>
      <c r="AF692" s="72"/>
      <c r="AG692" s="72"/>
      <c r="AH692" s="66"/>
    </row>
    <row r="693" spans="1:34" ht="16" hidden="1" thickBot="1" x14ac:dyDescent="0.25">
      <c r="A693" s="82"/>
      <c r="B693" s="62"/>
      <c r="C693" s="87"/>
      <c r="D693" s="62"/>
      <c r="F693" s="55"/>
      <c r="G693" s="56"/>
      <c r="H693" s="55"/>
      <c r="I693" s="57"/>
      <c r="J693" s="65"/>
      <c r="K693" s="66"/>
      <c r="L693" s="132"/>
      <c r="M693" s="43">
        <f t="shared" si="168"/>
        <v>0</v>
      </c>
      <c r="N693" s="49">
        <f t="shared" si="169"/>
        <v>37.78</v>
      </c>
      <c r="O693" s="42">
        <f t="shared" si="170"/>
        <v>0</v>
      </c>
      <c r="P693" s="48">
        <f t="shared" ca="1" si="171"/>
        <v>46274.525928000003</v>
      </c>
      <c r="Q693" s="41">
        <f t="shared" ca="1" si="172"/>
        <v>46289.525928000003</v>
      </c>
      <c r="R693" s="41" t="b">
        <f t="shared" ca="1" si="174"/>
        <v>1</v>
      </c>
      <c r="S693" s="44">
        <f t="shared" ca="1" si="175"/>
        <v>15</v>
      </c>
      <c r="T693" s="74">
        <f t="shared" ca="1" si="176"/>
        <v>46304.525928000003</v>
      </c>
      <c r="U693" s="75" t="s">
        <v>83</v>
      </c>
      <c r="V693" s="76">
        <f t="shared" si="173"/>
        <v>37.78</v>
      </c>
      <c r="W693" s="77" t="str">
        <f t="shared" si="177"/>
        <v/>
      </c>
      <c r="Y693" s="51">
        <f t="shared" ca="1" si="178"/>
        <v>239</v>
      </c>
      <c r="Z693" s="52">
        <f t="shared" ca="1" si="179"/>
        <v>0.34520547945205482</v>
      </c>
      <c r="AB693" s="46">
        <f t="shared" si="180"/>
        <v>7.3407609317918876</v>
      </c>
      <c r="AC693" s="83" t="str">
        <f t="shared" si="181"/>
        <v/>
      </c>
      <c r="AE693" s="55"/>
      <c r="AF693" s="72"/>
      <c r="AG693" s="72"/>
      <c r="AH693" s="66"/>
    </row>
    <row r="694" spans="1:34" ht="16" hidden="1" thickBot="1" x14ac:dyDescent="0.25">
      <c r="A694" s="82"/>
      <c r="B694" s="62"/>
      <c r="C694" s="87"/>
      <c r="D694" s="62"/>
      <c r="F694" s="55"/>
      <c r="G694" s="56"/>
      <c r="H694" s="55"/>
      <c r="I694" s="57"/>
      <c r="J694" s="65"/>
      <c r="K694" s="66"/>
      <c r="L694" s="132"/>
      <c r="M694" s="43">
        <f t="shared" si="168"/>
        <v>0</v>
      </c>
      <c r="N694" s="49">
        <f t="shared" si="169"/>
        <v>37.78</v>
      </c>
      <c r="O694" s="42">
        <f t="shared" si="170"/>
        <v>0</v>
      </c>
      <c r="P694" s="48">
        <f t="shared" ca="1" si="171"/>
        <v>46274.525928000003</v>
      </c>
      <c r="Q694" s="41">
        <f t="shared" ca="1" si="172"/>
        <v>46289.525928000003</v>
      </c>
      <c r="R694" s="41" t="b">
        <f t="shared" ca="1" si="174"/>
        <v>1</v>
      </c>
      <c r="S694" s="44">
        <f t="shared" ca="1" si="175"/>
        <v>15</v>
      </c>
      <c r="T694" s="74">
        <f t="shared" ca="1" si="176"/>
        <v>46304.525928000003</v>
      </c>
      <c r="U694" s="75" t="s">
        <v>83</v>
      </c>
      <c r="V694" s="76">
        <f t="shared" si="173"/>
        <v>37.78</v>
      </c>
      <c r="W694" s="77" t="str">
        <f t="shared" si="177"/>
        <v/>
      </c>
      <c r="Y694" s="51">
        <f t="shared" ca="1" si="178"/>
        <v>239</v>
      </c>
      <c r="Z694" s="52">
        <f t="shared" ca="1" si="179"/>
        <v>0.34520547945205482</v>
      </c>
      <c r="AB694" s="46">
        <f t="shared" si="180"/>
        <v>7.3407609317918876</v>
      </c>
      <c r="AC694" s="83" t="str">
        <f t="shared" si="181"/>
        <v/>
      </c>
      <c r="AE694" s="55"/>
      <c r="AF694" s="72"/>
      <c r="AG694" s="72"/>
      <c r="AH694" s="66"/>
    </row>
    <row r="695" spans="1:34" ht="16" hidden="1" thickBot="1" x14ac:dyDescent="0.25">
      <c r="A695" s="82"/>
      <c r="B695" s="62"/>
      <c r="C695" s="87"/>
      <c r="D695" s="62"/>
      <c r="F695" s="55"/>
      <c r="G695" s="56"/>
      <c r="H695" s="55"/>
      <c r="I695" s="57"/>
      <c r="J695" s="65"/>
      <c r="K695" s="66"/>
      <c r="L695" s="132"/>
      <c r="M695" s="43">
        <f t="shared" si="168"/>
        <v>0</v>
      </c>
      <c r="N695" s="49">
        <f t="shared" si="169"/>
        <v>37.78</v>
      </c>
      <c r="O695" s="42">
        <f t="shared" si="170"/>
        <v>0</v>
      </c>
      <c r="P695" s="48">
        <f t="shared" ca="1" si="171"/>
        <v>46274.525928000003</v>
      </c>
      <c r="Q695" s="41">
        <f t="shared" ca="1" si="172"/>
        <v>46289.525928000003</v>
      </c>
      <c r="R695" s="41" t="b">
        <f t="shared" ca="1" si="174"/>
        <v>1</v>
      </c>
      <c r="S695" s="44">
        <f t="shared" ca="1" si="175"/>
        <v>15</v>
      </c>
      <c r="T695" s="74">
        <f t="shared" ca="1" si="176"/>
        <v>46304.525928000003</v>
      </c>
      <c r="U695" s="75" t="s">
        <v>83</v>
      </c>
      <c r="V695" s="76">
        <f t="shared" si="173"/>
        <v>37.78</v>
      </c>
      <c r="W695" s="77" t="str">
        <f t="shared" si="177"/>
        <v/>
      </c>
      <c r="Y695" s="51">
        <f t="shared" ca="1" si="178"/>
        <v>239</v>
      </c>
      <c r="Z695" s="52">
        <f t="shared" ca="1" si="179"/>
        <v>0.34520547945205482</v>
      </c>
      <c r="AB695" s="46">
        <f t="shared" si="180"/>
        <v>7.3407609317918876</v>
      </c>
      <c r="AC695" s="83" t="str">
        <f t="shared" si="181"/>
        <v/>
      </c>
      <c r="AE695" s="55"/>
      <c r="AF695" s="72"/>
      <c r="AG695" s="72"/>
      <c r="AH695" s="66"/>
    </row>
    <row r="696" spans="1:34" ht="16" hidden="1" thickBot="1" x14ac:dyDescent="0.25">
      <c r="A696" s="82"/>
      <c r="B696" s="62"/>
      <c r="C696" s="87"/>
      <c r="D696" s="62"/>
      <c r="F696" s="55"/>
      <c r="G696" s="56"/>
      <c r="H696" s="55"/>
      <c r="I696" s="57"/>
      <c r="J696" s="65"/>
      <c r="K696" s="66"/>
      <c r="L696" s="132"/>
      <c r="M696" s="43">
        <f t="shared" si="168"/>
        <v>0</v>
      </c>
      <c r="N696" s="49">
        <f t="shared" si="169"/>
        <v>37.78</v>
      </c>
      <c r="O696" s="42">
        <f t="shared" si="170"/>
        <v>0</v>
      </c>
      <c r="P696" s="48">
        <f t="shared" ca="1" si="171"/>
        <v>46274.525928000003</v>
      </c>
      <c r="Q696" s="41">
        <f t="shared" ca="1" si="172"/>
        <v>46289.525928000003</v>
      </c>
      <c r="R696" s="41" t="b">
        <f t="shared" ca="1" si="174"/>
        <v>1</v>
      </c>
      <c r="S696" s="44">
        <f t="shared" ca="1" si="175"/>
        <v>15</v>
      </c>
      <c r="T696" s="74">
        <f t="shared" ca="1" si="176"/>
        <v>46304.525928000003</v>
      </c>
      <c r="U696" s="75" t="s">
        <v>83</v>
      </c>
      <c r="V696" s="76">
        <f t="shared" si="173"/>
        <v>37.78</v>
      </c>
      <c r="W696" s="77" t="str">
        <f t="shared" si="177"/>
        <v/>
      </c>
      <c r="Y696" s="51">
        <f t="shared" ca="1" si="178"/>
        <v>239</v>
      </c>
      <c r="Z696" s="52">
        <f t="shared" ca="1" si="179"/>
        <v>0.34520547945205482</v>
      </c>
      <c r="AB696" s="46">
        <f t="shared" si="180"/>
        <v>7.3407609317918876</v>
      </c>
      <c r="AC696" s="83" t="str">
        <f t="shared" si="181"/>
        <v/>
      </c>
      <c r="AE696" s="55"/>
      <c r="AF696" s="72"/>
      <c r="AG696" s="72"/>
      <c r="AH696" s="66"/>
    </row>
    <row r="697" spans="1:34" ht="16" hidden="1" thickBot="1" x14ac:dyDescent="0.25">
      <c r="A697" s="82"/>
      <c r="B697" s="62"/>
      <c r="C697" s="87"/>
      <c r="D697" s="62"/>
      <c r="F697" s="55"/>
      <c r="G697" s="56"/>
      <c r="H697" s="55"/>
      <c r="I697" s="57"/>
      <c r="J697" s="65"/>
      <c r="K697" s="66"/>
      <c r="L697" s="132"/>
      <c r="M697" s="43">
        <f t="shared" si="168"/>
        <v>0</v>
      </c>
      <c r="N697" s="49">
        <f t="shared" si="169"/>
        <v>37.78</v>
      </c>
      <c r="O697" s="42">
        <f t="shared" si="170"/>
        <v>0</v>
      </c>
      <c r="P697" s="48">
        <f t="shared" ca="1" si="171"/>
        <v>46274.525928000003</v>
      </c>
      <c r="Q697" s="41">
        <f t="shared" ca="1" si="172"/>
        <v>46289.525928000003</v>
      </c>
      <c r="R697" s="41" t="b">
        <f t="shared" ca="1" si="174"/>
        <v>1</v>
      </c>
      <c r="S697" s="44">
        <f t="shared" ca="1" si="175"/>
        <v>15</v>
      </c>
      <c r="T697" s="74">
        <f t="shared" ca="1" si="176"/>
        <v>46304.525928000003</v>
      </c>
      <c r="U697" s="75" t="s">
        <v>83</v>
      </c>
      <c r="V697" s="76">
        <f t="shared" si="173"/>
        <v>37.78</v>
      </c>
      <c r="W697" s="77" t="str">
        <f t="shared" si="177"/>
        <v/>
      </c>
      <c r="Y697" s="51">
        <f t="shared" ca="1" si="178"/>
        <v>239</v>
      </c>
      <c r="Z697" s="52">
        <f t="shared" ca="1" si="179"/>
        <v>0.34520547945205482</v>
      </c>
      <c r="AB697" s="46">
        <f t="shared" si="180"/>
        <v>7.3407609317918876</v>
      </c>
      <c r="AC697" s="83" t="str">
        <f t="shared" si="181"/>
        <v/>
      </c>
      <c r="AE697" s="55"/>
      <c r="AF697" s="72"/>
      <c r="AG697" s="72"/>
      <c r="AH697" s="66"/>
    </row>
    <row r="698" spans="1:34" ht="16" hidden="1" thickBot="1" x14ac:dyDescent="0.25">
      <c r="A698" s="82"/>
      <c r="B698" s="62"/>
      <c r="C698" s="87"/>
      <c r="D698" s="62"/>
      <c r="F698" s="55"/>
      <c r="G698" s="56"/>
      <c r="H698" s="55"/>
      <c r="I698" s="57"/>
      <c r="J698" s="65"/>
      <c r="K698" s="66"/>
      <c r="L698" s="132"/>
      <c r="M698" s="43">
        <f t="shared" si="168"/>
        <v>0</v>
      </c>
      <c r="N698" s="49">
        <f t="shared" si="169"/>
        <v>37.78</v>
      </c>
      <c r="O698" s="42">
        <f t="shared" si="170"/>
        <v>0</v>
      </c>
      <c r="P698" s="48">
        <f t="shared" ca="1" si="171"/>
        <v>46274.525928000003</v>
      </c>
      <c r="Q698" s="41">
        <f t="shared" ca="1" si="172"/>
        <v>46289.525928000003</v>
      </c>
      <c r="R698" s="41" t="b">
        <f t="shared" ca="1" si="174"/>
        <v>1</v>
      </c>
      <c r="S698" s="44">
        <f t="shared" ca="1" si="175"/>
        <v>15</v>
      </c>
      <c r="T698" s="74">
        <f t="shared" ca="1" si="176"/>
        <v>46304.525928000003</v>
      </c>
      <c r="U698" s="75" t="s">
        <v>83</v>
      </c>
      <c r="V698" s="76">
        <f t="shared" si="173"/>
        <v>37.78</v>
      </c>
      <c r="W698" s="77" t="str">
        <f t="shared" si="177"/>
        <v/>
      </c>
      <c r="Y698" s="51">
        <f t="shared" ca="1" si="178"/>
        <v>239</v>
      </c>
      <c r="Z698" s="52">
        <f t="shared" ca="1" si="179"/>
        <v>0.34520547945205482</v>
      </c>
      <c r="AB698" s="46">
        <f t="shared" si="180"/>
        <v>7.3407609317918876</v>
      </c>
      <c r="AC698" s="83" t="str">
        <f t="shared" si="181"/>
        <v/>
      </c>
      <c r="AE698" s="55"/>
      <c r="AF698" s="72"/>
      <c r="AG698" s="72"/>
      <c r="AH698" s="66"/>
    </row>
    <row r="699" spans="1:34" ht="16" hidden="1" thickBot="1" x14ac:dyDescent="0.25">
      <c r="A699" s="82"/>
      <c r="B699" s="62"/>
      <c r="C699" s="87"/>
      <c r="D699" s="62"/>
      <c r="F699" s="55"/>
      <c r="G699" s="56"/>
      <c r="H699" s="55"/>
      <c r="I699" s="57"/>
      <c r="J699" s="65"/>
      <c r="K699" s="66"/>
      <c r="L699" s="132"/>
      <c r="M699" s="43">
        <f t="shared" si="168"/>
        <v>0</v>
      </c>
      <c r="N699" s="49">
        <f t="shared" si="169"/>
        <v>37.78</v>
      </c>
      <c r="O699" s="42">
        <f t="shared" si="170"/>
        <v>0</v>
      </c>
      <c r="P699" s="48">
        <f t="shared" ca="1" si="171"/>
        <v>46274.525928000003</v>
      </c>
      <c r="Q699" s="41">
        <f t="shared" ca="1" si="172"/>
        <v>46289.525928000003</v>
      </c>
      <c r="R699" s="41" t="b">
        <f t="shared" ca="1" si="174"/>
        <v>1</v>
      </c>
      <c r="S699" s="44">
        <f t="shared" ca="1" si="175"/>
        <v>15</v>
      </c>
      <c r="T699" s="74">
        <f t="shared" ca="1" si="176"/>
        <v>46304.525928000003</v>
      </c>
      <c r="U699" s="75" t="s">
        <v>83</v>
      </c>
      <c r="V699" s="76">
        <f t="shared" si="173"/>
        <v>37.78</v>
      </c>
      <c r="W699" s="77" t="str">
        <f t="shared" si="177"/>
        <v/>
      </c>
      <c r="Y699" s="51">
        <f t="shared" ca="1" si="178"/>
        <v>239</v>
      </c>
      <c r="Z699" s="52">
        <f t="shared" ca="1" si="179"/>
        <v>0.34520547945205482</v>
      </c>
      <c r="AB699" s="46">
        <f t="shared" si="180"/>
        <v>7.3407609317918876</v>
      </c>
      <c r="AC699" s="83" t="str">
        <f t="shared" si="181"/>
        <v/>
      </c>
      <c r="AE699" s="55"/>
      <c r="AF699" s="72"/>
      <c r="AG699" s="72"/>
      <c r="AH699" s="66"/>
    </row>
    <row r="700" spans="1:34" ht="16" hidden="1" thickBot="1" x14ac:dyDescent="0.25">
      <c r="A700" s="82"/>
      <c r="B700" s="62"/>
      <c r="C700" s="87"/>
      <c r="D700" s="62"/>
      <c r="F700" s="55"/>
      <c r="G700" s="56"/>
      <c r="H700" s="55"/>
      <c r="I700" s="57"/>
      <c r="J700" s="65"/>
      <c r="K700" s="66"/>
      <c r="L700" s="132"/>
      <c r="M700" s="43">
        <f t="shared" si="168"/>
        <v>0</v>
      </c>
      <c r="N700" s="49">
        <f t="shared" si="169"/>
        <v>37.78</v>
      </c>
      <c r="O700" s="42">
        <f t="shared" si="170"/>
        <v>0</v>
      </c>
      <c r="P700" s="48">
        <f t="shared" ca="1" si="171"/>
        <v>46274.525928000003</v>
      </c>
      <c r="Q700" s="41">
        <f t="shared" ca="1" si="172"/>
        <v>46289.525928000003</v>
      </c>
      <c r="R700" s="41" t="b">
        <f t="shared" ca="1" si="174"/>
        <v>1</v>
      </c>
      <c r="S700" s="44">
        <f t="shared" ca="1" si="175"/>
        <v>15</v>
      </c>
      <c r="T700" s="74">
        <f t="shared" ca="1" si="176"/>
        <v>46304.525928000003</v>
      </c>
      <c r="U700" s="75" t="s">
        <v>83</v>
      </c>
      <c r="V700" s="76">
        <f t="shared" si="173"/>
        <v>37.78</v>
      </c>
      <c r="W700" s="77" t="str">
        <f t="shared" si="177"/>
        <v/>
      </c>
      <c r="Y700" s="51">
        <f t="shared" ca="1" si="178"/>
        <v>239</v>
      </c>
      <c r="Z700" s="52">
        <f t="shared" ca="1" si="179"/>
        <v>0.34520547945205482</v>
      </c>
      <c r="AB700" s="46">
        <f t="shared" si="180"/>
        <v>7.3407609317918876</v>
      </c>
      <c r="AC700" s="83" t="str">
        <f t="shared" si="181"/>
        <v/>
      </c>
      <c r="AE700" s="55"/>
      <c r="AF700" s="72"/>
      <c r="AG700" s="72"/>
      <c r="AH700" s="66"/>
    </row>
    <row r="701" spans="1:34" ht="16" hidden="1" thickBot="1" x14ac:dyDescent="0.25">
      <c r="A701" s="82"/>
      <c r="B701" s="62"/>
      <c r="C701" s="87"/>
      <c r="D701" s="62"/>
      <c r="F701" s="55"/>
      <c r="G701" s="56"/>
      <c r="H701" s="55"/>
      <c r="I701" s="57"/>
      <c r="J701" s="65"/>
      <c r="K701" s="66"/>
      <c r="L701" s="132"/>
      <c r="M701" s="43">
        <f t="shared" si="168"/>
        <v>0</v>
      </c>
      <c r="N701" s="49">
        <f t="shared" si="169"/>
        <v>37.78</v>
      </c>
      <c r="O701" s="42">
        <f t="shared" si="170"/>
        <v>0</v>
      </c>
      <c r="P701" s="48">
        <f t="shared" ca="1" si="171"/>
        <v>46274.525928000003</v>
      </c>
      <c r="Q701" s="41">
        <f t="shared" ca="1" si="172"/>
        <v>46289.525928000003</v>
      </c>
      <c r="R701" s="41" t="b">
        <f t="shared" ca="1" si="174"/>
        <v>1</v>
      </c>
      <c r="S701" s="44">
        <f t="shared" ca="1" si="175"/>
        <v>15</v>
      </c>
      <c r="T701" s="74">
        <f t="shared" ca="1" si="176"/>
        <v>46304.525928000003</v>
      </c>
      <c r="U701" s="75" t="s">
        <v>83</v>
      </c>
      <c r="V701" s="76">
        <f t="shared" si="173"/>
        <v>37.78</v>
      </c>
      <c r="W701" s="77" t="str">
        <f t="shared" si="177"/>
        <v/>
      </c>
      <c r="Y701" s="51">
        <f t="shared" ca="1" si="178"/>
        <v>239</v>
      </c>
      <c r="Z701" s="52">
        <f t="shared" ca="1" si="179"/>
        <v>0.34520547945205482</v>
      </c>
      <c r="AB701" s="46">
        <f t="shared" si="180"/>
        <v>7.3407609317918876</v>
      </c>
      <c r="AC701" s="83" t="str">
        <f t="shared" si="181"/>
        <v/>
      </c>
      <c r="AE701" s="55"/>
      <c r="AF701" s="72"/>
      <c r="AG701" s="72"/>
      <c r="AH701" s="66"/>
    </row>
    <row r="702" spans="1:34" ht="16" hidden="1" thickBot="1" x14ac:dyDescent="0.25">
      <c r="A702" s="82"/>
      <c r="B702" s="62"/>
      <c r="C702" s="87"/>
      <c r="D702" s="62"/>
      <c r="F702" s="55"/>
      <c r="G702" s="56"/>
      <c r="H702" s="55"/>
      <c r="I702" s="57"/>
      <c r="J702" s="65"/>
      <c r="K702" s="66"/>
      <c r="L702" s="132"/>
      <c r="M702" s="43">
        <f t="shared" si="168"/>
        <v>0</v>
      </c>
      <c r="N702" s="49">
        <f t="shared" si="169"/>
        <v>37.78</v>
      </c>
      <c r="O702" s="42">
        <f t="shared" si="170"/>
        <v>0</v>
      </c>
      <c r="P702" s="48">
        <f t="shared" ca="1" si="171"/>
        <v>46274.525928000003</v>
      </c>
      <c r="Q702" s="41">
        <f t="shared" ca="1" si="172"/>
        <v>46289.525928000003</v>
      </c>
      <c r="R702" s="41" t="b">
        <f t="shared" ca="1" si="174"/>
        <v>1</v>
      </c>
      <c r="S702" s="44">
        <f t="shared" ca="1" si="175"/>
        <v>15</v>
      </c>
      <c r="T702" s="74">
        <f t="shared" ca="1" si="176"/>
        <v>46304.525928000003</v>
      </c>
      <c r="U702" s="75" t="s">
        <v>83</v>
      </c>
      <c r="V702" s="76">
        <f t="shared" si="173"/>
        <v>37.78</v>
      </c>
      <c r="W702" s="77" t="str">
        <f t="shared" si="177"/>
        <v/>
      </c>
      <c r="Y702" s="51">
        <f t="shared" ca="1" si="178"/>
        <v>239</v>
      </c>
      <c r="Z702" s="52">
        <f t="shared" ca="1" si="179"/>
        <v>0.34520547945205482</v>
      </c>
      <c r="AB702" s="46">
        <f t="shared" si="180"/>
        <v>7.3407609317918876</v>
      </c>
      <c r="AC702" s="83" t="str">
        <f t="shared" si="181"/>
        <v/>
      </c>
      <c r="AE702" s="55"/>
      <c r="AF702" s="72"/>
      <c r="AG702" s="72"/>
      <c r="AH702" s="66"/>
    </row>
    <row r="703" spans="1:34" ht="16" hidden="1" thickBot="1" x14ac:dyDescent="0.25">
      <c r="A703" s="82"/>
      <c r="B703" s="62"/>
      <c r="C703" s="87"/>
      <c r="D703" s="62"/>
      <c r="F703" s="55"/>
      <c r="G703" s="56"/>
      <c r="H703" s="55"/>
      <c r="I703" s="57"/>
      <c r="J703" s="65"/>
      <c r="K703" s="66"/>
      <c r="L703" s="132"/>
      <c r="M703" s="43">
        <f t="shared" si="168"/>
        <v>0</v>
      </c>
      <c r="N703" s="49">
        <f t="shared" si="169"/>
        <v>37.78</v>
      </c>
      <c r="O703" s="42">
        <f t="shared" si="170"/>
        <v>0</v>
      </c>
      <c r="P703" s="48">
        <f t="shared" ca="1" si="171"/>
        <v>46274.525928000003</v>
      </c>
      <c r="Q703" s="41">
        <f t="shared" ca="1" si="172"/>
        <v>46289.525928000003</v>
      </c>
      <c r="R703" s="41" t="b">
        <f t="shared" ca="1" si="174"/>
        <v>1</v>
      </c>
      <c r="S703" s="44">
        <f t="shared" ca="1" si="175"/>
        <v>15</v>
      </c>
      <c r="T703" s="74">
        <f t="shared" ca="1" si="176"/>
        <v>46304.525928000003</v>
      </c>
      <c r="U703" s="75" t="s">
        <v>83</v>
      </c>
      <c r="V703" s="76">
        <f t="shared" si="173"/>
        <v>37.78</v>
      </c>
      <c r="W703" s="77" t="str">
        <f t="shared" si="177"/>
        <v/>
      </c>
      <c r="Y703" s="51">
        <f t="shared" ca="1" si="178"/>
        <v>239</v>
      </c>
      <c r="Z703" s="52">
        <f t="shared" ca="1" si="179"/>
        <v>0.34520547945205482</v>
      </c>
      <c r="AB703" s="46">
        <f t="shared" si="180"/>
        <v>7.3407609317918876</v>
      </c>
      <c r="AC703" s="83" t="str">
        <f t="shared" si="181"/>
        <v/>
      </c>
      <c r="AE703" s="55"/>
      <c r="AF703" s="72"/>
      <c r="AG703" s="72"/>
      <c r="AH703" s="66"/>
    </row>
    <row r="704" spans="1:34" ht="16" hidden="1" thickBot="1" x14ac:dyDescent="0.25">
      <c r="A704" s="82"/>
      <c r="B704" s="62"/>
      <c r="C704" s="87"/>
      <c r="D704" s="62"/>
      <c r="F704" s="55"/>
      <c r="G704" s="56"/>
      <c r="H704" s="55"/>
      <c r="I704" s="57"/>
      <c r="J704" s="65"/>
      <c r="K704" s="66"/>
      <c r="L704" s="132"/>
      <c r="M704" s="43">
        <f t="shared" si="168"/>
        <v>0</v>
      </c>
      <c r="N704" s="49">
        <f t="shared" si="169"/>
        <v>37.78</v>
      </c>
      <c r="O704" s="42">
        <f t="shared" si="170"/>
        <v>0</v>
      </c>
      <c r="P704" s="48">
        <f t="shared" ca="1" si="171"/>
        <v>46274.525928000003</v>
      </c>
      <c r="Q704" s="41">
        <f t="shared" ca="1" si="172"/>
        <v>46289.525928000003</v>
      </c>
      <c r="R704" s="41" t="b">
        <f t="shared" ref="R704:R767" ca="1" si="182">AND(Q704&gt;=DATE(YEAR(Q704),3,31)-WEEKDAY(DATE(YEAR(Q704),3,31),2),Q704&lt;DATE(YEAR(Q704),10,31)-WEEKDAY(DATE(YEAR(Q704),10,31),2))</f>
        <v>1</v>
      </c>
      <c r="S704" s="44">
        <f t="shared" ref="S704:S767" ca="1" si="183">IF(R704,15,0)</f>
        <v>15</v>
      </c>
      <c r="T704" s="74">
        <f t="shared" ref="T704:T767" ca="1" si="184">Q704+S704</f>
        <v>46304.525928000003</v>
      </c>
      <c r="U704" s="75" t="s">
        <v>83</v>
      </c>
      <c r="V704" s="76">
        <f t="shared" si="173"/>
        <v>37.78</v>
      </c>
      <c r="W704" s="77" t="str">
        <f t="shared" ref="W704:W767" si="185">IF(M704&gt;0,V704,"")</f>
        <v/>
      </c>
      <c r="Y704" s="51">
        <f t="shared" ca="1" si="178"/>
        <v>239</v>
      </c>
      <c r="Z704" s="52">
        <f t="shared" ca="1" si="179"/>
        <v>0.34520547945205482</v>
      </c>
      <c r="AB704" s="46">
        <f t="shared" si="180"/>
        <v>7.3407609317918876</v>
      </c>
      <c r="AC704" s="83" t="str">
        <f t="shared" ref="AC704:AC767" si="186">(IF(M704&gt;0,MOD(AB704+AB$11,24)/24,""))</f>
        <v/>
      </c>
      <c r="AE704" s="55"/>
      <c r="AF704" s="72"/>
      <c r="AG704" s="72"/>
      <c r="AH704" s="66"/>
    </row>
    <row r="705" spans="1:34" ht="16" hidden="1" thickBot="1" x14ac:dyDescent="0.25">
      <c r="A705" s="82"/>
      <c r="B705" s="62"/>
      <c r="C705" s="87"/>
      <c r="D705" s="62"/>
      <c r="F705" s="55"/>
      <c r="G705" s="56"/>
      <c r="H705" s="55"/>
      <c r="I705" s="57"/>
      <c r="J705" s="65"/>
      <c r="K705" s="66"/>
      <c r="L705" s="132"/>
      <c r="M705" s="43">
        <f t="shared" si="168"/>
        <v>0</v>
      </c>
      <c r="N705" s="49">
        <f t="shared" si="169"/>
        <v>37.78</v>
      </c>
      <c r="O705" s="42">
        <f t="shared" si="170"/>
        <v>0</v>
      </c>
      <c r="P705" s="48">
        <f t="shared" ca="1" si="171"/>
        <v>46274.525928000003</v>
      </c>
      <c r="Q705" s="41">
        <f t="shared" ca="1" si="172"/>
        <v>46289.525928000003</v>
      </c>
      <c r="R705" s="41" t="b">
        <f t="shared" ca="1" si="182"/>
        <v>1</v>
      </c>
      <c r="S705" s="44">
        <f t="shared" ca="1" si="183"/>
        <v>15</v>
      </c>
      <c r="T705" s="74">
        <f t="shared" ca="1" si="184"/>
        <v>46304.525928000003</v>
      </c>
      <c r="U705" s="75" t="s">
        <v>83</v>
      </c>
      <c r="V705" s="76">
        <f t="shared" si="173"/>
        <v>37.78</v>
      </c>
      <c r="W705" s="77" t="str">
        <f t="shared" si="185"/>
        <v/>
      </c>
      <c r="Y705" s="51">
        <f t="shared" ca="1" si="178"/>
        <v>239</v>
      </c>
      <c r="Z705" s="52">
        <f t="shared" ca="1" si="179"/>
        <v>0.34520547945205482</v>
      </c>
      <c r="AB705" s="46">
        <f t="shared" si="180"/>
        <v>7.3407609317918876</v>
      </c>
      <c r="AC705" s="83" t="str">
        <f t="shared" si="186"/>
        <v/>
      </c>
      <c r="AE705" s="55"/>
      <c r="AF705" s="72"/>
      <c r="AG705" s="72"/>
      <c r="AH705" s="66"/>
    </row>
    <row r="706" spans="1:34" ht="16" hidden="1" thickBot="1" x14ac:dyDescent="0.25">
      <c r="A706" s="82"/>
      <c r="B706" s="62"/>
      <c r="C706" s="87"/>
      <c r="D706" s="62"/>
      <c r="F706" s="55"/>
      <c r="G706" s="56"/>
      <c r="H706" s="55"/>
      <c r="I706" s="57"/>
      <c r="J706" s="65"/>
      <c r="K706" s="66"/>
      <c r="L706" s="132"/>
      <c r="M706" s="43">
        <f t="shared" si="168"/>
        <v>0</v>
      </c>
      <c r="N706" s="49">
        <f t="shared" si="169"/>
        <v>37.78</v>
      </c>
      <c r="O706" s="42">
        <f t="shared" si="170"/>
        <v>0</v>
      </c>
      <c r="P706" s="48">
        <f t="shared" ca="1" si="171"/>
        <v>46274.525928000003</v>
      </c>
      <c r="Q706" s="41">
        <f t="shared" ca="1" si="172"/>
        <v>46289.525928000003</v>
      </c>
      <c r="R706" s="41" t="b">
        <f t="shared" ca="1" si="182"/>
        <v>1</v>
      </c>
      <c r="S706" s="44">
        <f t="shared" ca="1" si="183"/>
        <v>15</v>
      </c>
      <c r="T706" s="74">
        <f t="shared" ca="1" si="184"/>
        <v>46304.525928000003</v>
      </c>
      <c r="U706" s="75" t="s">
        <v>83</v>
      </c>
      <c r="V706" s="76">
        <f t="shared" si="173"/>
        <v>37.78</v>
      </c>
      <c r="W706" s="77" t="str">
        <f t="shared" si="185"/>
        <v/>
      </c>
      <c r="Y706" s="51">
        <f t="shared" ca="1" si="178"/>
        <v>239</v>
      </c>
      <c r="Z706" s="52">
        <f t="shared" ca="1" si="179"/>
        <v>0.34520547945205482</v>
      </c>
      <c r="AB706" s="46">
        <f t="shared" si="180"/>
        <v>7.3407609317918876</v>
      </c>
      <c r="AC706" s="83" t="str">
        <f t="shared" si="186"/>
        <v/>
      </c>
      <c r="AE706" s="55"/>
      <c r="AF706" s="72"/>
      <c r="AG706" s="72"/>
      <c r="AH706" s="66"/>
    </row>
    <row r="707" spans="1:34" ht="16" hidden="1" thickBot="1" x14ac:dyDescent="0.25">
      <c r="A707" s="82"/>
      <c r="B707" s="62"/>
      <c r="C707" s="87"/>
      <c r="D707" s="62"/>
      <c r="F707" s="55"/>
      <c r="G707" s="56"/>
      <c r="H707" s="55"/>
      <c r="I707" s="57"/>
      <c r="J707" s="65"/>
      <c r="K707" s="66"/>
      <c r="L707" s="132"/>
      <c r="M707" s="43">
        <f t="shared" si="168"/>
        <v>0</v>
      </c>
      <c r="N707" s="49">
        <f t="shared" si="169"/>
        <v>37.78</v>
      </c>
      <c r="O707" s="42">
        <f t="shared" si="170"/>
        <v>0</v>
      </c>
      <c r="P707" s="48">
        <f t="shared" ca="1" si="171"/>
        <v>46274.525928000003</v>
      </c>
      <c r="Q707" s="41">
        <f t="shared" ca="1" si="172"/>
        <v>46289.525928000003</v>
      </c>
      <c r="R707" s="41" t="b">
        <f t="shared" ca="1" si="182"/>
        <v>1</v>
      </c>
      <c r="S707" s="44">
        <f t="shared" ca="1" si="183"/>
        <v>15</v>
      </c>
      <c r="T707" s="74">
        <f t="shared" ca="1" si="184"/>
        <v>46304.525928000003</v>
      </c>
      <c r="U707" s="75" t="s">
        <v>83</v>
      </c>
      <c r="V707" s="76">
        <f t="shared" si="173"/>
        <v>37.78</v>
      </c>
      <c r="W707" s="77" t="str">
        <f t="shared" si="185"/>
        <v/>
      </c>
      <c r="Y707" s="51">
        <f t="shared" ca="1" si="178"/>
        <v>239</v>
      </c>
      <c r="Z707" s="52">
        <f t="shared" ca="1" si="179"/>
        <v>0.34520547945205482</v>
      </c>
      <c r="AB707" s="46">
        <f t="shared" si="180"/>
        <v>7.3407609317918876</v>
      </c>
      <c r="AC707" s="83" t="str">
        <f t="shared" si="186"/>
        <v/>
      </c>
      <c r="AE707" s="55"/>
      <c r="AF707" s="72"/>
      <c r="AG707" s="72"/>
      <c r="AH707" s="66"/>
    </row>
    <row r="708" spans="1:34" ht="16" hidden="1" thickBot="1" x14ac:dyDescent="0.25">
      <c r="A708" s="82"/>
      <c r="B708" s="62"/>
      <c r="C708" s="87"/>
      <c r="D708" s="62"/>
      <c r="F708" s="55"/>
      <c r="G708" s="56"/>
      <c r="H708" s="55"/>
      <c r="I708" s="57"/>
      <c r="J708" s="65"/>
      <c r="K708" s="66"/>
      <c r="L708" s="132"/>
      <c r="M708" s="43">
        <f t="shared" si="168"/>
        <v>0</v>
      </c>
      <c r="N708" s="49">
        <f t="shared" si="169"/>
        <v>37.78</v>
      </c>
      <c r="O708" s="42">
        <f t="shared" si="170"/>
        <v>0</v>
      </c>
      <c r="P708" s="48">
        <f t="shared" ca="1" si="171"/>
        <v>46274.525928000003</v>
      </c>
      <c r="Q708" s="41">
        <f t="shared" ca="1" si="172"/>
        <v>46289.525928000003</v>
      </c>
      <c r="R708" s="41" t="b">
        <f t="shared" ca="1" si="182"/>
        <v>1</v>
      </c>
      <c r="S708" s="44">
        <f t="shared" ca="1" si="183"/>
        <v>15</v>
      </c>
      <c r="T708" s="74">
        <f t="shared" ca="1" si="184"/>
        <v>46304.525928000003</v>
      </c>
      <c r="U708" s="75" t="s">
        <v>83</v>
      </c>
      <c r="V708" s="76">
        <f t="shared" si="173"/>
        <v>37.78</v>
      </c>
      <c r="W708" s="77" t="str">
        <f t="shared" si="185"/>
        <v/>
      </c>
      <c r="Y708" s="51">
        <f t="shared" ca="1" si="178"/>
        <v>239</v>
      </c>
      <c r="Z708" s="52">
        <f t="shared" ca="1" si="179"/>
        <v>0.34520547945205482</v>
      </c>
      <c r="AB708" s="46">
        <f t="shared" si="180"/>
        <v>7.3407609317918876</v>
      </c>
      <c r="AC708" s="83" t="str">
        <f t="shared" si="186"/>
        <v/>
      </c>
      <c r="AE708" s="55"/>
      <c r="AF708" s="72"/>
      <c r="AG708" s="72"/>
      <c r="AH708" s="66"/>
    </row>
    <row r="709" spans="1:34" ht="16" hidden="1" thickBot="1" x14ac:dyDescent="0.25">
      <c r="A709" s="82"/>
      <c r="B709" s="62"/>
      <c r="C709" s="87"/>
      <c r="D709" s="62"/>
      <c r="F709" s="55"/>
      <c r="G709" s="56"/>
      <c r="H709" s="55"/>
      <c r="I709" s="57"/>
      <c r="J709" s="65"/>
      <c r="K709" s="66"/>
      <c r="L709" s="132"/>
      <c r="M709" s="43">
        <f t="shared" si="168"/>
        <v>0</v>
      </c>
      <c r="N709" s="49">
        <f t="shared" si="169"/>
        <v>37.78</v>
      </c>
      <c r="O709" s="42">
        <f t="shared" si="170"/>
        <v>0</v>
      </c>
      <c r="P709" s="48">
        <f t="shared" ca="1" si="171"/>
        <v>46274.525928000003</v>
      </c>
      <c r="Q709" s="41">
        <f t="shared" ca="1" si="172"/>
        <v>46289.525928000003</v>
      </c>
      <c r="R709" s="41" t="b">
        <f t="shared" ca="1" si="182"/>
        <v>1</v>
      </c>
      <c r="S709" s="44">
        <f t="shared" ca="1" si="183"/>
        <v>15</v>
      </c>
      <c r="T709" s="74">
        <f t="shared" ca="1" si="184"/>
        <v>46304.525928000003</v>
      </c>
      <c r="U709" s="75" t="s">
        <v>83</v>
      </c>
      <c r="V709" s="76">
        <f t="shared" si="173"/>
        <v>37.78</v>
      </c>
      <c r="W709" s="77" t="str">
        <f t="shared" si="185"/>
        <v/>
      </c>
      <c r="Y709" s="51">
        <f t="shared" ca="1" si="178"/>
        <v>239</v>
      </c>
      <c r="Z709" s="52">
        <f t="shared" ca="1" si="179"/>
        <v>0.34520547945205482</v>
      </c>
      <c r="AB709" s="46">
        <f t="shared" si="180"/>
        <v>7.3407609317918876</v>
      </c>
      <c r="AC709" s="83" t="str">
        <f t="shared" si="186"/>
        <v/>
      </c>
      <c r="AE709" s="55"/>
      <c r="AF709" s="72"/>
      <c r="AG709" s="72"/>
      <c r="AH709" s="66"/>
    </row>
    <row r="710" spans="1:34" ht="16" hidden="1" thickBot="1" x14ac:dyDescent="0.25">
      <c r="A710" s="82"/>
      <c r="B710" s="62"/>
      <c r="C710" s="87"/>
      <c r="D710" s="62"/>
      <c r="F710" s="55"/>
      <c r="G710" s="56"/>
      <c r="H710" s="55"/>
      <c r="I710" s="57"/>
      <c r="J710" s="65"/>
      <c r="K710" s="66"/>
      <c r="L710" s="132"/>
      <c r="M710" s="43">
        <f t="shared" si="168"/>
        <v>0</v>
      </c>
      <c r="N710" s="49">
        <f t="shared" si="169"/>
        <v>37.78</v>
      </c>
      <c r="O710" s="42">
        <f t="shared" si="170"/>
        <v>0</v>
      </c>
      <c r="P710" s="48">
        <f t="shared" ca="1" si="171"/>
        <v>46274.525928000003</v>
      </c>
      <c r="Q710" s="41">
        <f t="shared" ca="1" si="172"/>
        <v>46289.525928000003</v>
      </c>
      <c r="R710" s="41" t="b">
        <f t="shared" ca="1" si="182"/>
        <v>1</v>
      </c>
      <c r="S710" s="44">
        <f t="shared" ca="1" si="183"/>
        <v>15</v>
      </c>
      <c r="T710" s="74">
        <f t="shared" ca="1" si="184"/>
        <v>46304.525928000003</v>
      </c>
      <c r="U710" s="75" t="s">
        <v>83</v>
      </c>
      <c r="V710" s="76">
        <f t="shared" si="173"/>
        <v>37.78</v>
      </c>
      <c r="W710" s="77" t="str">
        <f t="shared" si="185"/>
        <v/>
      </c>
      <c r="Y710" s="51">
        <f t="shared" ca="1" si="178"/>
        <v>239</v>
      </c>
      <c r="Z710" s="52">
        <f t="shared" ca="1" si="179"/>
        <v>0.34520547945205482</v>
      </c>
      <c r="AB710" s="46">
        <f t="shared" si="180"/>
        <v>7.3407609317918876</v>
      </c>
      <c r="AC710" s="83" t="str">
        <f t="shared" si="186"/>
        <v/>
      </c>
      <c r="AE710" s="55"/>
      <c r="AF710" s="72"/>
      <c r="AG710" s="72"/>
      <c r="AH710" s="66"/>
    </row>
    <row r="711" spans="1:34" ht="16" hidden="1" thickBot="1" x14ac:dyDescent="0.25">
      <c r="A711" s="82"/>
      <c r="B711" s="62"/>
      <c r="C711" s="87"/>
      <c r="D711" s="62"/>
      <c r="F711" s="55"/>
      <c r="G711" s="56"/>
      <c r="H711" s="55"/>
      <c r="I711" s="57"/>
      <c r="J711" s="65"/>
      <c r="K711" s="66"/>
      <c r="L711" s="132"/>
      <c r="M711" s="43">
        <f t="shared" si="168"/>
        <v>0</v>
      </c>
      <c r="N711" s="49">
        <f t="shared" si="169"/>
        <v>37.78</v>
      </c>
      <c r="O711" s="42">
        <f t="shared" si="170"/>
        <v>0</v>
      </c>
      <c r="P711" s="48">
        <f t="shared" ca="1" si="171"/>
        <v>46274.525928000003</v>
      </c>
      <c r="Q711" s="41">
        <f t="shared" ca="1" si="172"/>
        <v>46289.525928000003</v>
      </c>
      <c r="R711" s="41" t="b">
        <f t="shared" ca="1" si="182"/>
        <v>1</v>
      </c>
      <c r="S711" s="44">
        <f t="shared" ca="1" si="183"/>
        <v>15</v>
      </c>
      <c r="T711" s="74">
        <f t="shared" ca="1" si="184"/>
        <v>46304.525928000003</v>
      </c>
      <c r="U711" s="75" t="s">
        <v>83</v>
      </c>
      <c r="V711" s="76">
        <f t="shared" si="173"/>
        <v>37.78</v>
      </c>
      <c r="W711" s="77" t="str">
        <f t="shared" si="185"/>
        <v/>
      </c>
      <c r="Y711" s="51">
        <f t="shared" ca="1" si="178"/>
        <v>239</v>
      </c>
      <c r="Z711" s="52">
        <f t="shared" ca="1" si="179"/>
        <v>0.34520547945205482</v>
      </c>
      <c r="AB711" s="46">
        <f t="shared" si="180"/>
        <v>7.3407609317918876</v>
      </c>
      <c r="AC711" s="83" t="str">
        <f t="shared" si="186"/>
        <v/>
      </c>
      <c r="AE711" s="55"/>
      <c r="AF711" s="72"/>
      <c r="AG711" s="72"/>
      <c r="AH711" s="66"/>
    </row>
    <row r="712" spans="1:34" ht="16" hidden="1" thickBot="1" x14ac:dyDescent="0.25">
      <c r="A712" s="82"/>
      <c r="B712" s="62"/>
      <c r="C712" s="87"/>
      <c r="D712" s="62"/>
      <c r="F712" s="55"/>
      <c r="G712" s="56"/>
      <c r="H712" s="55"/>
      <c r="I712" s="57"/>
      <c r="J712" s="65"/>
      <c r="K712" s="66"/>
      <c r="L712" s="132"/>
      <c r="M712" s="43">
        <f t="shared" si="168"/>
        <v>0</v>
      </c>
      <c r="N712" s="49">
        <f t="shared" si="169"/>
        <v>37.78</v>
      </c>
      <c r="O712" s="42">
        <f t="shared" si="170"/>
        <v>0</v>
      </c>
      <c r="P712" s="48">
        <f t="shared" ca="1" si="171"/>
        <v>46274.525928000003</v>
      </c>
      <c r="Q712" s="41">
        <f t="shared" ca="1" si="172"/>
        <v>46289.525928000003</v>
      </c>
      <c r="R712" s="41" t="b">
        <f t="shared" ca="1" si="182"/>
        <v>1</v>
      </c>
      <c r="S712" s="44">
        <f t="shared" ca="1" si="183"/>
        <v>15</v>
      </c>
      <c r="T712" s="74">
        <f t="shared" ca="1" si="184"/>
        <v>46304.525928000003</v>
      </c>
      <c r="U712" s="75" t="s">
        <v>83</v>
      </c>
      <c r="V712" s="76">
        <f t="shared" si="173"/>
        <v>37.78</v>
      </c>
      <c r="W712" s="77" t="str">
        <f t="shared" si="185"/>
        <v/>
      </c>
      <c r="Y712" s="51">
        <f t="shared" ca="1" si="178"/>
        <v>239</v>
      </c>
      <c r="Z712" s="52">
        <f t="shared" ca="1" si="179"/>
        <v>0.34520547945205482</v>
      </c>
      <c r="AB712" s="46">
        <f t="shared" si="180"/>
        <v>7.3407609317918876</v>
      </c>
      <c r="AC712" s="83" t="str">
        <f t="shared" si="186"/>
        <v/>
      </c>
      <c r="AE712" s="55"/>
      <c r="AF712" s="72"/>
      <c r="AG712" s="72"/>
      <c r="AH712" s="66"/>
    </row>
    <row r="713" spans="1:34" ht="16" hidden="1" thickBot="1" x14ac:dyDescent="0.25">
      <c r="A713" s="82"/>
      <c r="B713" s="62"/>
      <c r="C713" s="87"/>
      <c r="D713" s="62"/>
      <c r="F713" s="55"/>
      <c r="G713" s="56"/>
      <c r="H713" s="55"/>
      <c r="I713" s="57"/>
      <c r="J713" s="65"/>
      <c r="K713" s="66"/>
      <c r="L713" s="132"/>
      <c r="M713" s="43">
        <f t="shared" si="168"/>
        <v>0</v>
      </c>
      <c r="N713" s="49">
        <f t="shared" si="169"/>
        <v>37.78</v>
      </c>
      <c r="O713" s="42">
        <f t="shared" si="170"/>
        <v>0</v>
      </c>
      <c r="P713" s="48">
        <f t="shared" ca="1" si="171"/>
        <v>46274.525928000003</v>
      </c>
      <c r="Q713" s="41">
        <f t="shared" ca="1" si="172"/>
        <v>46289.525928000003</v>
      </c>
      <c r="R713" s="41" t="b">
        <f t="shared" ca="1" si="182"/>
        <v>1</v>
      </c>
      <c r="S713" s="44">
        <f t="shared" ca="1" si="183"/>
        <v>15</v>
      </c>
      <c r="T713" s="74">
        <f t="shared" ca="1" si="184"/>
        <v>46304.525928000003</v>
      </c>
      <c r="U713" s="75" t="s">
        <v>83</v>
      </c>
      <c r="V713" s="76">
        <f t="shared" si="173"/>
        <v>37.78</v>
      </c>
      <c r="W713" s="77" t="str">
        <f t="shared" si="185"/>
        <v/>
      </c>
      <c r="Y713" s="51">
        <f t="shared" ca="1" si="178"/>
        <v>239</v>
      </c>
      <c r="Z713" s="52">
        <f t="shared" ca="1" si="179"/>
        <v>0.34520547945205482</v>
      </c>
      <c r="AB713" s="46">
        <f t="shared" si="180"/>
        <v>7.3407609317918876</v>
      </c>
      <c r="AC713" s="83" t="str">
        <f t="shared" si="186"/>
        <v/>
      </c>
      <c r="AE713" s="55"/>
      <c r="AF713" s="72"/>
      <c r="AG713" s="72"/>
      <c r="AH713" s="66"/>
    </row>
    <row r="714" spans="1:34" ht="16" hidden="1" thickBot="1" x14ac:dyDescent="0.25">
      <c r="A714" s="82"/>
      <c r="B714" s="62"/>
      <c r="C714" s="87"/>
      <c r="D714" s="62"/>
      <c r="F714" s="55"/>
      <c r="G714" s="56"/>
      <c r="H714" s="55"/>
      <c r="I714" s="57"/>
      <c r="J714" s="65"/>
      <c r="K714" s="66"/>
      <c r="L714" s="132"/>
      <c r="M714" s="43">
        <f t="shared" si="168"/>
        <v>0</v>
      </c>
      <c r="N714" s="49">
        <f t="shared" si="169"/>
        <v>37.78</v>
      </c>
      <c r="O714" s="42">
        <f t="shared" si="170"/>
        <v>0</v>
      </c>
      <c r="P714" s="48">
        <f t="shared" ca="1" si="171"/>
        <v>46274.525928000003</v>
      </c>
      <c r="Q714" s="41">
        <f t="shared" ca="1" si="172"/>
        <v>46289.525928000003</v>
      </c>
      <c r="R714" s="41" t="b">
        <f t="shared" ca="1" si="182"/>
        <v>1</v>
      </c>
      <c r="S714" s="44">
        <f t="shared" ca="1" si="183"/>
        <v>15</v>
      </c>
      <c r="T714" s="74">
        <f t="shared" ca="1" si="184"/>
        <v>46304.525928000003</v>
      </c>
      <c r="U714" s="75" t="s">
        <v>83</v>
      </c>
      <c r="V714" s="76">
        <f t="shared" si="173"/>
        <v>37.78</v>
      </c>
      <c r="W714" s="77" t="str">
        <f t="shared" si="185"/>
        <v/>
      </c>
      <c r="Y714" s="51">
        <f t="shared" ca="1" si="178"/>
        <v>239</v>
      </c>
      <c r="Z714" s="52">
        <f t="shared" ca="1" si="179"/>
        <v>0.34520547945205482</v>
      </c>
      <c r="AB714" s="46">
        <f t="shared" si="180"/>
        <v>7.3407609317918876</v>
      </c>
      <c r="AC714" s="83" t="str">
        <f t="shared" si="186"/>
        <v/>
      </c>
      <c r="AE714" s="55"/>
      <c r="AF714" s="72"/>
      <c r="AG714" s="72"/>
      <c r="AH714" s="66"/>
    </row>
    <row r="715" spans="1:34" ht="16" hidden="1" thickBot="1" x14ac:dyDescent="0.25">
      <c r="A715" s="82"/>
      <c r="B715" s="62"/>
      <c r="C715" s="87"/>
      <c r="D715" s="62"/>
      <c r="F715" s="55"/>
      <c r="G715" s="56"/>
      <c r="H715" s="55"/>
      <c r="I715" s="57"/>
      <c r="J715" s="65"/>
      <c r="K715" s="66"/>
      <c r="L715" s="132"/>
      <c r="M715" s="43">
        <f t="shared" si="168"/>
        <v>0</v>
      </c>
      <c r="N715" s="49">
        <f t="shared" si="169"/>
        <v>37.78</v>
      </c>
      <c r="O715" s="42">
        <f t="shared" si="170"/>
        <v>0</v>
      </c>
      <c r="P715" s="48">
        <f t="shared" ca="1" si="171"/>
        <v>46274.525928000003</v>
      </c>
      <c r="Q715" s="41">
        <f t="shared" ca="1" si="172"/>
        <v>46289.525928000003</v>
      </c>
      <c r="R715" s="41" t="b">
        <f t="shared" ca="1" si="182"/>
        <v>1</v>
      </c>
      <c r="S715" s="44">
        <f t="shared" ca="1" si="183"/>
        <v>15</v>
      </c>
      <c r="T715" s="74">
        <f t="shared" ca="1" si="184"/>
        <v>46304.525928000003</v>
      </c>
      <c r="U715" s="75" t="s">
        <v>83</v>
      </c>
      <c r="V715" s="76">
        <f t="shared" si="173"/>
        <v>37.78</v>
      </c>
      <c r="W715" s="77" t="str">
        <f t="shared" si="185"/>
        <v/>
      </c>
      <c r="Y715" s="51">
        <f t="shared" ca="1" si="178"/>
        <v>239</v>
      </c>
      <c r="Z715" s="52">
        <f t="shared" ca="1" si="179"/>
        <v>0.34520547945205482</v>
      </c>
      <c r="AB715" s="46">
        <f t="shared" si="180"/>
        <v>7.3407609317918876</v>
      </c>
      <c r="AC715" s="83" t="str">
        <f t="shared" si="186"/>
        <v/>
      </c>
      <c r="AE715" s="55"/>
      <c r="AF715" s="72"/>
      <c r="AG715" s="72"/>
      <c r="AH715" s="66"/>
    </row>
    <row r="716" spans="1:34" ht="16" hidden="1" thickBot="1" x14ac:dyDescent="0.25">
      <c r="A716" s="82"/>
      <c r="B716" s="62"/>
      <c r="C716" s="87"/>
      <c r="D716" s="62"/>
      <c r="F716" s="55"/>
      <c r="G716" s="56"/>
      <c r="H716" s="55"/>
      <c r="I716" s="57"/>
      <c r="J716" s="65"/>
      <c r="K716" s="66"/>
      <c r="L716" s="132"/>
      <c r="M716" s="43">
        <f t="shared" ref="M716:M779" si="187">H716+I716/60</f>
        <v>0</v>
      </c>
      <c r="N716" s="49">
        <f t="shared" ref="N716:N779" si="188">90-$B$6+M716</f>
        <v>37.78</v>
      </c>
      <c r="O716" s="42">
        <f t="shared" ref="O716:O779" si="189">F716+G716/60</f>
        <v>0</v>
      </c>
      <c r="P716" s="48">
        <f t="shared" ref="P716:P779" ca="1" si="190">DATE(YEAR(TODAY()),3,21)+MOD(O716-12-$B$7/15,24)*15.2184</f>
        <v>46274.525928000003</v>
      </c>
      <c r="Q716" s="41">
        <f t="shared" ref="Q716:Q779" ca="1" si="191">DATE(YEAR(TODAY()),3,21)+MOD(O716-12-$B$7/15,24)*15.2184+15</f>
        <v>46289.525928000003</v>
      </c>
      <c r="R716" s="41" t="b">
        <f t="shared" ca="1" si="182"/>
        <v>1</v>
      </c>
      <c r="S716" s="44">
        <f t="shared" ca="1" si="183"/>
        <v>15</v>
      </c>
      <c r="T716" s="74">
        <f t="shared" ca="1" si="184"/>
        <v>46304.525928000003</v>
      </c>
      <c r="U716" s="75" t="s">
        <v>83</v>
      </c>
      <c r="V716" s="76">
        <f t="shared" ref="V716:V779" si="192">IF(90-B$6+M716&gt;90,180-90+B$6-M716,90-B$6+M716)</f>
        <v>37.78</v>
      </c>
      <c r="W716" s="77" t="str">
        <f t="shared" si="185"/>
        <v/>
      </c>
      <c r="Y716" s="51">
        <f t="shared" ca="1" si="178"/>
        <v>239</v>
      </c>
      <c r="Z716" s="52">
        <f t="shared" ref="Z716:Z779" ca="1" si="193">$AB$5-Y716/365</f>
        <v>0.34520547945205482</v>
      </c>
      <c r="AB716" s="46">
        <f t="shared" si="180"/>
        <v>7.3407609317918876</v>
      </c>
      <c r="AC716" s="83" t="str">
        <f t="shared" si="186"/>
        <v/>
      </c>
      <c r="AE716" s="55"/>
      <c r="AF716" s="72"/>
      <c r="AG716" s="72"/>
      <c r="AH716" s="66"/>
    </row>
    <row r="717" spans="1:34" ht="16" hidden="1" thickBot="1" x14ac:dyDescent="0.25">
      <c r="A717" s="82"/>
      <c r="B717" s="62"/>
      <c r="C717" s="87"/>
      <c r="D717" s="62"/>
      <c r="F717" s="55"/>
      <c r="G717" s="56"/>
      <c r="H717" s="55"/>
      <c r="I717" s="57"/>
      <c r="J717" s="65"/>
      <c r="K717" s="66"/>
      <c r="L717" s="132"/>
      <c r="M717" s="43">
        <f t="shared" si="187"/>
        <v>0</v>
      </c>
      <c r="N717" s="49">
        <f t="shared" si="188"/>
        <v>37.78</v>
      </c>
      <c r="O717" s="42">
        <f t="shared" si="189"/>
        <v>0</v>
      </c>
      <c r="P717" s="48">
        <f t="shared" ca="1" si="190"/>
        <v>46274.525928000003</v>
      </c>
      <c r="Q717" s="41">
        <f t="shared" ca="1" si="191"/>
        <v>46289.525928000003</v>
      </c>
      <c r="R717" s="41" t="b">
        <f t="shared" ca="1" si="182"/>
        <v>1</v>
      </c>
      <c r="S717" s="44">
        <f t="shared" ca="1" si="183"/>
        <v>15</v>
      </c>
      <c r="T717" s="74">
        <f t="shared" ca="1" si="184"/>
        <v>46304.525928000003</v>
      </c>
      <c r="U717" s="75" t="s">
        <v>83</v>
      </c>
      <c r="V717" s="76">
        <f t="shared" si="192"/>
        <v>37.78</v>
      </c>
      <c r="W717" s="77" t="str">
        <f t="shared" si="185"/>
        <v/>
      </c>
      <c r="Y717" s="51">
        <f t="shared" ca="1" si="178"/>
        <v>239</v>
      </c>
      <c r="Z717" s="52">
        <f t="shared" ca="1" si="193"/>
        <v>0.34520547945205482</v>
      </c>
      <c r="AB717" s="46">
        <f t="shared" si="180"/>
        <v>7.3407609317918876</v>
      </c>
      <c r="AC717" s="83" t="str">
        <f t="shared" si="186"/>
        <v/>
      </c>
      <c r="AE717" s="55"/>
      <c r="AF717" s="72"/>
      <c r="AG717" s="72"/>
      <c r="AH717" s="66"/>
    </row>
    <row r="718" spans="1:34" ht="16" hidden="1" thickBot="1" x14ac:dyDescent="0.25">
      <c r="A718" s="82"/>
      <c r="B718" s="62"/>
      <c r="C718" s="87"/>
      <c r="D718" s="62"/>
      <c r="F718" s="55"/>
      <c r="G718" s="56"/>
      <c r="H718" s="55"/>
      <c r="I718" s="57"/>
      <c r="J718" s="65"/>
      <c r="K718" s="66"/>
      <c r="L718" s="132"/>
      <c r="M718" s="43">
        <f t="shared" si="187"/>
        <v>0</v>
      </c>
      <c r="N718" s="49">
        <f t="shared" si="188"/>
        <v>37.78</v>
      </c>
      <c r="O718" s="42">
        <f t="shared" si="189"/>
        <v>0</v>
      </c>
      <c r="P718" s="48">
        <f t="shared" ca="1" si="190"/>
        <v>46274.525928000003</v>
      </c>
      <c r="Q718" s="41">
        <f t="shared" ca="1" si="191"/>
        <v>46289.525928000003</v>
      </c>
      <c r="R718" s="41" t="b">
        <f t="shared" ca="1" si="182"/>
        <v>1</v>
      </c>
      <c r="S718" s="44">
        <f t="shared" ca="1" si="183"/>
        <v>15</v>
      </c>
      <c r="T718" s="74">
        <f t="shared" ca="1" si="184"/>
        <v>46304.525928000003</v>
      </c>
      <c r="U718" s="75" t="s">
        <v>83</v>
      </c>
      <c r="V718" s="76">
        <f t="shared" si="192"/>
        <v>37.78</v>
      </c>
      <c r="W718" s="77" t="str">
        <f t="shared" si="185"/>
        <v/>
      </c>
      <c r="Y718" s="51">
        <f t="shared" ca="1" si="178"/>
        <v>239</v>
      </c>
      <c r="Z718" s="52">
        <f t="shared" ca="1" si="193"/>
        <v>0.34520547945205482</v>
      </c>
      <c r="AB718" s="46">
        <f t="shared" si="180"/>
        <v>7.3407609317918876</v>
      </c>
      <c r="AC718" s="83" t="str">
        <f t="shared" si="186"/>
        <v/>
      </c>
      <c r="AE718" s="55"/>
      <c r="AF718" s="72"/>
      <c r="AG718" s="72"/>
      <c r="AH718" s="66"/>
    </row>
    <row r="719" spans="1:34" ht="16" hidden="1" thickBot="1" x14ac:dyDescent="0.25">
      <c r="A719" s="82"/>
      <c r="B719" s="62"/>
      <c r="C719" s="87"/>
      <c r="D719" s="62"/>
      <c r="F719" s="55"/>
      <c r="G719" s="56"/>
      <c r="H719" s="55"/>
      <c r="I719" s="57"/>
      <c r="J719" s="65"/>
      <c r="K719" s="66"/>
      <c r="L719" s="132"/>
      <c r="M719" s="43">
        <f t="shared" si="187"/>
        <v>0</v>
      </c>
      <c r="N719" s="49">
        <f t="shared" si="188"/>
        <v>37.78</v>
      </c>
      <c r="O719" s="42">
        <f t="shared" si="189"/>
        <v>0</v>
      </c>
      <c r="P719" s="48">
        <f t="shared" ca="1" si="190"/>
        <v>46274.525928000003</v>
      </c>
      <c r="Q719" s="41">
        <f t="shared" ca="1" si="191"/>
        <v>46289.525928000003</v>
      </c>
      <c r="R719" s="41" t="b">
        <f t="shared" ca="1" si="182"/>
        <v>1</v>
      </c>
      <c r="S719" s="44">
        <f t="shared" ca="1" si="183"/>
        <v>15</v>
      </c>
      <c r="T719" s="74">
        <f t="shared" ca="1" si="184"/>
        <v>46304.525928000003</v>
      </c>
      <c r="U719" s="75" t="s">
        <v>83</v>
      </c>
      <c r="V719" s="76">
        <f t="shared" si="192"/>
        <v>37.78</v>
      </c>
      <c r="W719" s="77" t="str">
        <f t="shared" si="185"/>
        <v/>
      </c>
      <c r="Y719" s="51">
        <f t="shared" ca="1" si="178"/>
        <v>239</v>
      </c>
      <c r="Z719" s="52">
        <f t="shared" ca="1" si="193"/>
        <v>0.34520547945205482</v>
      </c>
      <c r="AB719" s="46">
        <f t="shared" si="180"/>
        <v>7.3407609317918876</v>
      </c>
      <c r="AC719" s="83" t="str">
        <f t="shared" si="186"/>
        <v/>
      </c>
      <c r="AE719" s="55"/>
      <c r="AF719" s="72"/>
      <c r="AG719" s="72"/>
      <c r="AH719" s="66"/>
    </row>
    <row r="720" spans="1:34" ht="16" hidden="1" thickBot="1" x14ac:dyDescent="0.25">
      <c r="A720" s="82"/>
      <c r="B720" s="62"/>
      <c r="C720" s="87"/>
      <c r="D720" s="62"/>
      <c r="F720" s="55"/>
      <c r="G720" s="56"/>
      <c r="H720" s="55"/>
      <c r="I720" s="57"/>
      <c r="J720" s="65"/>
      <c r="K720" s="66"/>
      <c r="L720" s="132"/>
      <c r="M720" s="43">
        <f t="shared" si="187"/>
        <v>0</v>
      </c>
      <c r="N720" s="49">
        <f t="shared" si="188"/>
        <v>37.78</v>
      </c>
      <c r="O720" s="42">
        <f t="shared" si="189"/>
        <v>0</v>
      </c>
      <c r="P720" s="48">
        <f t="shared" ca="1" si="190"/>
        <v>46274.525928000003</v>
      </c>
      <c r="Q720" s="41">
        <f t="shared" ca="1" si="191"/>
        <v>46289.525928000003</v>
      </c>
      <c r="R720" s="41" t="b">
        <f t="shared" ca="1" si="182"/>
        <v>1</v>
      </c>
      <c r="S720" s="44">
        <f t="shared" ca="1" si="183"/>
        <v>15</v>
      </c>
      <c r="T720" s="74">
        <f t="shared" ca="1" si="184"/>
        <v>46304.525928000003</v>
      </c>
      <c r="U720" s="75" t="s">
        <v>83</v>
      </c>
      <c r="V720" s="76">
        <f t="shared" si="192"/>
        <v>37.78</v>
      </c>
      <c r="W720" s="77" t="str">
        <f t="shared" si="185"/>
        <v/>
      </c>
      <c r="Y720" s="51">
        <f t="shared" ca="1" si="178"/>
        <v>239</v>
      </c>
      <c r="Z720" s="52">
        <f t="shared" ca="1" si="193"/>
        <v>0.34520547945205482</v>
      </c>
      <c r="AB720" s="46">
        <f t="shared" si="180"/>
        <v>7.3407609317918876</v>
      </c>
      <c r="AC720" s="83" t="str">
        <f t="shared" si="186"/>
        <v/>
      </c>
      <c r="AE720" s="55"/>
      <c r="AF720" s="72"/>
      <c r="AG720" s="72"/>
      <c r="AH720" s="66"/>
    </row>
    <row r="721" spans="1:34" ht="16" hidden="1" thickBot="1" x14ac:dyDescent="0.25">
      <c r="A721" s="82"/>
      <c r="B721" s="62"/>
      <c r="C721" s="87"/>
      <c r="D721" s="62"/>
      <c r="F721" s="55"/>
      <c r="G721" s="56"/>
      <c r="H721" s="55"/>
      <c r="I721" s="57"/>
      <c r="J721" s="65"/>
      <c r="K721" s="66"/>
      <c r="L721" s="132"/>
      <c r="M721" s="43">
        <f t="shared" si="187"/>
        <v>0</v>
      </c>
      <c r="N721" s="49">
        <f t="shared" si="188"/>
        <v>37.78</v>
      </c>
      <c r="O721" s="42">
        <f t="shared" si="189"/>
        <v>0</v>
      </c>
      <c r="P721" s="48">
        <f t="shared" ca="1" si="190"/>
        <v>46274.525928000003</v>
      </c>
      <c r="Q721" s="41">
        <f t="shared" ca="1" si="191"/>
        <v>46289.525928000003</v>
      </c>
      <c r="R721" s="41" t="b">
        <f t="shared" ca="1" si="182"/>
        <v>1</v>
      </c>
      <c r="S721" s="44">
        <f t="shared" ca="1" si="183"/>
        <v>15</v>
      </c>
      <c r="T721" s="74">
        <f t="shared" ca="1" si="184"/>
        <v>46304.525928000003</v>
      </c>
      <c r="U721" s="75" t="s">
        <v>83</v>
      </c>
      <c r="V721" s="76">
        <f t="shared" si="192"/>
        <v>37.78</v>
      </c>
      <c r="W721" s="77" t="str">
        <f t="shared" si="185"/>
        <v/>
      </c>
      <c r="Y721" s="51">
        <f t="shared" ca="1" si="178"/>
        <v>239</v>
      </c>
      <c r="Z721" s="52">
        <f t="shared" ca="1" si="193"/>
        <v>0.34520547945205482</v>
      </c>
      <c r="AB721" s="46">
        <f t="shared" si="180"/>
        <v>7.3407609317918876</v>
      </c>
      <c r="AC721" s="83" t="str">
        <f t="shared" si="186"/>
        <v/>
      </c>
      <c r="AE721" s="55"/>
      <c r="AF721" s="72"/>
      <c r="AG721" s="72"/>
      <c r="AH721" s="66"/>
    </row>
    <row r="722" spans="1:34" ht="16" hidden="1" thickBot="1" x14ac:dyDescent="0.25">
      <c r="A722" s="82"/>
      <c r="B722" s="62"/>
      <c r="C722" s="87"/>
      <c r="D722" s="62"/>
      <c r="F722" s="55"/>
      <c r="G722" s="56"/>
      <c r="H722" s="55"/>
      <c r="I722" s="57"/>
      <c r="J722" s="65"/>
      <c r="K722" s="66"/>
      <c r="L722" s="132"/>
      <c r="M722" s="43">
        <f t="shared" si="187"/>
        <v>0</v>
      </c>
      <c r="N722" s="49">
        <f t="shared" si="188"/>
        <v>37.78</v>
      </c>
      <c r="O722" s="42">
        <f t="shared" si="189"/>
        <v>0</v>
      </c>
      <c r="P722" s="48">
        <f t="shared" ca="1" si="190"/>
        <v>46274.525928000003</v>
      </c>
      <c r="Q722" s="41">
        <f t="shared" ca="1" si="191"/>
        <v>46289.525928000003</v>
      </c>
      <c r="R722" s="41" t="b">
        <f t="shared" ca="1" si="182"/>
        <v>1</v>
      </c>
      <c r="S722" s="44">
        <f t="shared" ca="1" si="183"/>
        <v>15</v>
      </c>
      <c r="T722" s="74">
        <f t="shared" ca="1" si="184"/>
        <v>46304.525928000003</v>
      </c>
      <c r="U722" s="75" t="s">
        <v>83</v>
      </c>
      <c r="V722" s="76">
        <f t="shared" si="192"/>
        <v>37.78</v>
      </c>
      <c r="W722" s="77" t="str">
        <f t="shared" si="185"/>
        <v/>
      </c>
      <c r="Y722" s="51">
        <f t="shared" ca="1" si="178"/>
        <v>239</v>
      </c>
      <c r="Z722" s="52">
        <f t="shared" ca="1" si="193"/>
        <v>0.34520547945205482</v>
      </c>
      <c r="AB722" s="46">
        <f t="shared" si="180"/>
        <v>7.3407609317918876</v>
      </c>
      <c r="AC722" s="83" t="str">
        <f t="shared" si="186"/>
        <v/>
      </c>
      <c r="AE722" s="55"/>
      <c r="AF722" s="72"/>
      <c r="AG722" s="72"/>
      <c r="AH722" s="66"/>
    </row>
    <row r="723" spans="1:34" ht="16" hidden="1" thickBot="1" x14ac:dyDescent="0.25">
      <c r="A723" s="82"/>
      <c r="B723" s="62"/>
      <c r="C723" s="87"/>
      <c r="D723" s="62"/>
      <c r="F723" s="55"/>
      <c r="G723" s="56"/>
      <c r="H723" s="55"/>
      <c r="I723" s="57"/>
      <c r="J723" s="65"/>
      <c r="K723" s="66"/>
      <c r="L723" s="132"/>
      <c r="M723" s="43">
        <f t="shared" si="187"/>
        <v>0</v>
      </c>
      <c r="N723" s="49">
        <f t="shared" si="188"/>
        <v>37.78</v>
      </c>
      <c r="O723" s="42">
        <f t="shared" si="189"/>
        <v>0</v>
      </c>
      <c r="P723" s="48">
        <f t="shared" ca="1" si="190"/>
        <v>46274.525928000003</v>
      </c>
      <c r="Q723" s="41">
        <f t="shared" ca="1" si="191"/>
        <v>46289.525928000003</v>
      </c>
      <c r="R723" s="41" t="b">
        <f t="shared" ca="1" si="182"/>
        <v>1</v>
      </c>
      <c r="S723" s="44">
        <f t="shared" ca="1" si="183"/>
        <v>15</v>
      </c>
      <c r="T723" s="74">
        <f t="shared" ca="1" si="184"/>
        <v>46304.525928000003</v>
      </c>
      <c r="U723" s="75" t="s">
        <v>83</v>
      </c>
      <c r="V723" s="76">
        <f t="shared" si="192"/>
        <v>37.78</v>
      </c>
      <c r="W723" s="77" t="str">
        <f t="shared" si="185"/>
        <v/>
      </c>
      <c r="Y723" s="51">
        <f t="shared" ca="1" si="178"/>
        <v>239</v>
      </c>
      <c r="Z723" s="52">
        <f t="shared" ca="1" si="193"/>
        <v>0.34520547945205482</v>
      </c>
      <c r="AB723" s="46">
        <f t="shared" si="180"/>
        <v>7.3407609317918876</v>
      </c>
      <c r="AC723" s="83" t="str">
        <f t="shared" si="186"/>
        <v/>
      </c>
      <c r="AE723" s="55"/>
      <c r="AF723" s="72"/>
      <c r="AG723" s="72"/>
      <c r="AH723" s="66"/>
    </row>
    <row r="724" spans="1:34" ht="16" hidden="1" thickBot="1" x14ac:dyDescent="0.25">
      <c r="A724" s="82"/>
      <c r="B724" s="62"/>
      <c r="C724" s="87"/>
      <c r="D724" s="62"/>
      <c r="F724" s="55"/>
      <c r="G724" s="56"/>
      <c r="H724" s="55"/>
      <c r="I724" s="57"/>
      <c r="J724" s="65"/>
      <c r="K724" s="66"/>
      <c r="L724" s="132"/>
      <c r="M724" s="43">
        <f t="shared" si="187"/>
        <v>0</v>
      </c>
      <c r="N724" s="49">
        <f t="shared" si="188"/>
        <v>37.78</v>
      </c>
      <c r="O724" s="42">
        <f t="shared" si="189"/>
        <v>0</v>
      </c>
      <c r="P724" s="48">
        <f t="shared" ca="1" si="190"/>
        <v>46274.525928000003</v>
      </c>
      <c r="Q724" s="41">
        <f t="shared" ca="1" si="191"/>
        <v>46289.525928000003</v>
      </c>
      <c r="R724" s="41" t="b">
        <f t="shared" ca="1" si="182"/>
        <v>1</v>
      </c>
      <c r="S724" s="44">
        <f t="shared" ca="1" si="183"/>
        <v>15</v>
      </c>
      <c r="T724" s="74">
        <f t="shared" ca="1" si="184"/>
        <v>46304.525928000003</v>
      </c>
      <c r="U724" s="75" t="s">
        <v>83</v>
      </c>
      <c r="V724" s="76">
        <f t="shared" si="192"/>
        <v>37.78</v>
      </c>
      <c r="W724" s="77" t="str">
        <f t="shared" si="185"/>
        <v/>
      </c>
      <c r="Y724" s="51">
        <f t="shared" ca="1" si="178"/>
        <v>239</v>
      </c>
      <c r="Z724" s="52">
        <f t="shared" ca="1" si="193"/>
        <v>0.34520547945205482</v>
      </c>
      <c r="AB724" s="46">
        <f t="shared" si="180"/>
        <v>7.3407609317918876</v>
      </c>
      <c r="AC724" s="83" t="str">
        <f t="shared" si="186"/>
        <v/>
      </c>
      <c r="AE724" s="55"/>
      <c r="AF724" s="72"/>
      <c r="AG724" s="72"/>
      <c r="AH724" s="66"/>
    </row>
    <row r="725" spans="1:34" ht="16" hidden="1" thickBot="1" x14ac:dyDescent="0.25">
      <c r="A725" s="82"/>
      <c r="B725" s="62"/>
      <c r="C725" s="87"/>
      <c r="D725" s="62"/>
      <c r="F725" s="55"/>
      <c r="G725" s="56"/>
      <c r="H725" s="55"/>
      <c r="I725" s="57"/>
      <c r="J725" s="65"/>
      <c r="K725" s="66"/>
      <c r="L725" s="132"/>
      <c r="M725" s="43">
        <f t="shared" si="187"/>
        <v>0</v>
      </c>
      <c r="N725" s="49">
        <f t="shared" si="188"/>
        <v>37.78</v>
      </c>
      <c r="O725" s="42">
        <f t="shared" si="189"/>
        <v>0</v>
      </c>
      <c r="P725" s="48">
        <f t="shared" ca="1" si="190"/>
        <v>46274.525928000003</v>
      </c>
      <c r="Q725" s="41">
        <f t="shared" ca="1" si="191"/>
        <v>46289.525928000003</v>
      </c>
      <c r="R725" s="41" t="b">
        <f t="shared" ca="1" si="182"/>
        <v>1</v>
      </c>
      <c r="S725" s="44">
        <f t="shared" ca="1" si="183"/>
        <v>15</v>
      </c>
      <c r="T725" s="74">
        <f t="shared" ca="1" si="184"/>
        <v>46304.525928000003</v>
      </c>
      <c r="U725" s="75" t="s">
        <v>83</v>
      </c>
      <c r="V725" s="76">
        <f t="shared" si="192"/>
        <v>37.78</v>
      </c>
      <c r="W725" s="77" t="str">
        <f t="shared" si="185"/>
        <v/>
      </c>
      <c r="Y725" s="51">
        <f t="shared" ca="1" si="178"/>
        <v>239</v>
      </c>
      <c r="Z725" s="52">
        <f t="shared" ca="1" si="193"/>
        <v>0.34520547945205482</v>
      </c>
      <c r="AB725" s="46">
        <f t="shared" si="180"/>
        <v>7.3407609317918876</v>
      </c>
      <c r="AC725" s="83" t="str">
        <f t="shared" si="186"/>
        <v/>
      </c>
      <c r="AE725" s="55"/>
      <c r="AF725" s="72"/>
      <c r="AG725" s="72"/>
      <c r="AH725" s="66"/>
    </row>
    <row r="726" spans="1:34" ht="16" hidden="1" thickBot="1" x14ac:dyDescent="0.25">
      <c r="A726" s="82"/>
      <c r="B726" s="62"/>
      <c r="C726" s="87"/>
      <c r="D726" s="62"/>
      <c r="F726" s="55"/>
      <c r="G726" s="56"/>
      <c r="H726" s="55"/>
      <c r="I726" s="57"/>
      <c r="J726" s="65"/>
      <c r="K726" s="66"/>
      <c r="L726" s="132"/>
      <c r="M726" s="43">
        <f t="shared" si="187"/>
        <v>0</v>
      </c>
      <c r="N726" s="49">
        <f t="shared" si="188"/>
        <v>37.78</v>
      </c>
      <c r="O726" s="42">
        <f t="shared" si="189"/>
        <v>0</v>
      </c>
      <c r="P726" s="48">
        <f t="shared" ca="1" si="190"/>
        <v>46274.525928000003</v>
      </c>
      <c r="Q726" s="41">
        <f t="shared" ca="1" si="191"/>
        <v>46289.525928000003</v>
      </c>
      <c r="R726" s="41" t="b">
        <f t="shared" ca="1" si="182"/>
        <v>1</v>
      </c>
      <c r="S726" s="44">
        <f t="shared" ca="1" si="183"/>
        <v>15</v>
      </c>
      <c r="T726" s="74">
        <f t="shared" ca="1" si="184"/>
        <v>46304.525928000003</v>
      </c>
      <c r="U726" s="75" t="s">
        <v>83</v>
      </c>
      <c r="V726" s="76">
        <f t="shared" si="192"/>
        <v>37.78</v>
      </c>
      <c r="W726" s="77" t="str">
        <f t="shared" si="185"/>
        <v/>
      </c>
      <c r="Y726" s="51">
        <f t="shared" ca="1" si="178"/>
        <v>239</v>
      </c>
      <c r="Z726" s="52">
        <f t="shared" ca="1" si="193"/>
        <v>0.34520547945205482</v>
      </c>
      <c r="AB726" s="46">
        <f t="shared" si="180"/>
        <v>7.3407609317918876</v>
      </c>
      <c r="AC726" s="83" t="str">
        <f t="shared" si="186"/>
        <v/>
      </c>
      <c r="AE726" s="55"/>
      <c r="AF726" s="72"/>
      <c r="AG726" s="72"/>
      <c r="AH726" s="66"/>
    </row>
    <row r="727" spans="1:34" ht="16" hidden="1" thickBot="1" x14ac:dyDescent="0.25">
      <c r="A727" s="82"/>
      <c r="B727" s="62"/>
      <c r="C727" s="87"/>
      <c r="D727" s="62"/>
      <c r="F727" s="55"/>
      <c r="G727" s="56"/>
      <c r="H727" s="55"/>
      <c r="I727" s="57"/>
      <c r="J727" s="65"/>
      <c r="K727" s="66"/>
      <c r="L727" s="132"/>
      <c r="M727" s="43">
        <f t="shared" si="187"/>
        <v>0</v>
      </c>
      <c r="N727" s="49">
        <f t="shared" si="188"/>
        <v>37.78</v>
      </c>
      <c r="O727" s="42">
        <f t="shared" si="189"/>
        <v>0</v>
      </c>
      <c r="P727" s="48">
        <f t="shared" ca="1" si="190"/>
        <v>46274.525928000003</v>
      </c>
      <c r="Q727" s="41">
        <f t="shared" ca="1" si="191"/>
        <v>46289.525928000003</v>
      </c>
      <c r="R727" s="41" t="b">
        <f t="shared" ca="1" si="182"/>
        <v>1</v>
      </c>
      <c r="S727" s="44">
        <f t="shared" ca="1" si="183"/>
        <v>15</v>
      </c>
      <c r="T727" s="74">
        <f t="shared" ca="1" si="184"/>
        <v>46304.525928000003</v>
      </c>
      <c r="U727" s="75" t="s">
        <v>83</v>
      </c>
      <c r="V727" s="76">
        <f t="shared" si="192"/>
        <v>37.78</v>
      </c>
      <c r="W727" s="77" t="str">
        <f t="shared" si="185"/>
        <v/>
      </c>
      <c r="Y727" s="51">
        <f t="shared" ca="1" si="178"/>
        <v>239</v>
      </c>
      <c r="Z727" s="52">
        <f t="shared" ca="1" si="193"/>
        <v>0.34520547945205482</v>
      </c>
      <c r="AB727" s="46">
        <f t="shared" si="180"/>
        <v>7.3407609317918876</v>
      </c>
      <c r="AC727" s="83" t="str">
        <f t="shared" si="186"/>
        <v/>
      </c>
      <c r="AE727" s="55"/>
      <c r="AF727" s="72"/>
      <c r="AG727" s="72"/>
      <c r="AH727" s="66"/>
    </row>
    <row r="728" spans="1:34" ht="16" hidden="1" thickBot="1" x14ac:dyDescent="0.25">
      <c r="A728" s="82"/>
      <c r="B728" s="62"/>
      <c r="C728" s="87"/>
      <c r="D728" s="62"/>
      <c r="F728" s="55"/>
      <c r="G728" s="56"/>
      <c r="H728" s="55"/>
      <c r="I728" s="57"/>
      <c r="J728" s="65"/>
      <c r="K728" s="66"/>
      <c r="L728" s="132"/>
      <c r="M728" s="43">
        <f t="shared" si="187"/>
        <v>0</v>
      </c>
      <c r="N728" s="49">
        <f t="shared" si="188"/>
        <v>37.78</v>
      </c>
      <c r="O728" s="42">
        <f t="shared" si="189"/>
        <v>0</v>
      </c>
      <c r="P728" s="48">
        <f t="shared" ca="1" si="190"/>
        <v>46274.525928000003</v>
      </c>
      <c r="Q728" s="41">
        <f t="shared" ca="1" si="191"/>
        <v>46289.525928000003</v>
      </c>
      <c r="R728" s="41" t="b">
        <f t="shared" ca="1" si="182"/>
        <v>1</v>
      </c>
      <c r="S728" s="44">
        <f t="shared" ca="1" si="183"/>
        <v>15</v>
      </c>
      <c r="T728" s="74">
        <f t="shared" ca="1" si="184"/>
        <v>46304.525928000003</v>
      </c>
      <c r="U728" s="75" t="s">
        <v>83</v>
      </c>
      <c r="V728" s="76">
        <f t="shared" si="192"/>
        <v>37.78</v>
      </c>
      <c r="W728" s="77" t="str">
        <f t="shared" si="185"/>
        <v/>
      </c>
      <c r="Y728" s="51">
        <f t="shared" ca="1" si="178"/>
        <v>239</v>
      </c>
      <c r="Z728" s="52">
        <f t="shared" ca="1" si="193"/>
        <v>0.34520547945205482</v>
      </c>
      <c r="AB728" s="46">
        <f t="shared" si="180"/>
        <v>7.3407609317918876</v>
      </c>
      <c r="AC728" s="83" t="str">
        <f t="shared" si="186"/>
        <v/>
      </c>
      <c r="AE728" s="55"/>
      <c r="AF728" s="72"/>
      <c r="AG728" s="72"/>
      <c r="AH728" s="66"/>
    </row>
    <row r="729" spans="1:34" ht="16" hidden="1" thickBot="1" x14ac:dyDescent="0.25">
      <c r="A729" s="82"/>
      <c r="B729" s="62"/>
      <c r="C729" s="87"/>
      <c r="D729" s="62"/>
      <c r="F729" s="55"/>
      <c r="G729" s="56"/>
      <c r="H729" s="55"/>
      <c r="I729" s="57"/>
      <c r="J729" s="65"/>
      <c r="K729" s="66"/>
      <c r="L729" s="132"/>
      <c r="M729" s="43">
        <f t="shared" si="187"/>
        <v>0</v>
      </c>
      <c r="N729" s="49">
        <f t="shared" si="188"/>
        <v>37.78</v>
      </c>
      <c r="O729" s="42">
        <f t="shared" si="189"/>
        <v>0</v>
      </c>
      <c r="P729" s="48">
        <f t="shared" ca="1" si="190"/>
        <v>46274.525928000003</v>
      </c>
      <c r="Q729" s="41">
        <f t="shared" ca="1" si="191"/>
        <v>46289.525928000003</v>
      </c>
      <c r="R729" s="41" t="b">
        <f t="shared" ca="1" si="182"/>
        <v>1</v>
      </c>
      <c r="S729" s="44">
        <f t="shared" ca="1" si="183"/>
        <v>15</v>
      </c>
      <c r="T729" s="74">
        <f t="shared" ca="1" si="184"/>
        <v>46304.525928000003</v>
      </c>
      <c r="U729" s="75" t="s">
        <v>83</v>
      </c>
      <c r="V729" s="76">
        <f t="shared" si="192"/>
        <v>37.78</v>
      </c>
      <c r="W729" s="77" t="str">
        <f t="shared" si="185"/>
        <v/>
      </c>
      <c r="Y729" s="51">
        <f t="shared" ca="1" si="178"/>
        <v>239</v>
      </c>
      <c r="Z729" s="52">
        <f t="shared" ca="1" si="193"/>
        <v>0.34520547945205482</v>
      </c>
      <c r="AB729" s="46">
        <f t="shared" si="180"/>
        <v>7.3407609317918876</v>
      </c>
      <c r="AC729" s="83" t="str">
        <f t="shared" si="186"/>
        <v/>
      </c>
      <c r="AE729" s="55"/>
      <c r="AF729" s="72"/>
      <c r="AG729" s="72"/>
      <c r="AH729" s="66"/>
    </row>
    <row r="730" spans="1:34" ht="16" hidden="1" thickBot="1" x14ac:dyDescent="0.25">
      <c r="A730" s="82"/>
      <c r="B730" s="62"/>
      <c r="C730" s="87"/>
      <c r="D730" s="62"/>
      <c r="F730" s="55"/>
      <c r="G730" s="56"/>
      <c r="H730" s="55"/>
      <c r="I730" s="57"/>
      <c r="J730" s="65"/>
      <c r="K730" s="66"/>
      <c r="L730" s="132"/>
      <c r="M730" s="43">
        <f t="shared" si="187"/>
        <v>0</v>
      </c>
      <c r="N730" s="49">
        <f t="shared" si="188"/>
        <v>37.78</v>
      </c>
      <c r="O730" s="42">
        <f t="shared" si="189"/>
        <v>0</v>
      </c>
      <c r="P730" s="48">
        <f t="shared" ca="1" si="190"/>
        <v>46274.525928000003</v>
      </c>
      <c r="Q730" s="41">
        <f t="shared" ca="1" si="191"/>
        <v>46289.525928000003</v>
      </c>
      <c r="R730" s="41" t="b">
        <f t="shared" ca="1" si="182"/>
        <v>1</v>
      </c>
      <c r="S730" s="44">
        <f t="shared" ca="1" si="183"/>
        <v>15</v>
      </c>
      <c r="T730" s="74">
        <f t="shared" ca="1" si="184"/>
        <v>46304.525928000003</v>
      </c>
      <c r="U730" s="75" t="s">
        <v>83</v>
      </c>
      <c r="V730" s="76">
        <f t="shared" si="192"/>
        <v>37.78</v>
      </c>
      <c r="W730" s="77" t="str">
        <f t="shared" si="185"/>
        <v/>
      </c>
      <c r="Y730" s="51">
        <f t="shared" ca="1" si="178"/>
        <v>239</v>
      </c>
      <c r="Z730" s="52">
        <f t="shared" ca="1" si="193"/>
        <v>0.34520547945205482</v>
      </c>
      <c r="AB730" s="46">
        <f t="shared" si="180"/>
        <v>7.3407609317918876</v>
      </c>
      <c r="AC730" s="83" t="str">
        <f t="shared" si="186"/>
        <v/>
      </c>
      <c r="AE730" s="55"/>
      <c r="AF730" s="72"/>
      <c r="AG730" s="72"/>
      <c r="AH730" s="66"/>
    </row>
    <row r="731" spans="1:34" ht="16" hidden="1" thickBot="1" x14ac:dyDescent="0.25">
      <c r="A731" s="82"/>
      <c r="B731" s="62"/>
      <c r="C731" s="87"/>
      <c r="D731" s="62"/>
      <c r="F731" s="55"/>
      <c r="G731" s="56"/>
      <c r="H731" s="55"/>
      <c r="I731" s="57"/>
      <c r="J731" s="65"/>
      <c r="K731" s="66"/>
      <c r="L731" s="132"/>
      <c r="M731" s="43">
        <f t="shared" si="187"/>
        <v>0</v>
      </c>
      <c r="N731" s="49">
        <f t="shared" si="188"/>
        <v>37.78</v>
      </c>
      <c r="O731" s="42">
        <f t="shared" si="189"/>
        <v>0</v>
      </c>
      <c r="P731" s="48">
        <f t="shared" ca="1" si="190"/>
        <v>46274.525928000003</v>
      </c>
      <c r="Q731" s="41">
        <f t="shared" ca="1" si="191"/>
        <v>46289.525928000003</v>
      </c>
      <c r="R731" s="41" t="b">
        <f t="shared" ca="1" si="182"/>
        <v>1</v>
      </c>
      <c r="S731" s="44">
        <f t="shared" ca="1" si="183"/>
        <v>15</v>
      </c>
      <c r="T731" s="74">
        <f t="shared" ca="1" si="184"/>
        <v>46304.525928000003</v>
      </c>
      <c r="U731" s="75" t="s">
        <v>83</v>
      </c>
      <c r="V731" s="76">
        <f t="shared" si="192"/>
        <v>37.78</v>
      </c>
      <c r="W731" s="77" t="str">
        <f t="shared" si="185"/>
        <v/>
      </c>
      <c r="Y731" s="51">
        <f t="shared" ca="1" si="178"/>
        <v>239</v>
      </c>
      <c r="Z731" s="52">
        <f t="shared" ca="1" si="193"/>
        <v>0.34520547945205482</v>
      </c>
      <c r="AB731" s="46">
        <f t="shared" si="180"/>
        <v>7.3407609317918876</v>
      </c>
      <c r="AC731" s="83" t="str">
        <f t="shared" si="186"/>
        <v/>
      </c>
      <c r="AE731" s="55"/>
      <c r="AF731" s="72"/>
      <c r="AG731" s="72"/>
      <c r="AH731" s="66"/>
    </row>
    <row r="732" spans="1:34" ht="16" hidden="1" thickBot="1" x14ac:dyDescent="0.25">
      <c r="A732" s="82"/>
      <c r="B732" s="62"/>
      <c r="C732" s="87"/>
      <c r="D732" s="62"/>
      <c r="F732" s="55"/>
      <c r="G732" s="56"/>
      <c r="H732" s="55"/>
      <c r="I732" s="57"/>
      <c r="J732" s="65"/>
      <c r="K732" s="66"/>
      <c r="L732" s="132"/>
      <c r="M732" s="43">
        <f t="shared" si="187"/>
        <v>0</v>
      </c>
      <c r="N732" s="49">
        <f t="shared" si="188"/>
        <v>37.78</v>
      </c>
      <c r="O732" s="42">
        <f t="shared" si="189"/>
        <v>0</v>
      </c>
      <c r="P732" s="48">
        <f t="shared" ca="1" si="190"/>
        <v>46274.525928000003</v>
      </c>
      <c r="Q732" s="41">
        <f t="shared" ca="1" si="191"/>
        <v>46289.525928000003</v>
      </c>
      <c r="R732" s="41" t="b">
        <f t="shared" ca="1" si="182"/>
        <v>1</v>
      </c>
      <c r="S732" s="44">
        <f t="shared" ca="1" si="183"/>
        <v>15</v>
      </c>
      <c r="T732" s="74">
        <f t="shared" ca="1" si="184"/>
        <v>46304.525928000003</v>
      </c>
      <c r="U732" s="75" t="s">
        <v>83</v>
      </c>
      <c r="V732" s="76">
        <f t="shared" si="192"/>
        <v>37.78</v>
      </c>
      <c r="W732" s="77" t="str">
        <f t="shared" si="185"/>
        <v/>
      </c>
      <c r="Y732" s="51">
        <f t="shared" ca="1" si="178"/>
        <v>239</v>
      </c>
      <c r="Z732" s="52">
        <f t="shared" ca="1" si="193"/>
        <v>0.34520547945205482</v>
      </c>
      <c r="AB732" s="46">
        <f t="shared" si="180"/>
        <v>7.3407609317918876</v>
      </c>
      <c r="AC732" s="83" t="str">
        <f t="shared" si="186"/>
        <v/>
      </c>
      <c r="AE732" s="55"/>
      <c r="AF732" s="72"/>
      <c r="AG732" s="72"/>
      <c r="AH732" s="66"/>
    </row>
    <row r="733" spans="1:34" ht="16" hidden="1" thickBot="1" x14ac:dyDescent="0.25">
      <c r="A733" s="82"/>
      <c r="B733" s="62"/>
      <c r="C733" s="87"/>
      <c r="D733" s="62"/>
      <c r="F733" s="55"/>
      <c r="G733" s="56"/>
      <c r="H733" s="55"/>
      <c r="I733" s="57"/>
      <c r="J733" s="65"/>
      <c r="K733" s="66"/>
      <c r="L733" s="132"/>
      <c r="M733" s="43">
        <f t="shared" si="187"/>
        <v>0</v>
      </c>
      <c r="N733" s="49">
        <f t="shared" si="188"/>
        <v>37.78</v>
      </c>
      <c r="O733" s="42">
        <f t="shared" si="189"/>
        <v>0</v>
      </c>
      <c r="P733" s="48">
        <f t="shared" ca="1" si="190"/>
        <v>46274.525928000003</v>
      </c>
      <c r="Q733" s="41">
        <f t="shared" ca="1" si="191"/>
        <v>46289.525928000003</v>
      </c>
      <c r="R733" s="41" t="b">
        <f t="shared" ca="1" si="182"/>
        <v>1</v>
      </c>
      <c r="S733" s="44">
        <f t="shared" ca="1" si="183"/>
        <v>15</v>
      </c>
      <c r="T733" s="74">
        <f t="shared" ca="1" si="184"/>
        <v>46304.525928000003</v>
      </c>
      <c r="U733" s="75" t="s">
        <v>83</v>
      </c>
      <c r="V733" s="76">
        <f t="shared" si="192"/>
        <v>37.78</v>
      </c>
      <c r="W733" s="77" t="str">
        <f t="shared" si="185"/>
        <v/>
      </c>
      <c r="Y733" s="51">
        <f t="shared" ca="1" si="178"/>
        <v>239</v>
      </c>
      <c r="Z733" s="52">
        <f t="shared" ca="1" si="193"/>
        <v>0.34520547945205482</v>
      </c>
      <c r="AB733" s="46">
        <f t="shared" si="180"/>
        <v>7.3407609317918876</v>
      </c>
      <c r="AC733" s="83" t="str">
        <f t="shared" si="186"/>
        <v/>
      </c>
      <c r="AE733" s="55"/>
      <c r="AF733" s="72"/>
      <c r="AG733" s="72"/>
      <c r="AH733" s="66"/>
    </row>
    <row r="734" spans="1:34" ht="16" hidden="1" thickBot="1" x14ac:dyDescent="0.25">
      <c r="A734" s="82"/>
      <c r="B734" s="62"/>
      <c r="C734" s="87"/>
      <c r="D734" s="62"/>
      <c r="F734" s="55"/>
      <c r="G734" s="56"/>
      <c r="H734" s="55"/>
      <c r="I734" s="57"/>
      <c r="J734" s="65"/>
      <c r="K734" s="66"/>
      <c r="L734" s="132"/>
      <c r="M734" s="43">
        <f t="shared" si="187"/>
        <v>0</v>
      </c>
      <c r="N734" s="49">
        <f t="shared" si="188"/>
        <v>37.78</v>
      </c>
      <c r="O734" s="42">
        <f t="shared" si="189"/>
        <v>0</v>
      </c>
      <c r="P734" s="48">
        <f t="shared" ca="1" si="190"/>
        <v>46274.525928000003</v>
      </c>
      <c r="Q734" s="41">
        <f t="shared" ca="1" si="191"/>
        <v>46289.525928000003</v>
      </c>
      <c r="R734" s="41" t="b">
        <f t="shared" ca="1" si="182"/>
        <v>1</v>
      </c>
      <c r="S734" s="44">
        <f t="shared" ca="1" si="183"/>
        <v>15</v>
      </c>
      <c r="T734" s="74">
        <f t="shared" ca="1" si="184"/>
        <v>46304.525928000003</v>
      </c>
      <c r="U734" s="75" t="s">
        <v>83</v>
      </c>
      <c r="V734" s="76">
        <f t="shared" si="192"/>
        <v>37.78</v>
      </c>
      <c r="W734" s="77" t="str">
        <f t="shared" si="185"/>
        <v/>
      </c>
      <c r="Y734" s="51">
        <f t="shared" ca="1" si="178"/>
        <v>239</v>
      </c>
      <c r="Z734" s="52">
        <f t="shared" ca="1" si="193"/>
        <v>0.34520547945205482</v>
      </c>
      <c r="AB734" s="46">
        <f t="shared" si="180"/>
        <v>7.3407609317918876</v>
      </c>
      <c r="AC734" s="83" t="str">
        <f t="shared" si="186"/>
        <v/>
      </c>
      <c r="AE734" s="55"/>
      <c r="AF734" s="72"/>
      <c r="AG734" s="72"/>
      <c r="AH734" s="66"/>
    </row>
    <row r="735" spans="1:34" ht="16" hidden="1" thickBot="1" x14ac:dyDescent="0.25">
      <c r="A735" s="82"/>
      <c r="B735" s="62"/>
      <c r="C735" s="87"/>
      <c r="D735" s="62"/>
      <c r="F735" s="55"/>
      <c r="G735" s="56"/>
      <c r="H735" s="55"/>
      <c r="I735" s="57"/>
      <c r="J735" s="65"/>
      <c r="K735" s="66"/>
      <c r="L735" s="132"/>
      <c r="M735" s="43">
        <f t="shared" si="187"/>
        <v>0</v>
      </c>
      <c r="N735" s="49">
        <f t="shared" si="188"/>
        <v>37.78</v>
      </c>
      <c r="O735" s="42">
        <f t="shared" si="189"/>
        <v>0</v>
      </c>
      <c r="P735" s="48">
        <f t="shared" ca="1" si="190"/>
        <v>46274.525928000003</v>
      </c>
      <c r="Q735" s="41">
        <f t="shared" ca="1" si="191"/>
        <v>46289.525928000003</v>
      </c>
      <c r="R735" s="41" t="b">
        <f t="shared" ca="1" si="182"/>
        <v>1</v>
      </c>
      <c r="S735" s="44">
        <f t="shared" ca="1" si="183"/>
        <v>15</v>
      </c>
      <c r="T735" s="74">
        <f t="shared" ca="1" si="184"/>
        <v>46304.525928000003</v>
      </c>
      <c r="U735" s="75" t="s">
        <v>83</v>
      </c>
      <c r="V735" s="76">
        <f t="shared" si="192"/>
        <v>37.78</v>
      </c>
      <c r="W735" s="77" t="str">
        <f t="shared" si="185"/>
        <v/>
      </c>
      <c r="Y735" s="51">
        <f t="shared" ca="1" si="178"/>
        <v>239</v>
      </c>
      <c r="Z735" s="52">
        <f t="shared" ca="1" si="193"/>
        <v>0.34520547945205482</v>
      </c>
      <c r="AB735" s="46">
        <f t="shared" si="180"/>
        <v>7.3407609317918876</v>
      </c>
      <c r="AC735" s="83" t="str">
        <f t="shared" si="186"/>
        <v/>
      </c>
      <c r="AE735" s="55"/>
      <c r="AF735" s="72"/>
      <c r="AG735" s="72"/>
      <c r="AH735" s="66"/>
    </row>
    <row r="736" spans="1:34" ht="16" hidden="1" thickBot="1" x14ac:dyDescent="0.25">
      <c r="A736" s="82"/>
      <c r="B736" s="62"/>
      <c r="C736" s="87"/>
      <c r="D736" s="62"/>
      <c r="F736" s="55"/>
      <c r="G736" s="56"/>
      <c r="H736" s="55"/>
      <c r="I736" s="57"/>
      <c r="J736" s="65"/>
      <c r="K736" s="66"/>
      <c r="L736" s="132"/>
      <c r="M736" s="43">
        <f t="shared" si="187"/>
        <v>0</v>
      </c>
      <c r="N736" s="49">
        <f t="shared" si="188"/>
        <v>37.78</v>
      </c>
      <c r="O736" s="42">
        <f t="shared" si="189"/>
        <v>0</v>
      </c>
      <c r="P736" s="48">
        <f t="shared" ca="1" si="190"/>
        <v>46274.525928000003</v>
      </c>
      <c r="Q736" s="41">
        <f t="shared" ca="1" si="191"/>
        <v>46289.525928000003</v>
      </c>
      <c r="R736" s="41" t="b">
        <f t="shared" ca="1" si="182"/>
        <v>1</v>
      </c>
      <c r="S736" s="44">
        <f t="shared" ca="1" si="183"/>
        <v>15</v>
      </c>
      <c r="T736" s="74">
        <f t="shared" ca="1" si="184"/>
        <v>46304.525928000003</v>
      </c>
      <c r="U736" s="75" t="s">
        <v>83</v>
      </c>
      <c r="V736" s="76">
        <f t="shared" si="192"/>
        <v>37.78</v>
      </c>
      <c r="W736" s="77" t="str">
        <f t="shared" si="185"/>
        <v/>
      </c>
      <c r="Y736" s="51">
        <f t="shared" ref="Y736:Y799" ca="1" si="194">INT(IF(AC$7&gt;T736,AC$7-T736,AC$7+365-T736)+0.5)+S736</f>
        <v>239</v>
      </c>
      <c r="Z736" s="52">
        <f t="shared" ca="1" si="193"/>
        <v>0.34520547945205482</v>
      </c>
      <c r="AB736" s="46">
        <f t="shared" ref="AB736:AB799" si="195">MOD(O736-AB$10,24)/1.00273790935</f>
        <v>7.3407609317918876</v>
      </c>
      <c r="AC736" s="83" t="str">
        <f t="shared" si="186"/>
        <v/>
      </c>
      <c r="AE736" s="55"/>
      <c r="AF736" s="72"/>
      <c r="AG736" s="72"/>
      <c r="AH736" s="66"/>
    </row>
    <row r="737" spans="1:34" ht="16" hidden="1" thickBot="1" x14ac:dyDescent="0.25">
      <c r="A737" s="82"/>
      <c r="B737" s="62"/>
      <c r="C737" s="87"/>
      <c r="D737" s="62"/>
      <c r="F737" s="55"/>
      <c r="G737" s="56"/>
      <c r="H737" s="55"/>
      <c r="I737" s="57"/>
      <c r="J737" s="65"/>
      <c r="K737" s="66"/>
      <c r="L737" s="132"/>
      <c r="M737" s="43">
        <f t="shared" si="187"/>
        <v>0</v>
      </c>
      <c r="N737" s="49">
        <f t="shared" si="188"/>
        <v>37.78</v>
      </c>
      <c r="O737" s="42">
        <f t="shared" si="189"/>
        <v>0</v>
      </c>
      <c r="P737" s="48">
        <f t="shared" ca="1" si="190"/>
        <v>46274.525928000003</v>
      </c>
      <c r="Q737" s="41">
        <f t="shared" ca="1" si="191"/>
        <v>46289.525928000003</v>
      </c>
      <c r="R737" s="41" t="b">
        <f t="shared" ca="1" si="182"/>
        <v>1</v>
      </c>
      <c r="S737" s="44">
        <f t="shared" ca="1" si="183"/>
        <v>15</v>
      </c>
      <c r="T737" s="74">
        <f t="shared" ca="1" si="184"/>
        <v>46304.525928000003</v>
      </c>
      <c r="U737" s="75" t="s">
        <v>83</v>
      </c>
      <c r="V737" s="76">
        <f t="shared" si="192"/>
        <v>37.78</v>
      </c>
      <c r="W737" s="77" t="str">
        <f t="shared" si="185"/>
        <v/>
      </c>
      <c r="Y737" s="51">
        <f t="shared" ca="1" si="194"/>
        <v>239</v>
      </c>
      <c r="Z737" s="52">
        <f t="shared" ca="1" si="193"/>
        <v>0.34520547945205482</v>
      </c>
      <c r="AB737" s="46">
        <f t="shared" si="195"/>
        <v>7.3407609317918876</v>
      </c>
      <c r="AC737" s="83" t="str">
        <f t="shared" si="186"/>
        <v/>
      </c>
      <c r="AE737" s="55"/>
      <c r="AF737" s="72"/>
      <c r="AG737" s="72"/>
      <c r="AH737" s="66"/>
    </row>
    <row r="738" spans="1:34" ht="16" hidden="1" thickBot="1" x14ac:dyDescent="0.25">
      <c r="A738" s="82"/>
      <c r="B738" s="62"/>
      <c r="C738" s="87"/>
      <c r="D738" s="62"/>
      <c r="F738" s="55"/>
      <c r="G738" s="56"/>
      <c r="H738" s="55"/>
      <c r="I738" s="57"/>
      <c r="J738" s="65"/>
      <c r="K738" s="66"/>
      <c r="L738" s="132"/>
      <c r="M738" s="43">
        <f t="shared" si="187"/>
        <v>0</v>
      </c>
      <c r="N738" s="49">
        <f t="shared" si="188"/>
        <v>37.78</v>
      </c>
      <c r="O738" s="42">
        <f t="shared" si="189"/>
        <v>0</v>
      </c>
      <c r="P738" s="48">
        <f t="shared" ca="1" si="190"/>
        <v>46274.525928000003</v>
      </c>
      <c r="Q738" s="41">
        <f t="shared" ca="1" si="191"/>
        <v>46289.525928000003</v>
      </c>
      <c r="R738" s="41" t="b">
        <f t="shared" ca="1" si="182"/>
        <v>1</v>
      </c>
      <c r="S738" s="44">
        <f t="shared" ca="1" si="183"/>
        <v>15</v>
      </c>
      <c r="T738" s="74">
        <f t="shared" ca="1" si="184"/>
        <v>46304.525928000003</v>
      </c>
      <c r="U738" s="75" t="s">
        <v>83</v>
      </c>
      <c r="V738" s="76">
        <f t="shared" si="192"/>
        <v>37.78</v>
      </c>
      <c r="W738" s="77" t="str">
        <f t="shared" si="185"/>
        <v/>
      </c>
      <c r="Y738" s="51">
        <f t="shared" ca="1" si="194"/>
        <v>239</v>
      </c>
      <c r="Z738" s="52">
        <f t="shared" ca="1" si="193"/>
        <v>0.34520547945205482</v>
      </c>
      <c r="AB738" s="46">
        <f t="shared" si="195"/>
        <v>7.3407609317918876</v>
      </c>
      <c r="AC738" s="83" t="str">
        <f t="shared" si="186"/>
        <v/>
      </c>
      <c r="AE738" s="55"/>
      <c r="AF738" s="72"/>
      <c r="AG738" s="72"/>
      <c r="AH738" s="66"/>
    </row>
    <row r="739" spans="1:34" ht="16" hidden="1" thickBot="1" x14ac:dyDescent="0.25">
      <c r="A739" s="82"/>
      <c r="B739" s="62"/>
      <c r="C739" s="87"/>
      <c r="D739" s="62"/>
      <c r="F739" s="55"/>
      <c r="G739" s="56"/>
      <c r="H739" s="55"/>
      <c r="I739" s="57"/>
      <c r="J739" s="65"/>
      <c r="K739" s="66"/>
      <c r="L739" s="132"/>
      <c r="M739" s="43">
        <f t="shared" si="187"/>
        <v>0</v>
      </c>
      <c r="N739" s="49">
        <f t="shared" si="188"/>
        <v>37.78</v>
      </c>
      <c r="O739" s="42">
        <f t="shared" si="189"/>
        <v>0</v>
      </c>
      <c r="P739" s="48">
        <f t="shared" ca="1" si="190"/>
        <v>46274.525928000003</v>
      </c>
      <c r="Q739" s="41">
        <f t="shared" ca="1" si="191"/>
        <v>46289.525928000003</v>
      </c>
      <c r="R739" s="41" t="b">
        <f t="shared" ca="1" si="182"/>
        <v>1</v>
      </c>
      <c r="S739" s="44">
        <f t="shared" ca="1" si="183"/>
        <v>15</v>
      </c>
      <c r="T739" s="74">
        <f t="shared" ca="1" si="184"/>
        <v>46304.525928000003</v>
      </c>
      <c r="U739" s="75" t="s">
        <v>83</v>
      </c>
      <c r="V739" s="76">
        <f t="shared" si="192"/>
        <v>37.78</v>
      </c>
      <c r="W739" s="77" t="str">
        <f t="shared" si="185"/>
        <v/>
      </c>
      <c r="Y739" s="51">
        <f t="shared" ca="1" si="194"/>
        <v>239</v>
      </c>
      <c r="Z739" s="52">
        <f t="shared" ca="1" si="193"/>
        <v>0.34520547945205482</v>
      </c>
      <c r="AB739" s="46">
        <f t="shared" si="195"/>
        <v>7.3407609317918876</v>
      </c>
      <c r="AC739" s="83" t="str">
        <f t="shared" si="186"/>
        <v/>
      </c>
      <c r="AE739" s="55"/>
      <c r="AF739" s="72"/>
      <c r="AG739" s="72"/>
      <c r="AH739" s="66"/>
    </row>
    <row r="740" spans="1:34" ht="16" hidden="1" thickBot="1" x14ac:dyDescent="0.25">
      <c r="A740" s="82"/>
      <c r="B740" s="62"/>
      <c r="C740" s="87"/>
      <c r="D740" s="62"/>
      <c r="F740" s="55"/>
      <c r="G740" s="56"/>
      <c r="H740" s="55"/>
      <c r="I740" s="57"/>
      <c r="J740" s="65"/>
      <c r="K740" s="66"/>
      <c r="L740" s="132"/>
      <c r="M740" s="43">
        <f t="shared" si="187"/>
        <v>0</v>
      </c>
      <c r="N740" s="49">
        <f t="shared" si="188"/>
        <v>37.78</v>
      </c>
      <c r="O740" s="42">
        <f t="shared" si="189"/>
        <v>0</v>
      </c>
      <c r="P740" s="48">
        <f t="shared" ca="1" si="190"/>
        <v>46274.525928000003</v>
      </c>
      <c r="Q740" s="41">
        <f t="shared" ca="1" si="191"/>
        <v>46289.525928000003</v>
      </c>
      <c r="R740" s="41" t="b">
        <f t="shared" ca="1" si="182"/>
        <v>1</v>
      </c>
      <c r="S740" s="44">
        <f t="shared" ca="1" si="183"/>
        <v>15</v>
      </c>
      <c r="T740" s="74">
        <f t="shared" ca="1" si="184"/>
        <v>46304.525928000003</v>
      </c>
      <c r="U740" s="75" t="s">
        <v>83</v>
      </c>
      <c r="V740" s="76">
        <f t="shared" si="192"/>
        <v>37.78</v>
      </c>
      <c r="W740" s="77" t="str">
        <f t="shared" si="185"/>
        <v/>
      </c>
      <c r="Y740" s="51">
        <f t="shared" ca="1" si="194"/>
        <v>239</v>
      </c>
      <c r="Z740" s="52">
        <f t="shared" ca="1" si="193"/>
        <v>0.34520547945205482</v>
      </c>
      <c r="AB740" s="46">
        <f t="shared" si="195"/>
        <v>7.3407609317918876</v>
      </c>
      <c r="AC740" s="83" t="str">
        <f t="shared" si="186"/>
        <v/>
      </c>
      <c r="AE740" s="55"/>
      <c r="AF740" s="72"/>
      <c r="AG740" s="72"/>
      <c r="AH740" s="66"/>
    </row>
    <row r="741" spans="1:34" ht="16" hidden="1" thickBot="1" x14ac:dyDescent="0.25">
      <c r="A741" s="82"/>
      <c r="B741" s="62"/>
      <c r="C741" s="87"/>
      <c r="D741" s="62"/>
      <c r="F741" s="55"/>
      <c r="G741" s="56"/>
      <c r="H741" s="55"/>
      <c r="I741" s="57"/>
      <c r="J741" s="65"/>
      <c r="K741" s="66"/>
      <c r="L741" s="132"/>
      <c r="M741" s="43">
        <f t="shared" si="187"/>
        <v>0</v>
      </c>
      <c r="N741" s="49">
        <f t="shared" si="188"/>
        <v>37.78</v>
      </c>
      <c r="O741" s="42">
        <f t="shared" si="189"/>
        <v>0</v>
      </c>
      <c r="P741" s="48">
        <f t="shared" ca="1" si="190"/>
        <v>46274.525928000003</v>
      </c>
      <c r="Q741" s="41">
        <f t="shared" ca="1" si="191"/>
        <v>46289.525928000003</v>
      </c>
      <c r="R741" s="41" t="b">
        <f t="shared" ca="1" si="182"/>
        <v>1</v>
      </c>
      <c r="S741" s="44">
        <f t="shared" ca="1" si="183"/>
        <v>15</v>
      </c>
      <c r="T741" s="74">
        <f t="shared" ca="1" si="184"/>
        <v>46304.525928000003</v>
      </c>
      <c r="U741" s="75" t="s">
        <v>83</v>
      </c>
      <c r="V741" s="76">
        <f t="shared" si="192"/>
        <v>37.78</v>
      </c>
      <c r="W741" s="77" t="str">
        <f t="shared" si="185"/>
        <v/>
      </c>
      <c r="Y741" s="51">
        <f t="shared" ca="1" si="194"/>
        <v>239</v>
      </c>
      <c r="Z741" s="52">
        <f t="shared" ca="1" si="193"/>
        <v>0.34520547945205482</v>
      </c>
      <c r="AB741" s="46">
        <f t="shared" si="195"/>
        <v>7.3407609317918876</v>
      </c>
      <c r="AC741" s="83" t="str">
        <f t="shared" si="186"/>
        <v/>
      </c>
      <c r="AE741" s="55"/>
      <c r="AF741" s="72"/>
      <c r="AG741" s="72"/>
      <c r="AH741" s="66"/>
    </row>
    <row r="742" spans="1:34" ht="16" hidden="1" thickBot="1" x14ac:dyDescent="0.25">
      <c r="A742" s="82"/>
      <c r="B742" s="62"/>
      <c r="C742" s="87"/>
      <c r="D742" s="62"/>
      <c r="F742" s="55"/>
      <c r="G742" s="56"/>
      <c r="H742" s="55"/>
      <c r="I742" s="57"/>
      <c r="J742" s="65"/>
      <c r="K742" s="66"/>
      <c r="L742" s="132"/>
      <c r="M742" s="43">
        <f t="shared" si="187"/>
        <v>0</v>
      </c>
      <c r="N742" s="49">
        <f t="shared" si="188"/>
        <v>37.78</v>
      </c>
      <c r="O742" s="42">
        <f t="shared" si="189"/>
        <v>0</v>
      </c>
      <c r="P742" s="48">
        <f t="shared" ca="1" si="190"/>
        <v>46274.525928000003</v>
      </c>
      <c r="Q742" s="41">
        <f t="shared" ca="1" si="191"/>
        <v>46289.525928000003</v>
      </c>
      <c r="R742" s="41" t="b">
        <f t="shared" ca="1" si="182"/>
        <v>1</v>
      </c>
      <c r="S742" s="44">
        <f t="shared" ca="1" si="183"/>
        <v>15</v>
      </c>
      <c r="T742" s="74">
        <f t="shared" ca="1" si="184"/>
        <v>46304.525928000003</v>
      </c>
      <c r="U742" s="75" t="s">
        <v>83</v>
      </c>
      <c r="V742" s="76">
        <f t="shared" si="192"/>
        <v>37.78</v>
      </c>
      <c r="W742" s="77" t="str">
        <f t="shared" si="185"/>
        <v/>
      </c>
      <c r="Y742" s="51">
        <f t="shared" ca="1" si="194"/>
        <v>239</v>
      </c>
      <c r="Z742" s="52">
        <f t="shared" ca="1" si="193"/>
        <v>0.34520547945205482</v>
      </c>
      <c r="AB742" s="46">
        <f t="shared" si="195"/>
        <v>7.3407609317918876</v>
      </c>
      <c r="AC742" s="83" t="str">
        <f t="shared" si="186"/>
        <v/>
      </c>
      <c r="AE742" s="55"/>
      <c r="AF742" s="72"/>
      <c r="AG742" s="72"/>
      <c r="AH742" s="66"/>
    </row>
    <row r="743" spans="1:34" ht="16" hidden="1" thickBot="1" x14ac:dyDescent="0.25">
      <c r="A743" s="82"/>
      <c r="B743" s="62"/>
      <c r="C743" s="87"/>
      <c r="D743" s="62"/>
      <c r="F743" s="55"/>
      <c r="G743" s="56"/>
      <c r="H743" s="55"/>
      <c r="I743" s="57"/>
      <c r="J743" s="65"/>
      <c r="K743" s="66"/>
      <c r="L743" s="132"/>
      <c r="M743" s="43">
        <f t="shared" si="187"/>
        <v>0</v>
      </c>
      <c r="N743" s="49">
        <f t="shared" si="188"/>
        <v>37.78</v>
      </c>
      <c r="O743" s="42">
        <f t="shared" si="189"/>
        <v>0</v>
      </c>
      <c r="P743" s="48">
        <f t="shared" ca="1" si="190"/>
        <v>46274.525928000003</v>
      </c>
      <c r="Q743" s="41">
        <f t="shared" ca="1" si="191"/>
        <v>46289.525928000003</v>
      </c>
      <c r="R743" s="41" t="b">
        <f t="shared" ca="1" si="182"/>
        <v>1</v>
      </c>
      <c r="S743" s="44">
        <f t="shared" ca="1" si="183"/>
        <v>15</v>
      </c>
      <c r="T743" s="74">
        <f t="shared" ca="1" si="184"/>
        <v>46304.525928000003</v>
      </c>
      <c r="U743" s="75" t="s">
        <v>83</v>
      </c>
      <c r="V743" s="76">
        <f t="shared" si="192"/>
        <v>37.78</v>
      </c>
      <c r="W743" s="77" t="str">
        <f t="shared" si="185"/>
        <v/>
      </c>
      <c r="Y743" s="51">
        <f t="shared" ca="1" si="194"/>
        <v>239</v>
      </c>
      <c r="Z743" s="52">
        <f t="shared" ca="1" si="193"/>
        <v>0.34520547945205482</v>
      </c>
      <c r="AB743" s="46">
        <f t="shared" si="195"/>
        <v>7.3407609317918876</v>
      </c>
      <c r="AC743" s="83" t="str">
        <f t="shared" si="186"/>
        <v/>
      </c>
      <c r="AE743" s="55"/>
      <c r="AF743" s="72"/>
      <c r="AG743" s="72"/>
      <c r="AH743" s="66"/>
    </row>
    <row r="744" spans="1:34" ht="16" hidden="1" thickBot="1" x14ac:dyDescent="0.25">
      <c r="A744" s="82"/>
      <c r="B744" s="62"/>
      <c r="C744" s="87"/>
      <c r="D744" s="62"/>
      <c r="F744" s="55"/>
      <c r="G744" s="56"/>
      <c r="H744" s="55"/>
      <c r="I744" s="57"/>
      <c r="J744" s="65"/>
      <c r="K744" s="66"/>
      <c r="L744" s="132"/>
      <c r="M744" s="43">
        <f t="shared" si="187"/>
        <v>0</v>
      </c>
      <c r="N744" s="49">
        <f t="shared" si="188"/>
        <v>37.78</v>
      </c>
      <c r="O744" s="42">
        <f t="shared" si="189"/>
        <v>0</v>
      </c>
      <c r="P744" s="48">
        <f t="shared" ca="1" si="190"/>
        <v>46274.525928000003</v>
      </c>
      <c r="Q744" s="41">
        <f t="shared" ca="1" si="191"/>
        <v>46289.525928000003</v>
      </c>
      <c r="R744" s="41" t="b">
        <f t="shared" ca="1" si="182"/>
        <v>1</v>
      </c>
      <c r="S744" s="44">
        <f t="shared" ca="1" si="183"/>
        <v>15</v>
      </c>
      <c r="T744" s="74">
        <f t="shared" ca="1" si="184"/>
        <v>46304.525928000003</v>
      </c>
      <c r="U744" s="75" t="s">
        <v>83</v>
      </c>
      <c r="V744" s="76">
        <f t="shared" si="192"/>
        <v>37.78</v>
      </c>
      <c r="W744" s="77" t="str">
        <f t="shared" si="185"/>
        <v/>
      </c>
      <c r="Y744" s="51">
        <f t="shared" ca="1" si="194"/>
        <v>239</v>
      </c>
      <c r="Z744" s="52">
        <f t="shared" ca="1" si="193"/>
        <v>0.34520547945205482</v>
      </c>
      <c r="AB744" s="46">
        <f t="shared" si="195"/>
        <v>7.3407609317918876</v>
      </c>
      <c r="AC744" s="83" t="str">
        <f t="shared" si="186"/>
        <v/>
      </c>
      <c r="AE744" s="55"/>
      <c r="AF744" s="72"/>
      <c r="AG744" s="72"/>
      <c r="AH744" s="66"/>
    </row>
    <row r="745" spans="1:34" ht="16" hidden="1" thickBot="1" x14ac:dyDescent="0.25">
      <c r="A745" s="82"/>
      <c r="B745" s="62"/>
      <c r="C745" s="87"/>
      <c r="D745" s="62"/>
      <c r="F745" s="55"/>
      <c r="G745" s="56"/>
      <c r="H745" s="55"/>
      <c r="I745" s="57"/>
      <c r="J745" s="65"/>
      <c r="K745" s="66"/>
      <c r="L745" s="132"/>
      <c r="M745" s="43">
        <f t="shared" si="187"/>
        <v>0</v>
      </c>
      <c r="N745" s="49">
        <f t="shared" si="188"/>
        <v>37.78</v>
      </c>
      <c r="O745" s="42">
        <f t="shared" si="189"/>
        <v>0</v>
      </c>
      <c r="P745" s="48">
        <f t="shared" ca="1" si="190"/>
        <v>46274.525928000003</v>
      </c>
      <c r="Q745" s="41">
        <f t="shared" ca="1" si="191"/>
        <v>46289.525928000003</v>
      </c>
      <c r="R745" s="41" t="b">
        <f t="shared" ca="1" si="182"/>
        <v>1</v>
      </c>
      <c r="S745" s="44">
        <f t="shared" ca="1" si="183"/>
        <v>15</v>
      </c>
      <c r="T745" s="74">
        <f t="shared" ca="1" si="184"/>
        <v>46304.525928000003</v>
      </c>
      <c r="U745" s="75" t="s">
        <v>83</v>
      </c>
      <c r="V745" s="76">
        <f t="shared" si="192"/>
        <v>37.78</v>
      </c>
      <c r="W745" s="77" t="str">
        <f t="shared" si="185"/>
        <v/>
      </c>
      <c r="Y745" s="51">
        <f t="shared" ca="1" si="194"/>
        <v>239</v>
      </c>
      <c r="Z745" s="52">
        <f t="shared" ca="1" si="193"/>
        <v>0.34520547945205482</v>
      </c>
      <c r="AB745" s="46">
        <f t="shared" si="195"/>
        <v>7.3407609317918876</v>
      </c>
      <c r="AC745" s="83" t="str">
        <f t="shared" si="186"/>
        <v/>
      </c>
      <c r="AE745" s="55"/>
      <c r="AF745" s="72"/>
      <c r="AG745" s="72"/>
      <c r="AH745" s="66"/>
    </row>
    <row r="746" spans="1:34" ht="16" hidden="1" thickBot="1" x14ac:dyDescent="0.25">
      <c r="A746" s="82"/>
      <c r="B746" s="62"/>
      <c r="C746" s="87"/>
      <c r="D746" s="62"/>
      <c r="F746" s="55"/>
      <c r="G746" s="56"/>
      <c r="H746" s="55"/>
      <c r="I746" s="57"/>
      <c r="J746" s="65"/>
      <c r="K746" s="66"/>
      <c r="L746" s="132"/>
      <c r="M746" s="43">
        <f t="shared" si="187"/>
        <v>0</v>
      </c>
      <c r="N746" s="49">
        <f t="shared" si="188"/>
        <v>37.78</v>
      </c>
      <c r="O746" s="42">
        <f t="shared" si="189"/>
        <v>0</v>
      </c>
      <c r="P746" s="48">
        <f t="shared" ca="1" si="190"/>
        <v>46274.525928000003</v>
      </c>
      <c r="Q746" s="41">
        <f t="shared" ca="1" si="191"/>
        <v>46289.525928000003</v>
      </c>
      <c r="R746" s="41" t="b">
        <f t="shared" ca="1" si="182"/>
        <v>1</v>
      </c>
      <c r="S746" s="44">
        <f t="shared" ca="1" si="183"/>
        <v>15</v>
      </c>
      <c r="T746" s="74">
        <f t="shared" ca="1" si="184"/>
        <v>46304.525928000003</v>
      </c>
      <c r="U746" s="75" t="s">
        <v>83</v>
      </c>
      <c r="V746" s="76">
        <f t="shared" si="192"/>
        <v>37.78</v>
      </c>
      <c r="W746" s="77" t="str">
        <f t="shared" si="185"/>
        <v/>
      </c>
      <c r="Y746" s="51">
        <f t="shared" ca="1" si="194"/>
        <v>239</v>
      </c>
      <c r="Z746" s="52">
        <f t="shared" ca="1" si="193"/>
        <v>0.34520547945205482</v>
      </c>
      <c r="AB746" s="46">
        <f t="shared" si="195"/>
        <v>7.3407609317918876</v>
      </c>
      <c r="AC746" s="83" t="str">
        <f t="shared" si="186"/>
        <v/>
      </c>
      <c r="AE746" s="55"/>
      <c r="AF746" s="72"/>
      <c r="AG746" s="72"/>
      <c r="AH746" s="66"/>
    </row>
    <row r="747" spans="1:34" ht="16" hidden="1" thickBot="1" x14ac:dyDescent="0.25">
      <c r="A747" s="82"/>
      <c r="B747" s="62"/>
      <c r="C747" s="87"/>
      <c r="D747" s="62"/>
      <c r="F747" s="55"/>
      <c r="G747" s="56"/>
      <c r="H747" s="55"/>
      <c r="I747" s="57"/>
      <c r="J747" s="65"/>
      <c r="K747" s="66"/>
      <c r="L747" s="132"/>
      <c r="M747" s="43">
        <f t="shared" si="187"/>
        <v>0</v>
      </c>
      <c r="N747" s="49">
        <f t="shared" si="188"/>
        <v>37.78</v>
      </c>
      <c r="O747" s="42">
        <f t="shared" si="189"/>
        <v>0</v>
      </c>
      <c r="P747" s="48">
        <f t="shared" ca="1" si="190"/>
        <v>46274.525928000003</v>
      </c>
      <c r="Q747" s="41">
        <f t="shared" ca="1" si="191"/>
        <v>46289.525928000003</v>
      </c>
      <c r="R747" s="41" t="b">
        <f t="shared" ca="1" si="182"/>
        <v>1</v>
      </c>
      <c r="S747" s="44">
        <f t="shared" ca="1" si="183"/>
        <v>15</v>
      </c>
      <c r="T747" s="74">
        <f t="shared" ca="1" si="184"/>
        <v>46304.525928000003</v>
      </c>
      <c r="U747" s="75" t="s">
        <v>83</v>
      </c>
      <c r="V747" s="76">
        <f t="shared" si="192"/>
        <v>37.78</v>
      </c>
      <c r="W747" s="77" t="str">
        <f t="shared" si="185"/>
        <v/>
      </c>
      <c r="Y747" s="51">
        <f t="shared" ca="1" si="194"/>
        <v>239</v>
      </c>
      <c r="Z747" s="52">
        <f t="shared" ca="1" si="193"/>
        <v>0.34520547945205482</v>
      </c>
      <c r="AB747" s="46">
        <f t="shared" si="195"/>
        <v>7.3407609317918876</v>
      </c>
      <c r="AC747" s="83" t="str">
        <f t="shared" si="186"/>
        <v/>
      </c>
      <c r="AE747" s="55"/>
      <c r="AF747" s="72"/>
      <c r="AG747" s="72"/>
      <c r="AH747" s="66"/>
    </row>
    <row r="748" spans="1:34" ht="16" hidden="1" thickBot="1" x14ac:dyDescent="0.25">
      <c r="A748" s="82"/>
      <c r="B748" s="62"/>
      <c r="C748" s="87"/>
      <c r="D748" s="62"/>
      <c r="F748" s="55"/>
      <c r="G748" s="56"/>
      <c r="H748" s="55"/>
      <c r="I748" s="57"/>
      <c r="J748" s="65"/>
      <c r="K748" s="66"/>
      <c r="L748" s="132"/>
      <c r="M748" s="43">
        <f t="shared" si="187"/>
        <v>0</v>
      </c>
      <c r="N748" s="49">
        <f t="shared" si="188"/>
        <v>37.78</v>
      </c>
      <c r="O748" s="42">
        <f t="shared" si="189"/>
        <v>0</v>
      </c>
      <c r="P748" s="48">
        <f t="shared" ca="1" si="190"/>
        <v>46274.525928000003</v>
      </c>
      <c r="Q748" s="41">
        <f t="shared" ca="1" si="191"/>
        <v>46289.525928000003</v>
      </c>
      <c r="R748" s="41" t="b">
        <f t="shared" ca="1" si="182"/>
        <v>1</v>
      </c>
      <c r="S748" s="44">
        <f t="shared" ca="1" si="183"/>
        <v>15</v>
      </c>
      <c r="T748" s="74">
        <f t="shared" ca="1" si="184"/>
        <v>46304.525928000003</v>
      </c>
      <c r="U748" s="75" t="s">
        <v>83</v>
      </c>
      <c r="V748" s="76">
        <f t="shared" si="192"/>
        <v>37.78</v>
      </c>
      <c r="W748" s="77" t="str">
        <f t="shared" si="185"/>
        <v/>
      </c>
      <c r="Y748" s="51">
        <f t="shared" ca="1" si="194"/>
        <v>239</v>
      </c>
      <c r="Z748" s="52">
        <f t="shared" ca="1" si="193"/>
        <v>0.34520547945205482</v>
      </c>
      <c r="AB748" s="46">
        <f t="shared" si="195"/>
        <v>7.3407609317918876</v>
      </c>
      <c r="AC748" s="83" t="str">
        <f t="shared" si="186"/>
        <v/>
      </c>
      <c r="AE748" s="55"/>
      <c r="AF748" s="72"/>
      <c r="AG748" s="72"/>
      <c r="AH748" s="66"/>
    </row>
    <row r="749" spans="1:34" ht="16" hidden="1" thickBot="1" x14ac:dyDescent="0.25">
      <c r="A749" s="82"/>
      <c r="B749" s="62"/>
      <c r="C749" s="87"/>
      <c r="D749" s="62"/>
      <c r="F749" s="55"/>
      <c r="G749" s="56"/>
      <c r="H749" s="55"/>
      <c r="I749" s="57"/>
      <c r="J749" s="65"/>
      <c r="K749" s="66"/>
      <c r="L749" s="132"/>
      <c r="M749" s="43">
        <f t="shared" si="187"/>
        <v>0</v>
      </c>
      <c r="N749" s="49">
        <f t="shared" si="188"/>
        <v>37.78</v>
      </c>
      <c r="O749" s="42">
        <f t="shared" si="189"/>
        <v>0</v>
      </c>
      <c r="P749" s="48">
        <f t="shared" ca="1" si="190"/>
        <v>46274.525928000003</v>
      </c>
      <c r="Q749" s="41">
        <f t="shared" ca="1" si="191"/>
        <v>46289.525928000003</v>
      </c>
      <c r="R749" s="41" t="b">
        <f t="shared" ca="1" si="182"/>
        <v>1</v>
      </c>
      <c r="S749" s="44">
        <f t="shared" ca="1" si="183"/>
        <v>15</v>
      </c>
      <c r="T749" s="74">
        <f t="shared" ca="1" si="184"/>
        <v>46304.525928000003</v>
      </c>
      <c r="U749" s="75" t="s">
        <v>83</v>
      </c>
      <c r="V749" s="76">
        <f t="shared" si="192"/>
        <v>37.78</v>
      </c>
      <c r="W749" s="77" t="str">
        <f t="shared" si="185"/>
        <v/>
      </c>
      <c r="Y749" s="51">
        <f t="shared" ca="1" si="194"/>
        <v>239</v>
      </c>
      <c r="Z749" s="52">
        <f t="shared" ca="1" si="193"/>
        <v>0.34520547945205482</v>
      </c>
      <c r="AB749" s="46">
        <f t="shared" si="195"/>
        <v>7.3407609317918876</v>
      </c>
      <c r="AC749" s="83" t="str">
        <f t="shared" si="186"/>
        <v/>
      </c>
      <c r="AE749" s="55"/>
      <c r="AF749" s="72"/>
      <c r="AG749" s="72"/>
      <c r="AH749" s="66"/>
    </row>
    <row r="750" spans="1:34" ht="16" hidden="1" thickBot="1" x14ac:dyDescent="0.25">
      <c r="A750" s="82"/>
      <c r="B750" s="62"/>
      <c r="C750" s="87"/>
      <c r="D750" s="62"/>
      <c r="F750" s="55"/>
      <c r="G750" s="56"/>
      <c r="H750" s="55"/>
      <c r="I750" s="57"/>
      <c r="J750" s="65"/>
      <c r="K750" s="66"/>
      <c r="L750" s="132"/>
      <c r="M750" s="43">
        <f t="shared" si="187"/>
        <v>0</v>
      </c>
      <c r="N750" s="49">
        <f t="shared" si="188"/>
        <v>37.78</v>
      </c>
      <c r="O750" s="42">
        <f t="shared" si="189"/>
        <v>0</v>
      </c>
      <c r="P750" s="48">
        <f t="shared" ca="1" si="190"/>
        <v>46274.525928000003</v>
      </c>
      <c r="Q750" s="41">
        <f t="shared" ca="1" si="191"/>
        <v>46289.525928000003</v>
      </c>
      <c r="R750" s="41" t="b">
        <f t="shared" ca="1" si="182"/>
        <v>1</v>
      </c>
      <c r="S750" s="44">
        <f t="shared" ca="1" si="183"/>
        <v>15</v>
      </c>
      <c r="T750" s="74">
        <f t="shared" ca="1" si="184"/>
        <v>46304.525928000003</v>
      </c>
      <c r="U750" s="75" t="s">
        <v>83</v>
      </c>
      <c r="V750" s="76">
        <f t="shared" si="192"/>
        <v>37.78</v>
      </c>
      <c r="W750" s="77" t="str">
        <f t="shared" si="185"/>
        <v/>
      </c>
      <c r="Y750" s="51">
        <f t="shared" ca="1" si="194"/>
        <v>239</v>
      </c>
      <c r="Z750" s="52">
        <f t="shared" ca="1" si="193"/>
        <v>0.34520547945205482</v>
      </c>
      <c r="AB750" s="46">
        <f t="shared" si="195"/>
        <v>7.3407609317918876</v>
      </c>
      <c r="AC750" s="83" t="str">
        <f t="shared" si="186"/>
        <v/>
      </c>
      <c r="AE750" s="55"/>
      <c r="AF750" s="72"/>
      <c r="AG750" s="72"/>
      <c r="AH750" s="66"/>
    </row>
    <row r="751" spans="1:34" ht="16" hidden="1" thickBot="1" x14ac:dyDescent="0.25">
      <c r="A751" s="82"/>
      <c r="B751" s="62"/>
      <c r="C751" s="87"/>
      <c r="D751" s="62"/>
      <c r="F751" s="55"/>
      <c r="G751" s="56"/>
      <c r="H751" s="55"/>
      <c r="I751" s="57"/>
      <c r="J751" s="65"/>
      <c r="K751" s="66"/>
      <c r="L751" s="132"/>
      <c r="M751" s="43">
        <f t="shared" si="187"/>
        <v>0</v>
      </c>
      <c r="N751" s="49">
        <f t="shared" si="188"/>
        <v>37.78</v>
      </c>
      <c r="O751" s="42">
        <f t="shared" si="189"/>
        <v>0</v>
      </c>
      <c r="P751" s="48">
        <f t="shared" ca="1" si="190"/>
        <v>46274.525928000003</v>
      </c>
      <c r="Q751" s="41">
        <f t="shared" ca="1" si="191"/>
        <v>46289.525928000003</v>
      </c>
      <c r="R751" s="41" t="b">
        <f t="shared" ca="1" si="182"/>
        <v>1</v>
      </c>
      <c r="S751" s="44">
        <f t="shared" ca="1" si="183"/>
        <v>15</v>
      </c>
      <c r="T751" s="74">
        <f t="shared" ca="1" si="184"/>
        <v>46304.525928000003</v>
      </c>
      <c r="U751" s="75" t="s">
        <v>83</v>
      </c>
      <c r="V751" s="76">
        <f t="shared" si="192"/>
        <v>37.78</v>
      </c>
      <c r="W751" s="77" t="str">
        <f t="shared" si="185"/>
        <v/>
      </c>
      <c r="Y751" s="51">
        <f t="shared" ca="1" si="194"/>
        <v>239</v>
      </c>
      <c r="Z751" s="52">
        <f t="shared" ca="1" si="193"/>
        <v>0.34520547945205482</v>
      </c>
      <c r="AB751" s="46">
        <f t="shared" si="195"/>
        <v>7.3407609317918876</v>
      </c>
      <c r="AC751" s="83" t="str">
        <f t="shared" si="186"/>
        <v/>
      </c>
      <c r="AE751" s="55"/>
      <c r="AF751" s="72"/>
      <c r="AG751" s="72"/>
      <c r="AH751" s="66"/>
    </row>
    <row r="752" spans="1:34" ht="16" hidden="1" thickBot="1" x14ac:dyDescent="0.25">
      <c r="A752" s="82"/>
      <c r="B752" s="62"/>
      <c r="C752" s="87"/>
      <c r="D752" s="62"/>
      <c r="F752" s="55"/>
      <c r="G752" s="56"/>
      <c r="H752" s="55"/>
      <c r="I752" s="57"/>
      <c r="J752" s="65"/>
      <c r="K752" s="66"/>
      <c r="L752" s="132"/>
      <c r="M752" s="43">
        <f t="shared" si="187"/>
        <v>0</v>
      </c>
      <c r="N752" s="49">
        <f t="shared" si="188"/>
        <v>37.78</v>
      </c>
      <c r="O752" s="42">
        <f t="shared" si="189"/>
        <v>0</v>
      </c>
      <c r="P752" s="48">
        <f t="shared" ca="1" si="190"/>
        <v>46274.525928000003</v>
      </c>
      <c r="Q752" s="41">
        <f t="shared" ca="1" si="191"/>
        <v>46289.525928000003</v>
      </c>
      <c r="R752" s="41" t="b">
        <f t="shared" ca="1" si="182"/>
        <v>1</v>
      </c>
      <c r="S752" s="44">
        <f t="shared" ca="1" si="183"/>
        <v>15</v>
      </c>
      <c r="T752" s="74">
        <f t="shared" ca="1" si="184"/>
        <v>46304.525928000003</v>
      </c>
      <c r="U752" s="75" t="s">
        <v>83</v>
      </c>
      <c r="V752" s="76">
        <f t="shared" si="192"/>
        <v>37.78</v>
      </c>
      <c r="W752" s="77" t="str">
        <f t="shared" si="185"/>
        <v/>
      </c>
      <c r="Y752" s="51">
        <f t="shared" ca="1" si="194"/>
        <v>239</v>
      </c>
      <c r="Z752" s="52">
        <f t="shared" ca="1" si="193"/>
        <v>0.34520547945205482</v>
      </c>
      <c r="AB752" s="46">
        <f t="shared" si="195"/>
        <v>7.3407609317918876</v>
      </c>
      <c r="AC752" s="83" t="str">
        <f t="shared" si="186"/>
        <v/>
      </c>
      <c r="AE752" s="55"/>
      <c r="AF752" s="72"/>
      <c r="AG752" s="72"/>
      <c r="AH752" s="66"/>
    </row>
    <row r="753" spans="1:34" ht="16" hidden="1" thickBot="1" x14ac:dyDescent="0.25">
      <c r="A753" s="82"/>
      <c r="B753" s="62"/>
      <c r="C753" s="87"/>
      <c r="D753" s="62"/>
      <c r="F753" s="55"/>
      <c r="G753" s="56"/>
      <c r="H753" s="55"/>
      <c r="I753" s="57"/>
      <c r="J753" s="65"/>
      <c r="K753" s="66"/>
      <c r="L753" s="132"/>
      <c r="M753" s="43">
        <f t="shared" si="187"/>
        <v>0</v>
      </c>
      <c r="N753" s="49">
        <f t="shared" si="188"/>
        <v>37.78</v>
      </c>
      <c r="O753" s="42">
        <f t="shared" si="189"/>
        <v>0</v>
      </c>
      <c r="P753" s="48">
        <f t="shared" ca="1" si="190"/>
        <v>46274.525928000003</v>
      </c>
      <c r="Q753" s="41">
        <f t="shared" ca="1" si="191"/>
        <v>46289.525928000003</v>
      </c>
      <c r="R753" s="41" t="b">
        <f t="shared" ca="1" si="182"/>
        <v>1</v>
      </c>
      <c r="S753" s="44">
        <f t="shared" ca="1" si="183"/>
        <v>15</v>
      </c>
      <c r="T753" s="74">
        <f t="shared" ca="1" si="184"/>
        <v>46304.525928000003</v>
      </c>
      <c r="U753" s="75" t="s">
        <v>83</v>
      </c>
      <c r="V753" s="76">
        <f t="shared" si="192"/>
        <v>37.78</v>
      </c>
      <c r="W753" s="77" t="str">
        <f t="shared" si="185"/>
        <v/>
      </c>
      <c r="Y753" s="51">
        <f t="shared" ca="1" si="194"/>
        <v>239</v>
      </c>
      <c r="Z753" s="52">
        <f t="shared" ca="1" si="193"/>
        <v>0.34520547945205482</v>
      </c>
      <c r="AB753" s="46">
        <f t="shared" si="195"/>
        <v>7.3407609317918876</v>
      </c>
      <c r="AC753" s="83" t="str">
        <f t="shared" si="186"/>
        <v/>
      </c>
      <c r="AE753" s="55"/>
      <c r="AF753" s="72"/>
      <c r="AG753" s="72"/>
      <c r="AH753" s="66"/>
    </row>
    <row r="754" spans="1:34" ht="16" hidden="1" thickBot="1" x14ac:dyDescent="0.25">
      <c r="A754" s="82"/>
      <c r="B754" s="62"/>
      <c r="C754" s="87"/>
      <c r="D754" s="62"/>
      <c r="F754" s="55"/>
      <c r="G754" s="56"/>
      <c r="H754" s="55"/>
      <c r="I754" s="57"/>
      <c r="J754" s="65"/>
      <c r="K754" s="66"/>
      <c r="L754" s="132"/>
      <c r="M754" s="43">
        <f t="shared" si="187"/>
        <v>0</v>
      </c>
      <c r="N754" s="49">
        <f t="shared" si="188"/>
        <v>37.78</v>
      </c>
      <c r="O754" s="42">
        <f t="shared" si="189"/>
        <v>0</v>
      </c>
      <c r="P754" s="48">
        <f t="shared" ca="1" si="190"/>
        <v>46274.525928000003</v>
      </c>
      <c r="Q754" s="41">
        <f t="shared" ca="1" si="191"/>
        <v>46289.525928000003</v>
      </c>
      <c r="R754" s="41" t="b">
        <f t="shared" ca="1" si="182"/>
        <v>1</v>
      </c>
      <c r="S754" s="44">
        <f t="shared" ca="1" si="183"/>
        <v>15</v>
      </c>
      <c r="T754" s="74">
        <f t="shared" ca="1" si="184"/>
        <v>46304.525928000003</v>
      </c>
      <c r="U754" s="75" t="s">
        <v>83</v>
      </c>
      <c r="V754" s="76">
        <f t="shared" si="192"/>
        <v>37.78</v>
      </c>
      <c r="W754" s="77" t="str">
        <f t="shared" si="185"/>
        <v/>
      </c>
      <c r="Y754" s="51">
        <f t="shared" ca="1" si="194"/>
        <v>239</v>
      </c>
      <c r="Z754" s="52">
        <f t="shared" ca="1" si="193"/>
        <v>0.34520547945205482</v>
      </c>
      <c r="AB754" s="46">
        <f t="shared" si="195"/>
        <v>7.3407609317918876</v>
      </c>
      <c r="AC754" s="83" t="str">
        <f t="shared" si="186"/>
        <v/>
      </c>
      <c r="AE754" s="55"/>
      <c r="AF754" s="72"/>
      <c r="AG754" s="72"/>
      <c r="AH754" s="66"/>
    </row>
    <row r="755" spans="1:34" ht="16" hidden="1" thickBot="1" x14ac:dyDescent="0.25">
      <c r="A755" s="82"/>
      <c r="B755" s="62"/>
      <c r="C755" s="87"/>
      <c r="D755" s="62"/>
      <c r="F755" s="55"/>
      <c r="G755" s="56"/>
      <c r="H755" s="55"/>
      <c r="I755" s="57"/>
      <c r="J755" s="65"/>
      <c r="K755" s="66"/>
      <c r="L755" s="132"/>
      <c r="M755" s="43">
        <f t="shared" si="187"/>
        <v>0</v>
      </c>
      <c r="N755" s="49">
        <f t="shared" si="188"/>
        <v>37.78</v>
      </c>
      <c r="O755" s="42">
        <f t="shared" si="189"/>
        <v>0</v>
      </c>
      <c r="P755" s="48">
        <f t="shared" ca="1" si="190"/>
        <v>46274.525928000003</v>
      </c>
      <c r="Q755" s="41">
        <f t="shared" ca="1" si="191"/>
        <v>46289.525928000003</v>
      </c>
      <c r="R755" s="41" t="b">
        <f t="shared" ca="1" si="182"/>
        <v>1</v>
      </c>
      <c r="S755" s="44">
        <f t="shared" ca="1" si="183"/>
        <v>15</v>
      </c>
      <c r="T755" s="74">
        <f t="shared" ca="1" si="184"/>
        <v>46304.525928000003</v>
      </c>
      <c r="U755" s="75" t="s">
        <v>83</v>
      </c>
      <c r="V755" s="76">
        <f t="shared" si="192"/>
        <v>37.78</v>
      </c>
      <c r="W755" s="77" t="str">
        <f t="shared" si="185"/>
        <v/>
      </c>
      <c r="Y755" s="51">
        <f t="shared" ca="1" si="194"/>
        <v>239</v>
      </c>
      <c r="Z755" s="52">
        <f t="shared" ca="1" si="193"/>
        <v>0.34520547945205482</v>
      </c>
      <c r="AB755" s="46">
        <f t="shared" si="195"/>
        <v>7.3407609317918876</v>
      </c>
      <c r="AC755" s="83" t="str">
        <f t="shared" si="186"/>
        <v/>
      </c>
      <c r="AE755" s="55"/>
      <c r="AF755" s="72"/>
      <c r="AG755" s="72"/>
      <c r="AH755" s="66"/>
    </row>
    <row r="756" spans="1:34" ht="16" hidden="1" thickBot="1" x14ac:dyDescent="0.25">
      <c r="A756" s="82"/>
      <c r="B756" s="62"/>
      <c r="C756" s="87"/>
      <c r="D756" s="62"/>
      <c r="F756" s="55"/>
      <c r="G756" s="56"/>
      <c r="H756" s="55"/>
      <c r="I756" s="57"/>
      <c r="J756" s="65"/>
      <c r="K756" s="66"/>
      <c r="L756" s="132"/>
      <c r="M756" s="43">
        <f t="shared" si="187"/>
        <v>0</v>
      </c>
      <c r="N756" s="49">
        <f t="shared" si="188"/>
        <v>37.78</v>
      </c>
      <c r="O756" s="42">
        <f t="shared" si="189"/>
        <v>0</v>
      </c>
      <c r="P756" s="48">
        <f t="shared" ca="1" si="190"/>
        <v>46274.525928000003</v>
      </c>
      <c r="Q756" s="41">
        <f t="shared" ca="1" si="191"/>
        <v>46289.525928000003</v>
      </c>
      <c r="R756" s="41" t="b">
        <f t="shared" ca="1" si="182"/>
        <v>1</v>
      </c>
      <c r="S756" s="44">
        <f t="shared" ca="1" si="183"/>
        <v>15</v>
      </c>
      <c r="T756" s="74">
        <f t="shared" ca="1" si="184"/>
        <v>46304.525928000003</v>
      </c>
      <c r="U756" s="75" t="s">
        <v>83</v>
      </c>
      <c r="V756" s="76">
        <f t="shared" si="192"/>
        <v>37.78</v>
      </c>
      <c r="W756" s="77" t="str">
        <f t="shared" si="185"/>
        <v/>
      </c>
      <c r="Y756" s="51">
        <f t="shared" ca="1" si="194"/>
        <v>239</v>
      </c>
      <c r="Z756" s="52">
        <f t="shared" ca="1" si="193"/>
        <v>0.34520547945205482</v>
      </c>
      <c r="AB756" s="46">
        <f t="shared" si="195"/>
        <v>7.3407609317918876</v>
      </c>
      <c r="AC756" s="83" t="str">
        <f t="shared" si="186"/>
        <v/>
      </c>
      <c r="AE756" s="55"/>
      <c r="AF756" s="72"/>
      <c r="AG756" s="72"/>
      <c r="AH756" s="66"/>
    </row>
    <row r="757" spans="1:34" ht="16" hidden="1" thickBot="1" x14ac:dyDescent="0.25">
      <c r="A757" s="82"/>
      <c r="B757" s="62"/>
      <c r="C757" s="87"/>
      <c r="D757" s="62"/>
      <c r="F757" s="55"/>
      <c r="G757" s="56"/>
      <c r="H757" s="55"/>
      <c r="I757" s="57"/>
      <c r="J757" s="65"/>
      <c r="K757" s="66"/>
      <c r="L757" s="132"/>
      <c r="M757" s="43">
        <f t="shared" si="187"/>
        <v>0</v>
      </c>
      <c r="N757" s="49">
        <f t="shared" si="188"/>
        <v>37.78</v>
      </c>
      <c r="O757" s="42">
        <f t="shared" si="189"/>
        <v>0</v>
      </c>
      <c r="P757" s="48">
        <f t="shared" ca="1" si="190"/>
        <v>46274.525928000003</v>
      </c>
      <c r="Q757" s="41">
        <f t="shared" ca="1" si="191"/>
        <v>46289.525928000003</v>
      </c>
      <c r="R757" s="41" t="b">
        <f t="shared" ca="1" si="182"/>
        <v>1</v>
      </c>
      <c r="S757" s="44">
        <f t="shared" ca="1" si="183"/>
        <v>15</v>
      </c>
      <c r="T757" s="74">
        <f t="shared" ca="1" si="184"/>
        <v>46304.525928000003</v>
      </c>
      <c r="U757" s="75" t="s">
        <v>83</v>
      </c>
      <c r="V757" s="76">
        <f t="shared" si="192"/>
        <v>37.78</v>
      </c>
      <c r="W757" s="77" t="str">
        <f t="shared" si="185"/>
        <v/>
      </c>
      <c r="Y757" s="51">
        <f t="shared" ca="1" si="194"/>
        <v>239</v>
      </c>
      <c r="Z757" s="52">
        <f t="shared" ca="1" si="193"/>
        <v>0.34520547945205482</v>
      </c>
      <c r="AB757" s="46">
        <f t="shared" si="195"/>
        <v>7.3407609317918876</v>
      </c>
      <c r="AC757" s="83" t="str">
        <f t="shared" si="186"/>
        <v/>
      </c>
      <c r="AE757" s="55"/>
      <c r="AF757" s="72"/>
      <c r="AG757" s="72"/>
      <c r="AH757" s="66"/>
    </row>
    <row r="758" spans="1:34" ht="16" hidden="1" thickBot="1" x14ac:dyDescent="0.25">
      <c r="A758" s="82"/>
      <c r="B758" s="62"/>
      <c r="C758" s="87"/>
      <c r="D758" s="62"/>
      <c r="F758" s="55"/>
      <c r="G758" s="56"/>
      <c r="H758" s="55"/>
      <c r="I758" s="57"/>
      <c r="J758" s="65"/>
      <c r="K758" s="66"/>
      <c r="L758" s="132"/>
      <c r="M758" s="43">
        <f t="shared" si="187"/>
        <v>0</v>
      </c>
      <c r="N758" s="49">
        <f t="shared" si="188"/>
        <v>37.78</v>
      </c>
      <c r="O758" s="42">
        <f t="shared" si="189"/>
        <v>0</v>
      </c>
      <c r="P758" s="48">
        <f t="shared" ca="1" si="190"/>
        <v>46274.525928000003</v>
      </c>
      <c r="Q758" s="41">
        <f t="shared" ca="1" si="191"/>
        <v>46289.525928000003</v>
      </c>
      <c r="R758" s="41" t="b">
        <f t="shared" ca="1" si="182"/>
        <v>1</v>
      </c>
      <c r="S758" s="44">
        <f t="shared" ca="1" si="183"/>
        <v>15</v>
      </c>
      <c r="T758" s="74">
        <f t="shared" ca="1" si="184"/>
        <v>46304.525928000003</v>
      </c>
      <c r="U758" s="75" t="s">
        <v>83</v>
      </c>
      <c r="V758" s="76">
        <f t="shared" si="192"/>
        <v>37.78</v>
      </c>
      <c r="W758" s="77" t="str">
        <f t="shared" si="185"/>
        <v/>
      </c>
      <c r="Y758" s="51">
        <f t="shared" ca="1" si="194"/>
        <v>239</v>
      </c>
      <c r="Z758" s="52">
        <f t="shared" ca="1" si="193"/>
        <v>0.34520547945205482</v>
      </c>
      <c r="AB758" s="46">
        <f t="shared" si="195"/>
        <v>7.3407609317918876</v>
      </c>
      <c r="AC758" s="83" t="str">
        <f t="shared" si="186"/>
        <v/>
      </c>
      <c r="AE758" s="55"/>
      <c r="AF758" s="72"/>
      <c r="AG758" s="72"/>
      <c r="AH758" s="66"/>
    </row>
    <row r="759" spans="1:34" ht="16" hidden="1" thickBot="1" x14ac:dyDescent="0.25">
      <c r="A759" s="82"/>
      <c r="B759" s="62"/>
      <c r="C759" s="87"/>
      <c r="D759" s="62"/>
      <c r="F759" s="55"/>
      <c r="G759" s="56"/>
      <c r="H759" s="55"/>
      <c r="I759" s="57"/>
      <c r="J759" s="65"/>
      <c r="K759" s="66"/>
      <c r="L759" s="132"/>
      <c r="M759" s="43">
        <f t="shared" si="187"/>
        <v>0</v>
      </c>
      <c r="N759" s="49">
        <f t="shared" si="188"/>
        <v>37.78</v>
      </c>
      <c r="O759" s="42">
        <f t="shared" si="189"/>
        <v>0</v>
      </c>
      <c r="P759" s="48">
        <f t="shared" ca="1" si="190"/>
        <v>46274.525928000003</v>
      </c>
      <c r="Q759" s="41">
        <f t="shared" ca="1" si="191"/>
        <v>46289.525928000003</v>
      </c>
      <c r="R759" s="41" t="b">
        <f t="shared" ca="1" si="182"/>
        <v>1</v>
      </c>
      <c r="S759" s="44">
        <f t="shared" ca="1" si="183"/>
        <v>15</v>
      </c>
      <c r="T759" s="74">
        <f t="shared" ca="1" si="184"/>
        <v>46304.525928000003</v>
      </c>
      <c r="U759" s="75" t="s">
        <v>83</v>
      </c>
      <c r="V759" s="76">
        <f t="shared" si="192"/>
        <v>37.78</v>
      </c>
      <c r="W759" s="77" t="str">
        <f t="shared" si="185"/>
        <v/>
      </c>
      <c r="Y759" s="51">
        <f t="shared" ca="1" si="194"/>
        <v>239</v>
      </c>
      <c r="Z759" s="52">
        <f t="shared" ca="1" si="193"/>
        <v>0.34520547945205482</v>
      </c>
      <c r="AB759" s="46">
        <f t="shared" si="195"/>
        <v>7.3407609317918876</v>
      </c>
      <c r="AC759" s="83" t="str">
        <f t="shared" si="186"/>
        <v/>
      </c>
      <c r="AE759" s="55"/>
      <c r="AF759" s="72"/>
      <c r="AG759" s="72"/>
      <c r="AH759" s="66"/>
    </row>
    <row r="760" spans="1:34" ht="16" hidden="1" thickBot="1" x14ac:dyDescent="0.25">
      <c r="A760" s="82"/>
      <c r="B760" s="62"/>
      <c r="C760" s="87"/>
      <c r="D760" s="62"/>
      <c r="F760" s="55"/>
      <c r="G760" s="56"/>
      <c r="H760" s="55"/>
      <c r="I760" s="57"/>
      <c r="J760" s="65"/>
      <c r="K760" s="66"/>
      <c r="L760" s="132"/>
      <c r="M760" s="43">
        <f t="shared" si="187"/>
        <v>0</v>
      </c>
      <c r="N760" s="49">
        <f t="shared" si="188"/>
        <v>37.78</v>
      </c>
      <c r="O760" s="42">
        <f t="shared" si="189"/>
        <v>0</v>
      </c>
      <c r="P760" s="48">
        <f t="shared" ca="1" si="190"/>
        <v>46274.525928000003</v>
      </c>
      <c r="Q760" s="41">
        <f t="shared" ca="1" si="191"/>
        <v>46289.525928000003</v>
      </c>
      <c r="R760" s="41" t="b">
        <f t="shared" ca="1" si="182"/>
        <v>1</v>
      </c>
      <c r="S760" s="44">
        <f t="shared" ca="1" si="183"/>
        <v>15</v>
      </c>
      <c r="T760" s="74">
        <f t="shared" ca="1" si="184"/>
        <v>46304.525928000003</v>
      </c>
      <c r="U760" s="75" t="s">
        <v>83</v>
      </c>
      <c r="V760" s="76">
        <f t="shared" si="192"/>
        <v>37.78</v>
      </c>
      <c r="W760" s="77" t="str">
        <f t="shared" si="185"/>
        <v/>
      </c>
      <c r="Y760" s="51">
        <f t="shared" ca="1" si="194"/>
        <v>239</v>
      </c>
      <c r="Z760" s="52">
        <f t="shared" ca="1" si="193"/>
        <v>0.34520547945205482</v>
      </c>
      <c r="AB760" s="46">
        <f t="shared" si="195"/>
        <v>7.3407609317918876</v>
      </c>
      <c r="AC760" s="83" t="str">
        <f t="shared" si="186"/>
        <v/>
      </c>
      <c r="AE760" s="55"/>
      <c r="AF760" s="72"/>
      <c r="AG760" s="72"/>
      <c r="AH760" s="66"/>
    </row>
    <row r="761" spans="1:34" ht="16" hidden="1" thickBot="1" x14ac:dyDescent="0.25">
      <c r="A761" s="82"/>
      <c r="B761" s="62"/>
      <c r="C761" s="87"/>
      <c r="D761" s="62"/>
      <c r="F761" s="55"/>
      <c r="G761" s="56"/>
      <c r="H761" s="55"/>
      <c r="I761" s="57"/>
      <c r="J761" s="65"/>
      <c r="K761" s="66"/>
      <c r="L761" s="132"/>
      <c r="M761" s="43">
        <f t="shared" si="187"/>
        <v>0</v>
      </c>
      <c r="N761" s="49">
        <f t="shared" si="188"/>
        <v>37.78</v>
      </c>
      <c r="O761" s="42">
        <f t="shared" si="189"/>
        <v>0</v>
      </c>
      <c r="P761" s="48">
        <f t="shared" ca="1" si="190"/>
        <v>46274.525928000003</v>
      </c>
      <c r="Q761" s="41">
        <f t="shared" ca="1" si="191"/>
        <v>46289.525928000003</v>
      </c>
      <c r="R761" s="41" t="b">
        <f t="shared" ca="1" si="182"/>
        <v>1</v>
      </c>
      <c r="S761" s="44">
        <f t="shared" ca="1" si="183"/>
        <v>15</v>
      </c>
      <c r="T761" s="74">
        <f t="shared" ca="1" si="184"/>
        <v>46304.525928000003</v>
      </c>
      <c r="U761" s="75" t="s">
        <v>83</v>
      </c>
      <c r="V761" s="76">
        <f t="shared" si="192"/>
        <v>37.78</v>
      </c>
      <c r="W761" s="77" t="str">
        <f t="shared" si="185"/>
        <v/>
      </c>
      <c r="Y761" s="51">
        <f t="shared" ca="1" si="194"/>
        <v>239</v>
      </c>
      <c r="Z761" s="52">
        <f t="shared" ca="1" si="193"/>
        <v>0.34520547945205482</v>
      </c>
      <c r="AB761" s="46">
        <f t="shared" si="195"/>
        <v>7.3407609317918876</v>
      </c>
      <c r="AC761" s="83" t="str">
        <f t="shared" si="186"/>
        <v/>
      </c>
      <c r="AE761" s="55"/>
      <c r="AF761" s="72"/>
      <c r="AG761" s="72"/>
      <c r="AH761" s="66"/>
    </row>
    <row r="762" spans="1:34" ht="16" hidden="1" thickBot="1" x14ac:dyDescent="0.25">
      <c r="A762" s="82"/>
      <c r="B762" s="62"/>
      <c r="C762" s="87"/>
      <c r="D762" s="62"/>
      <c r="F762" s="55"/>
      <c r="G762" s="56"/>
      <c r="H762" s="55"/>
      <c r="I762" s="57"/>
      <c r="J762" s="65"/>
      <c r="K762" s="66"/>
      <c r="L762" s="132"/>
      <c r="M762" s="43">
        <f t="shared" si="187"/>
        <v>0</v>
      </c>
      <c r="N762" s="49">
        <f t="shared" si="188"/>
        <v>37.78</v>
      </c>
      <c r="O762" s="42">
        <f t="shared" si="189"/>
        <v>0</v>
      </c>
      <c r="P762" s="48">
        <f t="shared" ca="1" si="190"/>
        <v>46274.525928000003</v>
      </c>
      <c r="Q762" s="41">
        <f t="shared" ca="1" si="191"/>
        <v>46289.525928000003</v>
      </c>
      <c r="R762" s="41" t="b">
        <f t="shared" ca="1" si="182"/>
        <v>1</v>
      </c>
      <c r="S762" s="44">
        <f t="shared" ca="1" si="183"/>
        <v>15</v>
      </c>
      <c r="T762" s="74">
        <f t="shared" ca="1" si="184"/>
        <v>46304.525928000003</v>
      </c>
      <c r="U762" s="75" t="s">
        <v>83</v>
      </c>
      <c r="V762" s="76">
        <f t="shared" si="192"/>
        <v>37.78</v>
      </c>
      <c r="W762" s="77" t="str">
        <f t="shared" si="185"/>
        <v/>
      </c>
      <c r="Y762" s="51">
        <f t="shared" ca="1" si="194"/>
        <v>239</v>
      </c>
      <c r="Z762" s="52">
        <f t="shared" ca="1" si="193"/>
        <v>0.34520547945205482</v>
      </c>
      <c r="AB762" s="46">
        <f t="shared" si="195"/>
        <v>7.3407609317918876</v>
      </c>
      <c r="AC762" s="83" t="str">
        <f t="shared" si="186"/>
        <v/>
      </c>
      <c r="AE762" s="55"/>
      <c r="AF762" s="72"/>
      <c r="AG762" s="72"/>
      <c r="AH762" s="66"/>
    </row>
    <row r="763" spans="1:34" ht="16" hidden="1" thickBot="1" x14ac:dyDescent="0.25">
      <c r="A763" s="82"/>
      <c r="B763" s="62"/>
      <c r="C763" s="87"/>
      <c r="D763" s="62"/>
      <c r="F763" s="55"/>
      <c r="G763" s="56"/>
      <c r="H763" s="55"/>
      <c r="I763" s="57"/>
      <c r="J763" s="65"/>
      <c r="K763" s="66"/>
      <c r="L763" s="132"/>
      <c r="M763" s="43">
        <f t="shared" si="187"/>
        <v>0</v>
      </c>
      <c r="N763" s="49">
        <f t="shared" si="188"/>
        <v>37.78</v>
      </c>
      <c r="O763" s="42">
        <f t="shared" si="189"/>
        <v>0</v>
      </c>
      <c r="P763" s="48">
        <f t="shared" ca="1" si="190"/>
        <v>46274.525928000003</v>
      </c>
      <c r="Q763" s="41">
        <f t="shared" ca="1" si="191"/>
        <v>46289.525928000003</v>
      </c>
      <c r="R763" s="41" t="b">
        <f t="shared" ca="1" si="182"/>
        <v>1</v>
      </c>
      <c r="S763" s="44">
        <f t="shared" ca="1" si="183"/>
        <v>15</v>
      </c>
      <c r="T763" s="74">
        <f t="shared" ca="1" si="184"/>
        <v>46304.525928000003</v>
      </c>
      <c r="U763" s="75" t="s">
        <v>83</v>
      </c>
      <c r="V763" s="76">
        <f t="shared" si="192"/>
        <v>37.78</v>
      </c>
      <c r="W763" s="77" t="str">
        <f t="shared" si="185"/>
        <v/>
      </c>
      <c r="Y763" s="51">
        <f t="shared" ca="1" si="194"/>
        <v>239</v>
      </c>
      <c r="Z763" s="52">
        <f t="shared" ca="1" si="193"/>
        <v>0.34520547945205482</v>
      </c>
      <c r="AB763" s="46">
        <f t="shared" si="195"/>
        <v>7.3407609317918876</v>
      </c>
      <c r="AC763" s="83" t="str">
        <f t="shared" si="186"/>
        <v/>
      </c>
      <c r="AE763" s="55"/>
      <c r="AF763" s="72"/>
      <c r="AG763" s="72"/>
      <c r="AH763" s="66"/>
    </row>
    <row r="764" spans="1:34" ht="16" hidden="1" thickBot="1" x14ac:dyDescent="0.25">
      <c r="A764" s="82"/>
      <c r="B764" s="62"/>
      <c r="C764" s="87"/>
      <c r="D764" s="62"/>
      <c r="F764" s="55"/>
      <c r="G764" s="56"/>
      <c r="H764" s="55"/>
      <c r="I764" s="57"/>
      <c r="J764" s="65"/>
      <c r="K764" s="66"/>
      <c r="L764" s="132"/>
      <c r="M764" s="43">
        <f t="shared" si="187"/>
        <v>0</v>
      </c>
      <c r="N764" s="49">
        <f t="shared" si="188"/>
        <v>37.78</v>
      </c>
      <c r="O764" s="42">
        <f t="shared" si="189"/>
        <v>0</v>
      </c>
      <c r="P764" s="48">
        <f t="shared" ca="1" si="190"/>
        <v>46274.525928000003</v>
      </c>
      <c r="Q764" s="41">
        <f t="shared" ca="1" si="191"/>
        <v>46289.525928000003</v>
      </c>
      <c r="R764" s="41" t="b">
        <f t="shared" ca="1" si="182"/>
        <v>1</v>
      </c>
      <c r="S764" s="44">
        <f t="shared" ca="1" si="183"/>
        <v>15</v>
      </c>
      <c r="T764" s="74">
        <f t="shared" ca="1" si="184"/>
        <v>46304.525928000003</v>
      </c>
      <c r="U764" s="75" t="s">
        <v>83</v>
      </c>
      <c r="V764" s="76">
        <f t="shared" si="192"/>
        <v>37.78</v>
      </c>
      <c r="W764" s="77" t="str">
        <f t="shared" si="185"/>
        <v/>
      </c>
      <c r="Y764" s="51">
        <f t="shared" ca="1" si="194"/>
        <v>239</v>
      </c>
      <c r="Z764" s="52">
        <f t="shared" ca="1" si="193"/>
        <v>0.34520547945205482</v>
      </c>
      <c r="AB764" s="46">
        <f t="shared" si="195"/>
        <v>7.3407609317918876</v>
      </c>
      <c r="AC764" s="83" t="str">
        <f t="shared" si="186"/>
        <v/>
      </c>
      <c r="AE764" s="55"/>
      <c r="AF764" s="72"/>
      <c r="AG764" s="72"/>
      <c r="AH764" s="66"/>
    </row>
    <row r="765" spans="1:34" ht="16" hidden="1" thickBot="1" x14ac:dyDescent="0.25">
      <c r="A765" s="82"/>
      <c r="B765" s="62"/>
      <c r="C765" s="87"/>
      <c r="D765" s="62"/>
      <c r="F765" s="55"/>
      <c r="G765" s="56"/>
      <c r="H765" s="55"/>
      <c r="I765" s="57"/>
      <c r="J765" s="65"/>
      <c r="K765" s="66"/>
      <c r="L765" s="132"/>
      <c r="M765" s="43">
        <f t="shared" si="187"/>
        <v>0</v>
      </c>
      <c r="N765" s="49">
        <f t="shared" si="188"/>
        <v>37.78</v>
      </c>
      <c r="O765" s="42">
        <f t="shared" si="189"/>
        <v>0</v>
      </c>
      <c r="P765" s="48">
        <f t="shared" ca="1" si="190"/>
        <v>46274.525928000003</v>
      </c>
      <c r="Q765" s="41">
        <f t="shared" ca="1" si="191"/>
        <v>46289.525928000003</v>
      </c>
      <c r="R765" s="41" t="b">
        <f t="shared" ca="1" si="182"/>
        <v>1</v>
      </c>
      <c r="S765" s="44">
        <f t="shared" ca="1" si="183"/>
        <v>15</v>
      </c>
      <c r="T765" s="74">
        <f t="shared" ca="1" si="184"/>
        <v>46304.525928000003</v>
      </c>
      <c r="U765" s="75" t="s">
        <v>83</v>
      </c>
      <c r="V765" s="76">
        <f t="shared" si="192"/>
        <v>37.78</v>
      </c>
      <c r="W765" s="77" t="str">
        <f t="shared" si="185"/>
        <v/>
      </c>
      <c r="Y765" s="51">
        <f t="shared" ca="1" si="194"/>
        <v>239</v>
      </c>
      <c r="Z765" s="52">
        <f t="shared" ca="1" si="193"/>
        <v>0.34520547945205482</v>
      </c>
      <c r="AB765" s="46">
        <f t="shared" si="195"/>
        <v>7.3407609317918876</v>
      </c>
      <c r="AC765" s="83" t="str">
        <f t="shared" si="186"/>
        <v/>
      </c>
      <c r="AE765" s="55"/>
      <c r="AF765" s="72"/>
      <c r="AG765" s="72"/>
      <c r="AH765" s="66"/>
    </row>
    <row r="766" spans="1:34" ht="16" hidden="1" thickBot="1" x14ac:dyDescent="0.25">
      <c r="A766" s="82"/>
      <c r="B766" s="62"/>
      <c r="C766" s="87"/>
      <c r="D766" s="62"/>
      <c r="F766" s="55"/>
      <c r="G766" s="56"/>
      <c r="H766" s="55"/>
      <c r="I766" s="57"/>
      <c r="J766" s="65"/>
      <c r="K766" s="66"/>
      <c r="L766" s="132"/>
      <c r="M766" s="43">
        <f t="shared" si="187"/>
        <v>0</v>
      </c>
      <c r="N766" s="49">
        <f t="shared" si="188"/>
        <v>37.78</v>
      </c>
      <c r="O766" s="42">
        <f t="shared" si="189"/>
        <v>0</v>
      </c>
      <c r="P766" s="48">
        <f t="shared" ca="1" si="190"/>
        <v>46274.525928000003</v>
      </c>
      <c r="Q766" s="41">
        <f t="shared" ca="1" si="191"/>
        <v>46289.525928000003</v>
      </c>
      <c r="R766" s="41" t="b">
        <f t="shared" ca="1" si="182"/>
        <v>1</v>
      </c>
      <c r="S766" s="44">
        <f t="shared" ca="1" si="183"/>
        <v>15</v>
      </c>
      <c r="T766" s="74">
        <f t="shared" ca="1" si="184"/>
        <v>46304.525928000003</v>
      </c>
      <c r="U766" s="75" t="s">
        <v>83</v>
      </c>
      <c r="V766" s="76">
        <f t="shared" si="192"/>
        <v>37.78</v>
      </c>
      <c r="W766" s="77" t="str">
        <f t="shared" si="185"/>
        <v/>
      </c>
      <c r="Y766" s="51">
        <f t="shared" ca="1" si="194"/>
        <v>239</v>
      </c>
      <c r="Z766" s="52">
        <f t="shared" ca="1" si="193"/>
        <v>0.34520547945205482</v>
      </c>
      <c r="AB766" s="46">
        <f t="shared" si="195"/>
        <v>7.3407609317918876</v>
      </c>
      <c r="AC766" s="83" t="str">
        <f t="shared" si="186"/>
        <v/>
      </c>
      <c r="AE766" s="55"/>
      <c r="AF766" s="72"/>
      <c r="AG766" s="72"/>
      <c r="AH766" s="66"/>
    </row>
    <row r="767" spans="1:34" ht="16" hidden="1" thickBot="1" x14ac:dyDescent="0.25">
      <c r="A767" s="82"/>
      <c r="B767" s="62"/>
      <c r="C767" s="87"/>
      <c r="D767" s="62"/>
      <c r="F767" s="55"/>
      <c r="G767" s="56"/>
      <c r="H767" s="55"/>
      <c r="I767" s="57"/>
      <c r="J767" s="65"/>
      <c r="K767" s="66"/>
      <c r="L767" s="132"/>
      <c r="M767" s="43">
        <f t="shared" si="187"/>
        <v>0</v>
      </c>
      <c r="N767" s="49">
        <f t="shared" si="188"/>
        <v>37.78</v>
      </c>
      <c r="O767" s="42">
        <f t="shared" si="189"/>
        <v>0</v>
      </c>
      <c r="P767" s="48">
        <f t="shared" ca="1" si="190"/>
        <v>46274.525928000003</v>
      </c>
      <c r="Q767" s="41">
        <f t="shared" ca="1" si="191"/>
        <v>46289.525928000003</v>
      </c>
      <c r="R767" s="41" t="b">
        <f t="shared" ca="1" si="182"/>
        <v>1</v>
      </c>
      <c r="S767" s="44">
        <f t="shared" ca="1" si="183"/>
        <v>15</v>
      </c>
      <c r="T767" s="74">
        <f t="shared" ca="1" si="184"/>
        <v>46304.525928000003</v>
      </c>
      <c r="U767" s="75" t="s">
        <v>83</v>
      </c>
      <c r="V767" s="76">
        <f t="shared" si="192"/>
        <v>37.78</v>
      </c>
      <c r="W767" s="77" t="str">
        <f t="shared" si="185"/>
        <v/>
      </c>
      <c r="Y767" s="51">
        <f t="shared" ca="1" si="194"/>
        <v>239</v>
      </c>
      <c r="Z767" s="52">
        <f t="shared" ca="1" si="193"/>
        <v>0.34520547945205482</v>
      </c>
      <c r="AB767" s="46">
        <f t="shared" si="195"/>
        <v>7.3407609317918876</v>
      </c>
      <c r="AC767" s="83" t="str">
        <f t="shared" si="186"/>
        <v/>
      </c>
      <c r="AE767" s="55"/>
      <c r="AF767" s="72"/>
      <c r="AG767" s="72"/>
      <c r="AH767" s="66"/>
    </row>
    <row r="768" spans="1:34" ht="16" hidden="1" thickBot="1" x14ac:dyDescent="0.25">
      <c r="A768" s="82"/>
      <c r="B768" s="62"/>
      <c r="C768" s="87"/>
      <c r="D768" s="62"/>
      <c r="F768" s="55"/>
      <c r="G768" s="56"/>
      <c r="H768" s="55"/>
      <c r="I768" s="57"/>
      <c r="J768" s="65"/>
      <c r="K768" s="66"/>
      <c r="L768" s="132"/>
      <c r="M768" s="43">
        <f t="shared" si="187"/>
        <v>0</v>
      </c>
      <c r="N768" s="49">
        <f t="shared" si="188"/>
        <v>37.78</v>
      </c>
      <c r="O768" s="42">
        <f t="shared" si="189"/>
        <v>0</v>
      </c>
      <c r="P768" s="48">
        <f t="shared" ca="1" si="190"/>
        <v>46274.525928000003</v>
      </c>
      <c r="Q768" s="41">
        <f t="shared" ca="1" si="191"/>
        <v>46289.525928000003</v>
      </c>
      <c r="R768" s="41" t="b">
        <f t="shared" ref="R768:R831" ca="1" si="196">AND(Q768&gt;=DATE(YEAR(Q768),3,31)-WEEKDAY(DATE(YEAR(Q768),3,31),2),Q768&lt;DATE(YEAR(Q768),10,31)-WEEKDAY(DATE(YEAR(Q768),10,31),2))</f>
        <v>1</v>
      </c>
      <c r="S768" s="44">
        <f t="shared" ref="S768:S831" ca="1" si="197">IF(R768,15,0)</f>
        <v>15</v>
      </c>
      <c r="T768" s="74">
        <f t="shared" ref="T768:T831" ca="1" si="198">Q768+S768</f>
        <v>46304.525928000003</v>
      </c>
      <c r="U768" s="75" t="s">
        <v>83</v>
      </c>
      <c r="V768" s="76">
        <f t="shared" si="192"/>
        <v>37.78</v>
      </c>
      <c r="W768" s="77" t="str">
        <f t="shared" ref="W768:W831" si="199">IF(M768&gt;0,V768,"")</f>
        <v/>
      </c>
      <c r="Y768" s="51">
        <f t="shared" ca="1" si="194"/>
        <v>239</v>
      </c>
      <c r="Z768" s="52">
        <f t="shared" ca="1" si="193"/>
        <v>0.34520547945205482</v>
      </c>
      <c r="AB768" s="46">
        <f t="shared" si="195"/>
        <v>7.3407609317918876</v>
      </c>
      <c r="AC768" s="83" t="str">
        <f t="shared" ref="AC768:AC831" si="200">(IF(M768&gt;0,MOD(AB768+AB$11,24)/24,""))</f>
        <v/>
      </c>
      <c r="AE768" s="55"/>
      <c r="AF768" s="72"/>
      <c r="AG768" s="72"/>
      <c r="AH768" s="66"/>
    </row>
    <row r="769" spans="1:34" ht="16" hidden="1" thickBot="1" x14ac:dyDescent="0.25">
      <c r="A769" s="82"/>
      <c r="B769" s="62"/>
      <c r="C769" s="87"/>
      <c r="D769" s="62"/>
      <c r="F769" s="55"/>
      <c r="G769" s="56"/>
      <c r="H769" s="55"/>
      <c r="I769" s="57"/>
      <c r="J769" s="65"/>
      <c r="K769" s="66"/>
      <c r="L769" s="132"/>
      <c r="M769" s="43">
        <f t="shared" si="187"/>
        <v>0</v>
      </c>
      <c r="N769" s="49">
        <f t="shared" si="188"/>
        <v>37.78</v>
      </c>
      <c r="O769" s="42">
        <f t="shared" si="189"/>
        <v>0</v>
      </c>
      <c r="P769" s="48">
        <f t="shared" ca="1" si="190"/>
        <v>46274.525928000003</v>
      </c>
      <c r="Q769" s="41">
        <f t="shared" ca="1" si="191"/>
        <v>46289.525928000003</v>
      </c>
      <c r="R769" s="41" t="b">
        <f t="shared" ca="1" si="196"/>
        <v>1</v>
      </c>
      <c r="S769" s="44">
        <f t="shared" ca="1" si="197"/>
        <v>15</v>
      </c>
      <c r="T769" s="74">
        <f t="shared" ca="1" si="198"/>
        <v>46304.525928000003</v>
      </c>
      <c r="U769" s="75" t="s">
        <v>83</v>
      </c>
      <c r="V769" s="76">
        <f t="shared" si="192"/>
        <v>37.78</v>
      </c>
      <c r="W769" s="77" t="str">
        <f t="shared" si="199"/>
        <v/>
      </c>
      <c r="Y769" s="51">
        <f t="shared" ca="1" si="194"/>
        <v>239</v>
      </c>
      <c r="Z769" s="52">
        <f t="shared" ca="1" si="193"/>
        <v>0.34520547945205482</v>
      </c>
      <c r="AB769" s="46">
        <f t="shared" si="195"/>
        <v>7.3407609317918876</v>
      </c>
      <c r="AC769" s="83" t="str">
        <f t="shared" si="200"/>
        <v/>
      </c>
      <c r="AE769" s="55"/>
      <c r="AF769" s="72"/>
      <c r="AG769" s="72"/>
      <c r="AH769" s="66"/>
    </row>
    <row r="770" spans="1:34" ht="16" hidden="1" thickBot="1" x14ac:dyDescent="0.25">
      <c r="A770" s="82"/>
      <c r="B770" s="62"/>
      <c r="C770" s="87"/>
      <c r="D770" s="62"/>
      <c r="F770" s="55"/>
      <c r="G770" s="56"/>
      <c r="H770" s="55"/>
      <c r="I770" s="57"/>
      <c r="J770" s="65"/>
      <c r="K770" s="66"/>
      <c r="L770" s="132"/>
      <c r="M770" s="43">
        <f t="shared" si="187"/>
        <v>0</v>
      </c>
      <c r="N770" s="49">
        <f t="shared" si="188"/>
        <v>37.78</v>
      </c>
      <c r="O770" s="42">
        <f t="shared" si="189"/>
        <v>0</v>
      </c>
      <c r="P770" s="48">
        <f t="shared" ca="1" si="190"/>
        <v>46274.525928000003</v>
      </c>
      <c r="Q770" s="41">
        <f t="shared" ca="1" si="191"/>
        <v>46289.525928000003</v>
      </c>
      <c r="R770" s="41" t="b">
        <f t="shared" ca="1" si="196"/>
        <v>1</v>
      </c>
      <c r="S770" s="44">
        <f t="shared" ca="1" si="197"/>
        <v>15</v>
      </c>
      <c r="T770" s="74">
        <f t="shared" ca="1" si="198"/>
        <v>46304.525928000003</v>
      </c>
      <c r="U770" s="75" t="s">
        <v>83</v>
      </c>
      <c r="V770" s="76">
        <f t="shared" si="192"/>
        <v>37.78</v>
      </c>
      <c r="W770" s="77" t="str">
        <f t="shared" si="199"/>
        <v/>
      </c>
      <c r="Y770" s="51">
        <f t="shared" ca="1" si="194"/>
        <v>239</v>
      </c>
      <c r="Z770" s="52">
        <f t="shared" ca="1" si="193"/>
        <v>0.34520547945205482</v>
      </c>
      <c r="AB770" s="46">
        <f t="shared" si="195"/>
        <v>7.3407609317918876</v>
      </c>
      <c r="AC770" s="83" t="str">
        <f t="shared" si="200"/>
        <v/>
      </c>
      <c r="AE770" s="55"/>
      <c r="AF770" s="72"/>
      <c r="AG770" s="72"/>
      <c r="AH770" s="66"/>
    </row>
    <row r="771" spans="1:34" ht="16" hidden="1" thickBot="1" x14ac:dyDescent="0.25">
      <c r="A771" s="82"/>
      <c r="B771" s="62"/>
      <c r="C771" s="87"/>
      <c r="D771" s="62"/>
      <c r="F771" s="55"/>
      <c r="G771" s="56"/>
      <c r="H771" s="55"/>
      <c r="I771" s="57"/>
      <c r="J771" s="65"/>
      <c r="K771" s="66"/>
      <c r="L771" s="132"/>
      <c r="M771" s="43">
        <f t="shared" si="187"/>
        <v>0</v>
      </c>
      <c r="N771" s="49">
        <f t="shared" si="188"/>
        <v>37.78</v>
      </c>
      <c r="O771" s="42">
        <f t="shared" si="189"/>
        <v>0</v>
      </c>
      <c r="P771" s="48">
        <f t="shared" ca="1" si="190"/>
        <v>46274.525928000003</v>
      </c>
      <c r="Q771" s="41">
        <f t="shared" ca="1" si="191"/>
        <v>46289.525928000003</v>
      </c>
      <c r="R771" s="41" t="b">
        <f t="shared" ca="1" si="196"/>
        <v>1</v>
      </c>
      <c r="S771" s="44">
        <f t="shared" ca="1" si="197"/>
        <v>15</v>
      </c>
      <c r="T771" s="74">
        <f t="shared" ca="1" si="198"/>
        <v>46304.525928000003</v>
      </c>
      <c r="U771" s="75" t="s">
        <v>83</v>
      </c>
      <c r="V771" s="76">
        <f t="shared" si="192"/>
        <v>37.78</v>
      </c>
      <c r="W771" s="77" t="str">
        <f t="shared" si="199"/>
        <v/>
      </c>
      <c r="Y771" s="51">
        <f t="shared" ca="1" si="194"/>
        <v>239</v>
      </c>
      <c r="Z771" s="52">
        <f t="shared" ca="1" si="193"/>
        <v>0.34520547945205482</v>
      </c>
      <c r="AB771" s="46">
        <f t="shared" si="195"/>
        <v>7.3407609317918876</v>
      </c>
      <c r="AC771" s="83" t="str">
        <f t="shared" si="200"/>
        <v/>
      </c>
      <c r="AE771" s="55"/>
      <c r="AF771" s="72"/>
      <c r="AG771" s="72"/>
      <c r="AH771" s="66"/>
    </row>
    <row r="772" spans="1:34" ht="16" hidden="1" thickBot="1" x14ac:dyDescent="0.25">
      <c r="A772" s="82"/>
      <c r="B772" s="62"/>
      <c r="C772" s="87"/>
      <c r="D772" s="62"/>
      <c r="F772" s="55"/>
      <c r="G772" s="56"/>
      <c r="H772" s="55"/>
      <c r="I772" s="57"/>
      <c r="J772" s="65"/>
      <c r="K772" s="66"/>
      <c r="L772" s="132"/>
      <c r="M772" s="43">
        <f t="shared" si="187"/>
        <v>0</v>
      </c>
      <c r="N772" s="49">
        <f t="shared" si="188"/>
        <v>37.78</v>
      </c>
      <c r="O772" s="42">
        <f t="shared" si="189"/>
        <v>0</v>
      </c>
      <c r="P772" s="48">
        <f t="shared" ca="1" si="190"/>
        <v>46274.525928000003</v>
      </c>
      <c r="Q772" s="41">
        <f t="shared" ca="1" si="191"/>
        <v>46289.525928000003</v>
      </c>
      <c r="R772" s="41" t="b">
        <f t="shared" ca="1" si="196"/>
        <v>1</v>
      </c>
      <c r="S772" s="44">
        <f t="shared" ca="1" si="197"/>
        <v>15</v>
      </c>
      <c r="T772" s="74">
        <f t="shared" ca="1" si="198"/>
        <v>46304.525928000003</v>
      </c>
      <c r="U772" s="75" t="s">
        <v>83</v>
      </c>
      <c r="V772" s="76">
        <f t="shared" si="192"/>
        <v>37.78</v>
      </c>
      <c r="W772" s="77" t="str">
        <f t="shared" si="199"/>
        <v/>
      </c>
      <c r="Y772" s="51">
        <f t="shared" ca="1" si="194"/>
        <v>239</v>
      </c>
      <c r="Z772" s="52">
        <f t="shared" ca="1" si="193"/>
        <v>0.34520547945205482</v>
      </c>
      <c r="AB772" s="46">
        <f t="shared" si="195"/>
        <v>7.3407609317918876</v>
      </c>
      <c r="AC772" s="83" t="str">
        <f t="shared" si="200"/>
        <v/>
      </c>
      <c r="AE772" s="55"/>
      <c r="AF772" s="72"/>
      <c r="AG772" s="72"/>
      <c r="AH772" s="66"/>
    </row>
    <row r="773" spans="1:34" ht="16" hidden="1" thickBot="1" x14ac:dyDescent="0.25">
      <c r="A773" s="82"/>
      <c r="B773" s="62"/>
      <c r="C773" s="87"/>
      <c r="D773" s="62"/>
      <c r="F773" s="55"/>
      <c r="G773" s="56"/>
      <c r="H773" s="55"/>
      <c r="I773" s="57"/>
      <c r="J773" s="65"/>
      <c r="K773" s="66"/>
      <c r="L773" s="132"/>
      <c r="M773" s="43">
        <f t="shared" si="187"/>
        <v>0</v>
      </c>
      <c r="N773" s="49">
        <f t="shared" si="188"/>
        <v>37.78</v>
      </c>
      <c r="O773" s="42">
        <f t="shared" si="189"/>
        <v>0</v>
      </c>
      <c r="P773" s="48">
        <f t="shared" ca="1" si="190"/>
        <v>46274.525928000003</v>
      </c>
      <c r="Q773" s="41">
        <f t="shared" ca="1" si="191"/>
        <v>46289.525928000003</v>
      </c>
      <c r="R773" s="41" t="b">
        <f t="shared" ca="1" si="196"/>
        <v>1</v>
      </c>
      <c r="S773" s="44">
        <f t="shared" ca="1" si="197"/>
        <v>15</v>
      </c>
      <c r="T773" s="74">
        <f t="shared" ca="1" si="198"/>
        <v>46304.525928000003</v>
      </c>
      <c r="U773" s="75" t="s">
        <v>83</v>
      </c>
      <c r="V773" s="76">
        <f t="shared" si="192"/>
        <v>37.78</v>
      </c>
      <c r="W773" s="77" t="str">
        <f t="shared" si="199"/>
        <v/>
      </c>
      <c r="Y773" s="51">
        <f t="shared" ca="1" si="194"/>
        <v>239</v>
      </c>
      <c r="Z773" s="52">
        <f t="shared" ca="1" si="193"/>
        <v>0.34520547945205482</v>
      </c>
      <c r="AB773" s="46">
        <f t="shared" si="195"/>
        <v>7.3407609317918876</v>
      </c>
      <c r="AC773" s="83" t="str">
        <f t="shared" si="200"/>
        <v/>
      </c>
      <c r="AE773" s="55"/>
      <c r="AF773" s="72"/>
      <c r="AG773" s="72"/>
      <c r="AH773" s="66"/>
    </row>
    <row r="774" spans="1:34" ht="16" hidden="1" thickBot="1" x14ac:dyDescent="0.25">
      <c r="A774" s="82"/>
      <c r="B774" s="62"/>
      <c r="C774" s="87"/>
      <c r="D774" s="62"/>
      <c r="F774" s="55"/>
      <c r="G774" s="56"/>
      <c r="H774" s="55"/>
      <c r="I774" s="57"/>
      <c r="J774" s="65"/>
      <c r="K774" s="66"/>
      <c r="L774" s="132"/>
      <c r="M774" s="43">
        <f t="shared" si="187"/>
        <v>0</v>
      </c>
      <c r="N774" s="49">
        <f t="shared" si="188"/>
        <v>37.78</v>
      </c>
      <c r="O774" s="42">
        <f t="shared" si="189"/>
        <v>0</v>
      </c>
      <c r="P774" s="48">
        <f t="shared" ca="1" si="190"/>
        <v>46274.525928000003</v>
      </c>
      <c r="Q774" s="41">
        <f t="shared" ca="1" si="191"/>
        <v>46289.525928000003</v>
      </c>
      <c r="R774" s="41" t="b">
        <f t="shared" ca="1" si="196"/>
        <v>1</v>
      </c>
      <c r="S774" s="44">
        <f t="shared" ca="1" si="197"/>
        <v>15</v>
      </c>
      <c r="T774" s="74">
        <f t="shared" ca="1" si="198"/>
        <v>46304.525928000003</v>
      </c>
      <c r="U774" s="75" t="s">
        <v>83</v>
      </c>
      <c r="V774" s="76">
        <f t="shared" si="192"/>
        <v>37.78</v>
      </c>
      <c r="W774" s="77" t="str">
        <f t="shared" si="199"/>
        <v/>
      </c>
      <c r="Y774" s="51">
        <f t="shared" ca="1" si="194"/>
        <v>239</v>
      </c>
      <c r="Z774" s="52">
        <f t="shared" ca="1" si="193"/>
        <v>0.34520547945205482</v>
      </c>
      <c r="AB774" s="46">
        <f t="shared" si="195"/>
        <v>7.3407609317918876</v>
      </c>
      <c r="AC774" s="83" t="str">
        <f t="shared" si="200"/>
        <v/>
      </c>
      <c r="AE774" s="55"/>
      <c r="AF774" s="72"/>
      <c r="AG774" s="72"/>
      <c r="AH774" s="66"/>
    </row>
    <row r="775" spans="1:34" ht="16" hidden="1" thickBot="1" x14ac:dyDescent="0.25">
      <c r="A775" s="82"/>
      <c r="B775" s="62"/>
      <c r="C775" s="87"/>
      <c r="D775" s="62"/>
      <c r="F775" s="55"/>
      <c r="G775" s="56"/>
      <c r="H775" s="55"/>
      <c r="I775" s="57"/>
      <c r="J775" s="65"/>
      <c r="K775" s="66"/>
      <c r="L775" s="132"/>
      <c r="M775" s="43">
        <f t="shared" si="187"/>
        <v>0</v>
      </c>
      <c r="N775" s="49">
        <f t="shared" si="188"/>
        <v>37.78</v>
      </c>
      <c r="O775" s="42">
        <f t="shared" si="189"/>
        <v>0</v>
      </c>
      <c r="P775" s="48">
        <f t="shared" ca="1" si="190"/>
        <v>46274.525928000003</v>
      </c>
      <c r="Q775" s="41">
        <f t="shared" ca="1" si="191"/>
        <v>46289.525928000003</v>
      </c>
      <c r="R775" s="41" t="b">
        <f t="shared" ca="1" si="196"/>
        <v>1</v>
      </c>
      <c r="S775" s="44">
        <f t="shared" ca="1" si="197"/>
        <v>15</v>
      </c>
      <c r="T775" s="74">
        <f t="shared" ca="1" si="198"/>
        <v>46304.525928000003</v>
      </c>
      <c r="U775" s="75" t="s">
        <v>83</v>
      </c>
      <c r="V775" s="76">
        <f t="shared" si="192"/>
        <v>37.78</v>
      </c>
      <c r="W775" s="77" t="str">
        <f t="shared" si="199"/>
        <v/>
      </c>
      <c r="Y775" s="51">
        <f t="shared" ca="1" si="194"/>
        <v>239</v>
      </c>
      <c r="Z775" s="52">
        <f t="shared" ca="1" si="193"/>
        <v>0.34520547945205482</v>
      </c>
      <c r="AB775" s="46">
        <f t="shared" si="195"/>
        <v>7.3407609317918876</v>
      </c>
      <c r="AC775" s="83" t="str">
        <f t="shared" si="200"/>
        <v/>
      </c>
      <c r="AE775" s="55"/>
      <c r="AF775" s="72"/>
      <c r="AG775" s="72"/>
      <c r="AH775" s="66"/>
    </row>
    <row r="776" spans="1:34" ht="16" hidden="1" thickBot="1" x14ac:dyDescent="0.25">
      <c r="A776" s="82"/>
      <c r="B776" s="62"/>
      <c r="C776" s="87"/>
      <c r="D776" s="62"/>
      <c r="F776" s="55"/>
      <c r="G776" s="56"/>
      <c r="H776" s="55"/>
      <c r="I776" s="57"/>
      <c r="J776" s="65"/>
      <c r="K776" s="66"/>
      <c r="L776" s="132"/>
      <c r="M776" s="43">
        <f t="shared" si="187"/>
        <v>0</v>
      </c>
      <c r="N776" s="49">
        <f t="shared" si="188"/>
        <v>37.78</v>
      </c>
      <c r="O776" s="42">
        <f t="shared" si="189"/>
        <v>0</v>
      </c>
      <c r="P776" s="48">
        <f t="shared" ca="1" si="190"/>
        <v>46274.525928000003</v>
      </c>
      <c r="Q776" s="41">
        <f t="shared" ca="1" si="191"/>
        <v>46289.525928000003</v>
      </c>
      <c r="R776" s="41" t="b">
        <f t="shared" ca="1" si="196"/>
        <v>1</v>
      </c>
      <c r="S776" s="44">
        <f t="shared" ca="1" si="197"/>
        <v>15</v>
      </c>
      <c r="T776" s="74">
        <f t="shared" ca="1" si="198"/>
        <v>46304.525928000003</v>
      </c>
      <c r="U776" s="75" t="s">
        <v>83</v>
      </c>
      <c r="V776" s="76">
        <f t="shared" si="192"/>
        <v>37.78</v>
      </c>
      <c r="W776" s="77" t="str">
        <f t="shared" si="199"/>
        <v/>
      </c>
      <c r="Y776" s="51">
        <f t="shared" ca="1" si="194"/>
        <v>239</v>
      </c>
      <c r="Z776" s="52">
        <f t="shared" ca="1" si="193"/>
        <v>0.34520547945205482</v>
      </c>
      <c r="AB776" s="46">
        <f t="shared" si="195"/>
        <v>7.3407609317918876</v>
      </c>
      <c r="AC776" s="83" t="str">
        <f t="shared" si="200"/>
        <v/>
      </c>
      <c r="AE776" s="55"/>
      <c r="AF776" s="72"/>
      <c r="AG776" s="72"/>
      <c r="AH776" s="66"/>
    </row>
    <row r="777" spans="1:34" ht="16" hidden="1" thickBot="1" x14ac:dyDescent="0.25">
      <c r="A777" s="82"/>
      <c r="B777" s="62"/>
      <c r="C777" s="87"/>
      <c r="D777" s="62"/>
      <c r="F777" s="55"/>
      <c r="G777" s="56"/>
      <c r="H777" s="55"/>
      <c r="I777" s="57"/>
      <c r="J777" s="65"/>
      <c r="K777" s="66"/>
      <c r="L777" s="132"/>
      <c r="M777" s="43">
        <f t="shared" si="187"/>
        <v>0</v>
      </c>
      <c r="N777" s="49">
        <f t="shared" si="188"/>
        <v>37.78</v>
      </c>
      <c r="O777" s="42">
        <f t="shared" si="189"/>
        <v>0</v>
      </c>
      <c r="P777" s="48">
        <f t="shared" ca="1" si="190"/>
        <v>46274.525928000003</v>
      </c>
      <c r="Q777" s="41">
        <f t="shared" ca="1" si="191"/>
        <v>46289.525928000003</v>
      </c>
      <c r="R777" s="41" t="b">
        <f t="shared" ca="1" si="196"/>
        <v>1</v>
      </c>
      <c r="S777" s="44">
        <f t="shared" ca="1" si="197"/>
        <v>15</v>
      </c>
      <c r="T777" s="74">
        <f t="shared" ca="1" si="198"/>
        <v>46304.525928000003</v>
      </c>
      <c r="U777" s="75" t="s">
        <v>83</v>
      </c>
      <c r="V777" s="76">
        <f t="shared" si="192"/>
        <v>37.78</v>
      </c>
      <c r="W777" s="77" t="str">
        <f t="shared" si="199"/>
        <v/>
      </c>
      <c r="Y777" s="51">
        <f t="shared" ca="1" si="194"/>
        <v>239</v>
      </c>
      <c r="Z777" s="52">
        <f t="shared" ca="1" si="193"/>
        <v>0.34520547945205482</v>
      </c>
      <c r="AB777" s="46">
        <f t="shared" si="195"/>
        <v>7.3407609317918876</v>
      </c>
      <c r="AC777" s="83" t="str">
        <f t="shared" si="200"/>
        <v/>
      </c>
      <c r="AE777" s="55"/>
      <c r="AF777" s="72"/>
      <c r="AG777" s="72"/>
      <c r="AH777" s="66"/>
    </row>
    <row r="778" spans="1:34" ht="16" hidden="1" thickBot="1" x14ac:dyDescent="0.25">
      <c r="A778" s="82"/>
      <c r="B778" s="62"/>
      <c r="C778" s="87"/>
      <c r="D778" s="62"/>
      <c r="F778" s="55"/>
      <c r="G778" s="56"/>
      <c r="H778" s="55"/>
      <c r="I778" s="57"/>
      <c r="J778" s="65"/>
      <c r="K778" s="66"/>
      <c r="L778" s="132"/>
      <c r="M778" s="43">
        <f t="shared" si="187"/>
        <v>0</v>
      </c>
      <c r="N778" s="49">
        <f t="shared" si="188"/>
        <v>37.78</v>
      </c>
      <c r="O778" s="42">
        <f t="shared" si="189"/>
        <v>0</v>
      </c>
      <c r="P778" s="48">
        <f t="shared" ca="1" si="190"/>
        <v>46274.525928000003</v>
      </c>
      <c r="Q778" s="41">
        <f t="shared" ca="1" si="191"/>
        <v>46289.525928000003</v>
      </c>
      <c r="R778" s="41" t="b">
        <f t="shared" ca="1" si="196"/>
        <v>1</v>
      </c>
      <c r="S778" s="44">
        <f t="shared" ca="1" si="197"/>
        <v>15</v>
      </c>
      <c r="T778" s="74">
        <f t="shared" ca="1" si="198"/>
        <v>46304.525928000003</v>
      </c>
      <c r="U778" s="75" t="s">
        <v>83</v>
      </c>
      <c r="V778" s="76">
        <f t="shared" si="192"/>
        <v>37.78</v>
      </c>
      <c r="W778" s="77" t="str">
        <f t="shared" si="199"/>
        <v/>
      </c>
      <c r="Y778" s="51">
        <f t="shared" ca="1" si="194"/>
        <v>239</v>
      </c>
      <c r="Z778" s="52">
        <f t="shared" ca="1" si="193"/>
        <v>0.34520547945205482</v>
      </c>
      <c r="AB778" s="46">
        <f t="shared" si="195"/>
        <v>7.3407609317918876</v>
      </c>
      <c r="AC778" s="83" t="str">
        <f t="shared" si="200"/>
        <v/>
      </c>
      <c r="AE778" s="55"/>
      <c r="AF778" s="72"/>
      <c r="AG778" s="72"/>
      <c r="AH778" s="66"/>
    </row>
    <row r="779" spans="1:34" ht="16" hidden="1" thickBot="1" x14ac:dyDescent="0.25">
      <c r="A779" s="82"/>
      <c r="B779" s="62"/>
      <c r="C779" s="87"/>
      <c r="D779" s="62"/>
      <c r="F779" s="55"/>
      <c r="G779" s="56"/>
      <c r="H779" s="55"/>
      <c r="I779" s="57"/>
      <c r="J779" s="65"/>
      <c r="K779" s="66"/>
      <c r="L779" s="132"/>
      <c r="M779" s="43">
        <f t="shared" si="187"/>
        <v>0</v>
      </c>
      <c r="N779" s="49">
        <f t="shared" si="188"/>
        <v>37.78</v>
      </c>
      <c r="O779" s="42">
        <f t="shared" si="189"/>
        <v>0</v>
      </c>
      <c r="P779" s="48">
        <f t="shared" ca="1" si="190"/>
        <v>46274.525928000003</v>
      </c>
      <c r="Q779" s="41">
        <f t="shared" ca="1" si="191"/>
        <v>46289.525928000003</v>
      </c>
      <c r="R779" s="41" t="b">
        <f t="shared" ca="1" si="196"/>
        <v>1</v>
      </c>
      <c r="S779" s="44">
        <f t="shared" ca="1" si="197"/>
        <v>15</v>
      </c>
      <c r="T779" s="74">
        <f t="shared" ca="1" si="198"/>
        <v>46304.525928000003</v>
      </c>
      <c r="U779" s="75" t="s">
        <v>83</v>
      </c>
      <c r="V779" s="76">
        <f t="shared" si="192"/>
        <v>37.78</v>
      </c>
      <c r="W779" s="77" t="str">
        <f t="shared" si="199"/>
        <v/>
      </c>
      <c r="Y779" s="51">
        <f t="shared" ca="1" si="194"/>
        <v>239</v>
      </c>
      <c r="Z779" s="52">
        <f t="shared" ca="1" si="193"/>
        <v>0.34520547945205482</v>
      </c>
      <c r="AB779" s="46">
        <f t="shared" si="195"/>
        <v>7.3407609317918876</v>
      </c>
      <c r="AC779" s="83" t="str">
        <f t="shared" si="200"/>
        <v/>
      </c>
      <c r="AE779" s="55"/>
      <c r="AF779" s="72"/>
      <c r="AG779" s="72"/>
      <c r="AH779" s="66"/>
    </row>
    <row r="780" spans="1:34" ht="16" hidden="1" thickBot="1" x14ac:dyDescent="0.25">
      <c r="A780" s="82"/>
      <c r="B780" s="62"/>
      <c r="C780" s="87"/>
      <c r="D780" s="62"/>
      <c r="F780" s="55"/>
      <c r="G780" s="56"/>
      <c r="H780" s="55"/>
      <c r="I780" s="57"/>
      <c r="J780" s="65"/>
      <c r="K780" s="66"/>
      <c r="L780" s="132"/>
      <c r="M780" s="43">
        <f t="shared" ref="M780:M843" si="201">H780+I780/60</f>
        <v>0</v>
      </c>
      <c r="N780" s="49">
        <f t="shared" ref="N780:N843" si="202">90-$B$6+M780</f>
        <v>37.78</v>
      </c>
      <c r="O780" s="42">
        <f t="shared" ref="O780:O843" si="203">F780+G780/60</f>
        <v>0</v>
      </c>
      <c r="P780" s="48">
        <f t="shared" ref="P780:P843" ca="1" si="204">DATE(YEAR(TODAY()),3,21)+MOD(O780-12-$B$7/15,24)*15.2184</f>
        <v>46274.525928000003</v>
      </c>
      <c r="Q780" s="41">
        <f t="shared" ref="Q780:Q843" ca="1" si="205">DATE(YEAR(TODAY()),3,21)+MOD(O780-12-$B$7/15,24)*15.2184+15</f>
        <v>46289.525928000003</v>
      </c>
      <c r="R780" s="41" t="b">
        <f t="shared" ca="1" si="196"/>
        <v>1</v>
      </c>
      <c r="S780" s="44">
        <f t="shared" ca="1" si="197"/>
        <v>15</v>
      </c>
      <c r="T780" s="74">
        <f t="shared" ca="1" si="198"/>
        <v>46304.525928000003</v>
      </c>
      <c r="U780" s="75" t="s">
        <v>83</v>
      </c>
      <c r="V780" s="76">
        <f t="shared" ref="V780:V843" si="206">IF(90-B$6+M780&gt;90,180-90+B$6-M780,90-B$6+M780)</f>
        <v>37.78</v>
      </c>
      <c r="W780" s="77" t="str">
        <f t="shared" si="199"/>
        <v/>
      </c>
      <c r="Y780" s="51">
        <f t="shared" ca="1" si="194"/>
        <v>239</v>
      </c>
      <c r="Z780" s="52">
        <f t="shared" ref="Z780:Z843" ca="1" si="207">$AB$5-Y780/365</f>
        <v>0.34520547945205482</v>
      </c>
      <c r="AB780" s="46">
        <f t="shared" si="195"/>
        <v>7.3407609317918876</v>
      </c>
      <c r="AC780" s="83" t="str">
        <f t="shared" si="200"/>
        <v/>
      </c>
      <c r="AE780" s="55"/>
      <c r="AF780" s="72"/>
      <c r="AG780" s="72"/>
      <c r="AH780" s="66"/>
    </row>
    <row r="781" spans="1:34" ht="16" hidden="1" thickBot="1" x14ac:dyDescent="0.25">
      <c r="A781" s="82"/>
      <c r="B781" s="62"/>
      <c r="C781" s="87"/>
      <c r="D781" s="62"/>
      <c r="F781" s="55"/>
      <c r="G781" s="56"/>
      <c r="H781" s="55"/>
      <c r="I781" s="57"/>
      <c r="J781" s="65"/>
      <c r="K781" s="66"/>
      <c r="L781" s="132"/>
      <c r="M781" s="43">
        <f t="shared" si="201"/>
        <v>0</v>
      </c>
      <c r="N781" s="49">
        <f t="shared" si="202"/>
        <v>37.78</v>
      </c>
      <c r="O781" s="42">
        <f t="shared" si="203"/>
        <v>0</v>
      </c>
      <c r="P781" s="48">
        <f t="shared" ca="1" si="204"/>
        <v>46274.525928000003</v>
      </c>
      <c r="Q781" s="41">
        <f t="shared" ca="1" si="205"/>
        <v>46289.525928000003</v>
      </c>
      <c r="R781" s="41" t="b">
        <f t="shared" ca="1" si="196"/>
        <v>1</v>
      </c>
      <c r="S781" s="44">
        <f t="shared" ca="1" si="197"/>
        <v>15</v>
      </c>
      <c r="T781" s="74">
        <f t="shared" ca="1" si="198"/>
        <v>46304.525928000003</v>
      </c>
      <c r="U781" s="75" t="s">
        <v>83</v>
      </c>
      <c r="V781" s="76">
        <f t="shared" si="206"/>
        <v>37.78</v>
      </c>
      <c r="W781" s="77" t="str">
        <f t="shared" si="199"/>
        <v/>
      </c>
      <c r="Y781" s="51">
        <f t="shared" ca="1" si="194"/>
        <v>239</v>
      </c>
      <c r="Z781" s="52">
        <f t="shared" ca="1" si="207"/>
        <v>0.34520547945205482</v>
      </c>
      <c r="AB781" s="46">
        <f t="shared" si="195"/>
        <v>7.3407609317918876</v>
      </c>
      <c r="AC781" s="83" t="str">
        <f t="shared" si="200"/>
        <v/>
      </c>
      <c r="AE781" s="55"/>
      <c r="AF781" s="72"/>
      <c r="AG781" s="72"/>
      <c r="AH781" s="66"/>
    </row>
    <row r="782" spans="1:34" ht="16" hidden="1" thickBot="1" x14ac:dyDescent="0.25">
      <c r="A782" s="82"/>
      <c r="B782" s="62"/>
      <c r="C782" s="87"/>
      <c r="D782" s="62"/>
      <c r="F782" s="55"/>
      <c r="G782" s="56"/>
      <c r="H782" s="55"/>
      <c r="I782" s="57"/>
      <c r="J782" s="65"/>
      <c r="K782" s="66"/>
      <c r="L782" s="132"/>
      <c r="M782" s="43">
        <f t="shared" si="201"/>
        <v>0</v>
      </c>
      <c r="N782" s="49">
        <f t="shared" si="202"/>
        <v>37.78</v>
      </c>
      <c r="O782" s="42">
        <f t="shared" si="203"/>
        <v>0</v>
      </c>
      <c r="P782" s="48">
        <f t="shared" ca="1" si="204"/>
        <v>46274.525928000003</v>
      </c>
      <c r="Q782" s="41">
        <f t="shared" ca="1" si="205"/>
        <v>46289.525928000003</v>
      </c>
      <c r="R782" s="41" t="b">
        <f t="shared" ca="1" si="196"/>
        <v>1</v>
      </c>
      <c r="S782" s="44">
        <f t="shared" ca="1" si="197"/>
        <v>15</v>
      </c>
      <c r="T782" s="74">
        <f t="shared" ca="1" si="198"/>
        <v>46304.525928000003</v>
      </c>
      <c r="U782" s="75" t="s">
        <v>83</v>
      </c>
      <c r="V782" s="76">
        <f t="shared" si="206"/>
        <v>37.78</v>
      </c>
      <c r="W782" s="77" t="str">
        <f t="shared" si="199"/>
        <v/>
      </c>
      <c r="Y782" s="51">
        <f t="shared" ca="1" si="194"/>
        <v>239</v>
      </c>
      <c r="Z782" s="52">
        <f t="shared" ca="1" si="207"/>
        <v>0.34520547945205482</v>
      </c>
      <c r="AB782" s="46">
        <f t="shared" si="195"/>
        <v>7.3407609317918876</v>
      </c>
      <c r="AC782" s="83" t="str">
        <f t="shared" si="200"/>
        <v/>
      </c>
      <c r="AE782" s="55"/>
      <c r="AF782" s="72"/>
      <c r="AG782" s="72"/>
      <c r="AH782" s="66"/>
    </row>
    <row r="783" spans="1:34" ht="16" hidden="1" thickBot="1" x14ac:dyDescent="0.25">
      <c r="A783" s="82"/>
      <c r="B783" s="62"/>
      <c r="C783" s="87"/>
      <c r="D783" s="62"/>
      <c r="F783" s="55"/>
      <c r="G783" s="56"/>
      <c r="H783" s="55"/>
      <c r="I783" s="57"/>
      <c r="J783" s="65"/>
      <c r="K783" s="66"/>
      <c r="L783" s="132"/>
      <c r="M783" s="43">
        <f t="shared" si="201"/>
        <v>0</v>
      </c>
      <c r="N783" s="49">
        <f t="shared" si="202"/>
        <v>37.78</v>
      </c>
      <c r="O783" s="42">
        <f t="shared" si="203"/>
        <v>0</v>
      </c>
      <c r="P783" s="48">
        <f t="shared" ca="1" si="204"/>
        <v>46274.525928000003</v>
      </c>
      <c r="Q783" s="41">
        <f t="shared" ca="1" si="205"/>
        <v>46289.525928000003</v>
      </c>
      <c r="R783" s="41" t="b">
        <f t="shared" ca="1" si="196"/>
        <v>1</v>
      </c>
      <c r="S783" s="44">
        <f t="shared" ca="1" si="197"/>
        <v>15</v>
      </c>
      <c r="T783" s="74">
        <f t="shared" ca="1" si="198"/>
        <v>46304.525928000003</v>
      </c>
      <c r="U783" s="75" t="s">
        <v>83</v>
      </c>
      <c r="V783" s="76">
        <f t="shared" si="206"/>
        <v>37.78</v>
      </c>
      <c r="W783" s="77" t="str">
        <f t="shared" si="199"/>
        <v/>
      </c>
      <c r="Y783" s="51">
        <f t="shared" ca="1" si="194"/>
        <v>239</v>
      </c>
      <c r="Z783" s="52">
        <f t="shared" ca="1" si="207"/>
        <v>0.34520547945205482</v>
      </c>
      <c r="AB783" s="46">
        <f t="shared" si="195"/>
        <v>7.3407609317918876</v>
      </c>
      <c r="AC783" s="83" t="str">
        <f t="shared" si="200"/>
        <v/>
      </c>
      <c r="AE783" s="55"/>
      <c r="AF783" s="72"/>
      <c r="AG783" s="72"/>
      <c r="AH783" s="66"/>
    </row>
    <row r="784" spans="1:34" ht="16" hidden="1" thickBot="1" x14ac:dyDescent="0.25">
      <c r="A784" s="82"/>
      <c r="B784" s="62"/>
      <c r="C784" s="87"/>
      <c r="D784" s="62"/>
      <c r="F784" s="55"/>
      <c r="G784" s="56"/>
      <c r="H784" s="55"/>
      <c r="I784" s="57"/>
      <c r="J784" s="65"/>
      <c r="K784" s="66"/>
      <c r="L784" s="132"/>
      <c r="M784" s="43">
        <f t="shared" si="201"/>
        <v>0</v>
      </c>
      <c r="N784" s="49">
        <f t="shared" si="202"/>
        <v>37.78</v>
      </c>
      <c r="O784" s="42">
        <f t="shared" si="203"/>
        <v>0</v>
      </c>
      <c r="P784" s="48">
        <f t="shared" ca="1" si="204"/>
        <v>46274.525928000003</v>
      </c>
      <c r="Q784" s="41">
        <f t="shared" ca="1" si="205"/>
        <v>46289.525928000003</v>
      </c>
      <c r="R784" s="41" t="b">
        <f t="shared" ca="1" si="196"/>
        <v>1</v>
      </c>
      <c r="S784" s="44">
        <f t="shared" ca="1" si="197"/>
        <v>15</v>
      </c>
      <c r="T784" s="74">
        <f t="shared" ca="1" si="198"/>
        <v>46304.525928000003</v>
      </c>
      <c r="U784" s="75" t="s">
        <v>83</v>
      </c>
      <c r="V784" s="76">
        <f t="shared" si="206"/>
        <v>37.78</v>
      </c>
      <c r="W784" s="77" t="str">
        <f t="shared" si="199"/>
        <v/>
      </c>
      <c r="Y784" s="51">
        <f t="shared" ca="1" si="194"/>
        <v>239</v>
      </c>
      <c r="Z784" s="52">
        <f t="shared" ca="1" si="207"/>
        <v>0.34520547945205482</v>
      </c>
      <c r="AB784" s="46">
        <f t="shared" si="195"/>
        <v>7.3407609317918876</v>
      </c>
      <c r="AC784" s="83" t="str">
        <f t="shared" si="200"/>
        <v/>
      </c>
      <c r="AE784" s="55"/>
      <c r="AF784" s="72"/>
      <c r="AG784" s="72"/>
      <c r="AH784" s="66"/>
    </row>
    <row r="785" spans="1:34" ht="16" hidden="1" thickBot="1" x14ac:dyDescent="0.25">
      <c r="A785" s="82"/>
      <c r="B785" s="62"/>
      <c r="C785" s="87"/>
      <c r="D785" s="62"/>
      <c r="F785" s="55"/>
      <c r="G785" s="56"/>
      <c r="H785" s="55"/>
      <c r="I785" s="57"/>
      <c r="J785" s="65"/>
      <c r="K785" s="66"/>
      <c r="L785" s="132"/>
      <c r="M785" s="43">
        <f t="shared" si="201"/>
        <v>0</v>
      </c>
      <c r="N785" s="49">
        <f t="shared" si="202"/>
        <v>37.78</v>
      </c>
      <c r="O785" s="42">
        <f t="shared" si="203"/>
        <v>0</v>
      </c>
      <c r="P785" s="48">
        <f t="shared" ca="1" si="204"/>
        <v>46274.525928000003</v>
      </c>
      <c r="Q785" s="41">
        <f t="shared" ca="1" si="205"/>
        <v>46289.525928000003</v>
      </c>
      <c r="R785" s="41" t="b">
        <f t="shared" ca="1" si="196"/>
        <v>1</v>
      </c>
      <c r="S785" s="44">
        <f t="shared" ca="1" si="197"/>
        <v>15</v>
      </c>
      <c r="T785" s="74">
        <f t="shared" ca="1" si="198"/>
        <v>46304.525928000003</v>
      </c>
      <c r="U785" s="75" t="s">
        <v>83</v>
      </c>
      <c r="V785" s="76">
        <f t="shared" si="206"/>
        <v>37.78</v>
      </c>
      <c r="W785" s="77" t="str">
        <f t="shared" si="199"/>
        <v/>
      </c>
      <c r="Y785" s="51">
        <f t="shared" ca="1" si="194"/>
        <v>239</v>
      </c>
      <c r="Z785" s="52">
        <f t="shared" ca="1" si="207"/>
        <v>0.34520547945205482</v>
      </c>
      <c r="AB785" s="46">
        <f t="shared" si="195"/>
        <v>7.3407609317918876</v>
      </c>
      <c r="AC785" s="83" t="str">
        <f t="shared" si="200"/>
        <v/>
      </c>
      <c r="AE785" s="55"/>
      <c r="AF785" s="72"/>
      <c r="AG785" s="72"/>
      <c r="AH785" s="66"/>
    </row>
    <row r="786" spans="1:34" ht="16" hidden="1" thickBot="1" x14ac:dyDescent="0.25">
      <c r="A786" s="82"/>
      <c r="B786" s="62"/>
      <c r="C786" s="87"/>
      <c r="D786" s="62"/>
      <c r="F786" s="55"/>
      <c r="G786" s="56"/>
      <c r="H786" s="55"/>
      <c r="I786" s="57"/>
      <c r="J786" s="65"/>
      <c r="K786" s="66"/>
      <c r="L786" s="132"/>
      <c r="M786" s="43">
        <f t="shared" si="201"/>
        <v>0</v>
      </c>
      <c r="N786" s="49">
        <f t="shared" si="202"/>
        <v>37.78</v>
      </c>
      <c r="O786" s="42">
        <f t="shared" si="203"/>
        <v>0</v>
      </c>
      <c r="P786" s="48">
        <f t="shared" ca="1" si="204"/>
        <v>46274.525928000003</v>
      </c>
      <c r="Q786" s="41">
        <f t="shared" ca="1" si="205"/>
        <v>46289.525928000003</v>
      </c>
      <c r="R786" s="41" t="b">
        <f t="shared" ca="1" si="196"/>
        <v>1</v>
      </c>
      <c r="S786" s="44">
        <f t="shared" ca="1" si="197"/>
        <v>15</v>
      </c>
      <c r="T786" s="74">
        <f t="shared" ca="1" si="198"/>
        <v>46304.525928000003</v>
      </c>
      <c r="U786" s="75" t="s">
        <v>83</v>
      </c>
      <c r="V786" s="76">
        <f t="shared" si="206"/>
        <v>37.78</v>
      </c>
      <c r="W786" s="77" t="str">
        <f t="shared" si="199"/>
        <v/>
      </c>
      <c r="Y786" s="51">
        <f t="shared" ca="1" si="194"/>
        <v>239</v>
      </c>
      <c r="Z786" s="52">
        <f t="shared" ca="1" si="207"/>
        <v>0.34520547945205482</v>
      </c>
      <c r="AB786" s="46">
        <f t="shared" si="195"/>
        <v>7.3407609317918876</v>
      </c>
      <c r="AC786" s="83" t="str">
        <f t="shared" si="200"/>
        <v/>
      </c>
      <c r="AE786" s="55"/>
      <c r="AF786" s="72"/>
      <c r="AG786" s="72"/>
      <c r="AH786" s="66"/>
    </row>
    <row r="787" spans="1:34" ht="16" hidden="1" thickBot="1" x14ac:dyDescent="0.25">
      <c r="A787" s="82"/>
      <c r="B787" s="62"/>
      <c r="C787" s="87"/>
      <c r="D787" s="62"/>
      <c r="F787" s="55"/>
      <c r="G787" s="56"/>
      <c r="H787" s="55"/>
      <c r="I787" s="57"/>
      <c r="J787" s="65"/>
      <c r="K787" s="66"/>
      <c r="L787" s="132"/>
      <c r="M787" s="43">
        <f t="shared" si="201"/>
        <v>0</v>
      </c>
      <c r="N787" s="49">
        <f t="shared" si="202"/>
        <v>37.78</v>
      </c>
      <c r="O787" s="42">
        <f t="shared" si="203"/>
        <v>0</v>
      </c>
      <c r="P787" s="48">
        <f t="shared" ca="1" si="204"/>
        <v>46274.525928000003</v>
      </c>
      <c r="Q787" s="41">
        <f t="shared" ca="1" si="205"/>
        <v>46289.525928000003</v>
      </c>
      <c r="R787" s="41" t="b">
        <f t="shared" ca="1" si="196"/>
        <v>1</v>
      </c>
      <c r="S787" s="44">
        <f t="shared" ca="1" si="197"/>
        <v>15</v>
      </c>
      <c r="T787" s="74">
        <f t="shared" ca="1" si="198"/>
        <v>46304.525928000003</v>
      </c>
      <c r="U787" s="75" t="s">
        <v>83</v>
      </c>
      <c r="V787" s="76">
        <f t="shared" si="206"/>
        <v>37.78</v>
      </c>
      <c r="W787" s="77" t="str">
        <f t="shared" si="199"/>
        <v/>
      </c>
      <c r="Y787" s="51">
        <f t="shared" ca="1" si="194"/>
        <v>239</v>
      </c>
      <c r="Z787" s="52">
        <f t="shared" ca="1" si="207"/>
        <v>0.34520547945205482</v>
      </c>
      <c r="AB787" s="46">
        <f t="shared" si="195"/>
        <v>7.3407609317918876</v>
      </c>
      <c r="AC787" s="83" t="str">
        <f t="shared" si="200"/>
        <v/>
      </c>
      <c r="AE787" s="55"/>
      <c r="AF787" s="72"/>
      <c r="AG787" s="72"/>
      <c r="AH787" s="66"/>
    </row>
    <row r="788" spans="1:34" ht="16" hidden="1" thickBot="1" x14ac:dyDescent="0.25">
      <c r="A788" s="82"/>
      <c r="B788" s="62"/>
      <c r="C788" s="87"/>
      <c r="D788" s="62"/>
      <c r="F788" s="55"/>
      <c r="G788" s="56"/>
      <c r="H788" s="55"/>
      <c r="I788" s="57"/>
      <c r="J788" s="65"/>
      <c r="K788" s="66"/>
      <c r="L788" s="132"/>
      <c r="M788" s="43">
        <f t="shared" si="201"/>
        <v>0</v>
      </c>
      <c r="N788" s="49">
        <f t="shared" si="202"/>
        <v>37.78</v>
      </c>
      <c r="O788" s="42">
        <f t="shared" si="203"/>
        <v>0</v>
      </c>
      <c r="P788" s="48">
        <f t="shared" ca="1" si="204"/>
        <v>46274.525928000003</v>
      </c>
      <c r="Q788" s="41">
        <f t="shared" ca="1" si="205"/>
        <v>46289.525928000003</v>
      </c>
      <c r="R788" s="41" t="b">
        <f t="shared" ca="1" si="196"/>
        <v>1</v>
      </c>
      <c r="S788" s="44">
        <f t="shared" ca="1" si="197"/>
        <v>15</v>
      </c>
      <c r="T788" s="74">
        <f t="shared" ca="1" si="198"/>
        <v>46304.525928000003</v>
      </c>
      <c r="U788" s="75" t="s">
        <v>83</v>
      </c>
      <c r="V788" s="76">
        <f t="shared" si="206"/>
        <v>37.78</v>
      </c>
      <c r="W788" s="77" t="str">
        <f t="shared" si="199"/>
        <v/>
      </c>
      <c r="Y788" s="51">
        <f t="shared" ca="1" si="194"/>
        <v>239</v>
      </c>
      <c r="Z788" s="52">
        <f t="shared" ca="1" si="207"/>
        <v>0.34520547945205482</v>
      </c>
      <c r="AB788" s="46">
        <f t="shared" si="195"/>
        <v>7.3407609317918876</v>
      </c>
      <c r="AC788" s="83" t="str">
        <f t="shared" si="200"/>
        <v/>
      </c>
      <c r="AE788" s="55"/>
      <c r="AF788" s="72"/>
      <c r="AG788" s="72"/>
      <c r="AH788" s="66"/>
    </row>
    <row r="789" spans="1:34" ht="16" hidden="1" thickBot="1" x14ac:dyDescent="0.25">
      <c r="A789" s="82"/>
      <c r="B789" s="62"/>
      <c r="C789" s="87"/>
      <c r="D789" s="62"/>
      <c r="F789" s="55"/>
      <c r="G789" s="56"/>
      <c r="H789" s="55"/>
      <c r="I789" s="57"/>
      <c r="J789" s="65"/>
      <c r="K789" s="66"/>
      <c r="L789" s="132"/>
      <c r="M789" s="43">
        <f t="shared" si="201"/>
        <v>0</v>
      </c>
      <c r="N789" s="49">
        <f t="shared" si="202"/>
        <v>37.78</v>
      </c>
      <c r="O789" s="42">
        <f t="shared" si="203"/>
        <v>0</v>
      </c>
      <c r="P789" s="48">
        <f t="shared" ca="1" si="204"/>
        <v>46274.525928000003</v>
      </c>
      <c r="Q789" s="41">
        <f t="shared" ca="1" si="205"/>
        <v>46289.525928000003</v>
      </c>
      <c r="R789" s="41" t="b">
        <f t="shared" ca="1" si="196"/>
        <v>1</v>
      </c>
      <c r="S789" s="44">
        <f t="shared" ca="1" si="197"/>
        <v>15</v>
      </c>
      <c r="T789" s="74">
        <f t="shared" ca="1" si="198"/>
        <v>46304.525928000003</v>
      </c>
      <c r="U789" s="75" t="s">
        <v>83</v>
      </c>
      <c r="V789" s="76">
        <f t="shared" si="206"/>
        <v>37.78</v>
      </c>
      <c r="W789" s="77" t="str">
        <f t="shared" si="199"/>
        <v/>
      </c>
      <c r="Y789" s="51">
        <f t="shared" ca="1" si="194"/>
        <v>239</v>
      </c>
      <c r="Z789" s="52">
        <f t="shared" ca="1" si="207"/>
        <v>0.34520547945205482</v>
      </c>
      <c r="AB789" s="46">
        <f t="shared" si="195"/>
        <v>7.3407609317918876</v>
      </c>
      <c r="AC789" s="83" t="str">
        <f t="shared" si="200"/>
        <v/>
      </c>
      <c r="AE789" s="55"/>
      <c r="AF789" s="72"/>
      <c r="AG789" s="72"/>
      <c r="AH789" s="66"/>
    </row>
    <row r="790" spans="1:34" ht="16" hidden="1" thickBot="1" x14ac:dyDescent="0.25">
      <c r="A790" s="82"/>
      <c r="B790" s="62"/>
      <c r="C790" s="87"/>
      <c r="D790" s="62"/>
      <c r="F790" s="55"/>
      <c r="G790" s="56"/>
      <c r="H790" s="55"/>
      <c r="I790" s="57"/>
      <c r="J790" s="65"/>
      <c r="K790" s="66"/>
      <c r="L790" s="132"/>
      <c r="M790" s="43">
        <f t="shared" si="201"/>
        <v>0</v>
      </c>
      <c r="N790" s="49">
        <f t="shared" si="202"/>
        <v>37.78</v>
      </c>
      <c r="O790" s="42">
        <f t="shared" si="203"/>
        <v>0</v>
      </c>
      <c r="P790" s="48">
        <f t="shared" ca="1" si="204"/>
        <v>46274.525928000003</v>
      </c>
      <c r="Q790" s="41">
        <f t="shared" ca="1" si="205"/>
        <v>46289.525928000003</v>
      </c>
      <c r="R790" s="41" t="b">
        <f t="shared" ca="1" si="196"/>
        <v>1</v>
      </c>
      <c r="S790" s="44">
        <f t="shared" ca="1" si="197"/>
        <v>15</v>
      </c>
      <c r="T790" s="74">
        <f t="shared" ca="1" si="198"/>
        <v>46304.525928000003</v>
      </c>
      <c r="U790" s="75" t="s">
        <v>83</v>
      </c>
      <c r="V790" s="76">
        <f t="shared" si="206"/>
        <v>37.78</v>
      </c>
      <c r="W790" s="77" t="str">
        <f t="shared" si="199"/>
        <v/>
      </c>
      <c r="Y790" s="51">
        <f t="shared" ca="1" si="194"/>
        <v>239</v>
      </c>
      <c r="Z790" s="52">
        <f t="shared" ca="1" si="207"/>
        <v>0.34520547945205482</v>
      </c>
      <c r="AB790" s="46">
        <f t="shared" si="195"/>
        <v>7.3407609317918876</v>
      </c>
      <c r="AC790" s="83" t="str">
        <f t="shared" si="200"/>
        <v/>
      </c>
      <c r="AE790" s="55"/>
      <c r="AF790" s="72"/>
      <c r="AG790" s="72"/>
      <c r="AH790" s="66"/>
    </row>
    <row r="791" spans="1:34" ht="16" hidden="1" thickBot="1" x14ac:dyDescent="0.25">
      <c r="A791" s="82"/>
      <c r="B791" s="62"/>
      <c r="C791" s="87"/>
      <c r="D791" s="62"/>
      <c r="F791" s="55"/>
      <c r="G791" s="56"/>
      <c r="H791" s="55"/>
      <c r="I791" s="57"/>
      <c r="J791" s="65"/>
      <c r="K791" s="66"/>
      <c r="L791" s="132"/>
      <c r="M791" s="43">
        <f t="shared" si="201"/>
        <v>0</v>
      </c>
      <c r="N791" s="49">
        <f t="shared" si="202"/>
        <v>37.78</v>
      </c>
      <c r="O791" s="42">
        <f t="shared" si="203"/>
        <v>0</v>
      </c>
      <c r="P791" s="48">
        <f t="shared" ca="1" si="204"/>
        <v>46274.525928000003</v>
      </c>
      <c r="Q791" s="41">
        <f t="shared" ca="1" si="205"/>
        <v>46289.525928000003</v>
      </c>
      <c r="R791" s="41" t="b">
        <f t="shared" ca="1" si="196"/>
        <v>1</v>
      </c>
      <c r="S791" s="44">
        <f t="shared" ca="1" si="197"/>
        <v>15</v>
      </c>
      <c r="T791" s="74">
        <f t="shared" ca="1" si="198"/>
        <v>46304.525928000003</v>
      </c>
      <c r="U791" s="75" t="s">
        <v>83</v>
      </c>
      <c r="V791" s="76">
        <f t="shared" si="206"/>
        <v>37.78</v>
      </c>
      <c r="W791" s="77" t="str">
        <f t="shared" si="199"/>
        <v/>
      </c>
      <c r="Y791" s="51">
        <f t="shared" ca="1" si="194"/>
        <v>239</v>
      </c>
      <c r="Z791" s="52">
        <f t="shared" ca="1" si="207"/>
        <v>0.34520547945205482</v>
      </c>
      <c r="AB791" s="46">
        <f t="shared" si="195"/>
        <v>7.3407609317918876</v>
      </c>
      <c r="AC791" s="83" t="str">
        <f t="shared" si="200"/>
        <v/>
      </c>
      <c r="AE791" s="55"/>
      <c r="AF791" s="72"/>
      <c r="AG791" s="72"/>
      <c r="AH791" s="66"/>
    </row>
    <row r="792" spans="1:34" ht="16" hidden="1" thickBot="1" x14ac:dyDescent="0.25">
      <c r="A792" s="82"/>
      <c r="B792" s="62"/>
      <c r="C792" s="87"/>
      <c r="D792" s="62"/>
      <c r="F792" s="55"/>
      <c r="G792" s="56"/>
      <c r="H792" s="55"/>
      <c r="I792" s="57"/>
      <c r="J792" s="65"/>
      <c r="K792" s="66"/>
      <c r="L792" s="132"/>
      <c r="M792" s="43">
        <f t="shared" si="201"/>
        <v>0</v>
      </c>
      <c r="N792" s="49">
        <f t="shared" si="202"/>
        <v>37.78</v>
      </c>
      <c r="O792" s="42">
        <f t="shared" si="203"/>
        <v>0</v>
      </c>
      <c r="P792" s="48">
        <f t="shared" ca="1" si="204"/>
        <v>46274.525928000003</v>
      </c>
      <c r="Q792" s="41">
        <f t="shared" ca="1" si="205"/>
        <v>46289.525928000003</v>
      </c>
      <c r="R792" s="41" t="b">
        <f t="shared" ca="1" si="196"/>
        <v>1</v>
      </c>
      <c r="S792" s="44">
        <f t="shared" ca="1" si="197"/>
        <v>15</v>
      </c>
      <c r="T792" s="74">
        <f t="shared" ca="1" si="198"/>
        <v>46304.525928000003</v>
      </c>
      <c r="U792" s="75" t="s">
        <v>83</v>
      </c>
      <c r="V792" s="76">
        <f t="shared" si="206"/>
        <v>37.78</v>
      </c>
      <c r="W792" s="77" t="str">
        <f t="shared" si="199"/>
        <v/>
      </c>
      <c r="Y792" s="51">
        <f t="shared" ca="1" si="194"/>
        <v>239</v>
      </c>
      <c r="Z792" s="52">
        <f t="shared" ca="1" si="207"/>
        <v>0.34520547945205482</v>
      </c>
      <c r="AB792" s="46">
        <f t="shared" si="195"/>
        <v>7.3407609317918876</v>
      </c>
      <c r="AC792" s="83" t="str">
        <f t="shared" si="200"/>
        <v/>
      </c>
      <c r="AE792" s="55"/>
      <c r="AF792" s="72"/>
      <c r="AG792" s="72"/>
      <c r="AH792" s="66"/>
    </row>
    <row r="793" spans="1:34" ht="16" hidden="1" thickBot="1" x14ac:dyDescent="0.25">
      <c r="A793" s="82"/>
      <c r="B793" s="62"/>
      <c r="C793" s="87"/>
      <c r="D793" s="62"/>
      <c r="F793" s="55"/>
      <c r="G793" s="56"/>
      <c r="H793" s="55"/>
      <c r="I793" s="57"/>
      <c r="J793" s="65"/>
      <c r="K793" s="66"/>
      <c r="L793" s="132"/>
      <c r="M793" s="43">
        <f t="shared" si="201"/>
        <v>0</v>
      </c>
      <c r="N793" s="49">
        <f t="shared" si="202"/>
        <v>37.78</v>
      </c>
      <c r="O793" s="42">
        <f t="shared" si="203"/>
        <v>0</v>
      </c>
      <c r="P793" s="48">
        <f t="shared" ca="1" si="204"/>
        <v>46274.525928000003</v>
      </c>
      <c r="Q793" s="41">
        <f t="shared" ca="1" si="205"/>
        <v>46289.525928000003</v>
      </c>
      <c r="R793" s="41" t="b">
        <f t="shared" ca="1" si="196"/>
        <v>1</v>
      </c>
      <c r="S793" s="44">
        <f t="shared" ca="1" si="197"/>
        <v>15</v>
      </c>
      <c r="T793" s="74">
        <f t="shared" ca="1" si="198"/>
        <v>46304.525928000003</v>
      </c>
      <c r="U793" s="75" t="s">
        <v>83</v>
      </c>
      <c r="V793" s="76">
        <f t="shared" si="206"/>
        <v>37.78</v>
      </c>
      <c r="W793" s="77" t="str">
        <f t="shared" si="199"/>
        <v/>
      </c>
      <c r="Y793" s="51">
        <f t="shared" ca="1" si="194"/>
        <v>239</v>
      </c>
      <c r="Z793" s="52">
        <f t="shared" ca="1" si="207"/>
        <v>0.34520547945205482</v>
      </c>
      <c r="AB793" s="46">
        <f t="shared" si="195"/>
        <v>7.3407609317918876</v>
      </c>
      <c r="AC793" s="83" t="str">
        <f t="shared" si="200"/>
        <v/>
      </c>
      <c r="AE793" s="55"/>
      <c r="AF793" s="72"/>
      <c r="AG793" s="72"/>
      <c r="AH793" s="66"/>
    </row>
    <row r="794" spans="1:34" ht="16" hidden="1" thickBot="1" x14ac:dyDescent="0.25">
      <c r="A794" s="82"/>
      <c r="B794" s="62"/>
      <c r="C794" s="87"/>
      <c r="D794" s="62"/>
      <c r="F794" s="55"/>
      <c r="G794" s="56"/>
      <c r="H794" s="55"/>
      <c r="I794" s="57"/>
      <c r="J794" s="65"/>
      <c r="K794" s="66"/>
      <c r="L794" s="132"/>
      <c r="M794" s="43">
        <f t="shared" si="201"/>
        <v>0</v>
      </c>
      <c r="N794" s="49">
        <f t="shared" si="202"/>
        <v>37.78</v>
      </c>
      <c r="O794" s="42">
        <f t="shared" si="203"/>
        <v>0</v>
      </c>
      <c r="P794" s="48">
        <f t="shared" ca="1" si="204"/>
        <v>46274.525928000003</v>
      </c>
      <c r="Q794" s="41">
        <f t="shared" ca="1" si="205"/>
        <v>46289.525928000003</v>
      </c>
      <c r="R794" s="41" t="b">
        <f t="shared" ca="1" si="196"/>
        <v>1</v>
      </c>
      <c r="S794" s="44">
        <f t="shared" ca="1" si="197"/>
        <v>15</v>
      </c>
      <c r="T794" s="74">
        <f t="shared" ca="1" si="198"/>
        <v>46304.525928000003</v>
      </c>
      <c r="U794" s="75" t="s">
        <v>83</v>
      </c>
      <c r="V794" s="76">
        <f t="shared" si="206"/>
        <v>37.78</v>
      </c>
      <c r="W794" s="77" t="str">
        <f t="shared" si="199"/>
        <v/>
      </c>
      <c r="Y794" s="51">
        <f t="shared" ca="1" si="194"/>
        <v>239</v>
      </c>
      <c r="Z794" s="52">
        <f t="shared" ca="1" si="207"/>
        <v>0.34520547945205482</v>
      </c>
      <c r="AB794" s="46">
        <f t="shared" si="195"/>
        <v>7.3407609317918876</v>
      </c>
      <c r="AC794" s="83" t="str">
        <f t="shared" si="200"/>
        <v/>
      </c>
      <c r="AE794" s="55"/>
      <c r="AF794" s="72"/>
      <c r="AG794" s="72"/>
      <c r="AH794" s="66"/>
    </row>
    <row r="795" spans="1:34" ht="16" hidden="1" thickBot="1" x14ac:dyDescent="0.25">
      <c r="A795" s="82"/>
      <c r="B795" s="62"/>
      <c r="C795" s="87"/>
      <c r="D795" s="62"/>
      <c r="F795" s="55"/>
      <c r="G795" s="56"/>
      <c r="H795" s="55"/>
      <c r="I795" s="57"/>
      <c r="J795" s="65"/>
      <c r="K795" s="66"/>
      <c r="L795" s="132"/>
      <c r="M795" s="43">
        <f t="shared" si="201"/>
        <v>0</v>
      </c>
      <c r="N795" s="49">
        <f t="shared" si="202"/>
        <v>37.78</v>
      </c>
      <c r="O795" s="42">
        <f t="shared" si="203"/>
        <v>0</v>
      </c>
      <c r="P795" s="48">
        <f t="shared" ca="1" si="204"/>
        <v>46274.525928000003</v>
      </c>
      <c r="Q795" s="41">
        <f t="shared" ca="1" si="205"/>
        <v>46289.525928000003</v>
      </c>
      <c r="R795" s="41" t="b">
        <f t="shared" ca="1" si="196"/>
        <v>1</v>
      </c>
      <c r="S795" s="44">
        <f t="shared" ca="1" si="197"/>
        <v>15</v>
      </c>
      <c r="T795" s="74">
        <f t="shared" ca="1" si="198"/>
        <v>46304.525928000003</v>
      </c>
      <c r="U795" s="75" t="s">
        <v>83</v>
      </c>
      <c r="V795" s="76">
        <f t="shared" si="206"/>
        <v>37.78</v>
      </c>
      <c r="W795" s="77" t="str">
        <f t="shared" si="199"/>
        <v/>
      </c>
      <c r="Y795" s="51">
        <f t="shared" ca="1" si="194"/>
        <v>239</v>
      </c>
      <c r="Z795" s="52">
        <f t="shared" ca="1" si="207"/>
        <v>0.34520547945205482</v>
      </c>
      <c r="AB795" s="46">
        <f t="shared" si="195"/>
        <v>7.3407609317918876</v>
      </c>
      <c r="AC795" s="83" t="str">
        <f t="shared" si="200"/>
        <v/>
      </c>
      <c r="AE795" s="55"/>
      <c r="AF795" s="72"/>
      <c r="AG795" s="72"/>
      <c r="AH795" s="66"/>
    </row>
    <row r="796" spans="1:34" ht="16" hidden="1" thickBot="1" x14ac:dyDescent="0.25">
      <c r="A796" s="82"/>
      <c r="B796" s="62"/>
      <c r="C796" s="87"/>
      <c r="D796" s="62"/>
      <c r="F796" s="55"/>
      <c r="G796" s="56"/>
      <c r="H796" s="55"/>
      <c r="I796" s="57"/>
      <c r="J796" s="65"/>
      <c r="K796" s="66"/>
      <c r="L796" s="132"/>
      <c r="M796" s="43">
        <f t="shared" si="201"/>
        <v>0</v>
      </c>
      <c r="N796" s="49">
        <f t="shared" si="202"/>
        <v>37.78</v>
      </c>
      <c r="O796" s="42">
        <f t="shared" si="203"/>
        <v>0</v>
      </c>
      <c r="P796" s="48">
        <f t="shared" ca="1" si="204"/>
        <v>46274.525928000003</v>
      </c>
      <c r="Q796" s="41">
        <f t="shared" ca="1" si="205"/>
        <v>46289.525928000003</v>
      </c>
      <c r="R796" s="41" t="b">
        <f t="shared" ca="1" si="196"/>
        <v>1</v>
      </c>
      <c r="S796" s="44">
        <f t="shared" ca="1" si="197"/>
        <v>15</v>
      </c>
      <c r="T796" s="74">
        <f t="shared" ca="1" si="198"/>
        <v>46304.525928000003</v>
      </c>
      <c r="U796" s="75" t="s">
        <v>83</v>
      </c>
      <c r="V796" s="76">
        <f t="shared" si="206"/>
        <v>37.78</v>
      </c>
      <c r="W796" s="77" t="str">
        <f t="shared" si="199"/>
        <v/>
      </c>
      <c r="Y796" s="51">
        <f t="shared" ca="1" si="194"/>
        <v>239</v>
      </c>
      <c r="Z796" s="52">
        <f t="shared" ca="1" si="207"/>
        <v>0.34520547945205482</v>
      </c>
      <c r="AB796" s="46">
        <f t="shared" si="195"/>
        <v>7.3407609317918876</v>
      </c>
      <c r="AC796" s="83" t="str">
        <f t="shared" si="200"/>
        <v/>
      </c>
      <c r="AE796" s="55"/>
      <c r="AF796" s="72"/>
      <c r="AG796" s="72"/>
      <c r="AH796" s="66"/>
    </row>
    <row r="797" spans="1:34" ht="16" hidden="1" thickBot="1" x14ac:dyDescent="0.25">
      <c r="A797" s="82"/>
      <c r="B797" s="62"/>
      <c r="C797" s="87"/>
      <c r="D797" s="62"/>
      <c r="F797" s="55"/>
      <c r="G797" s="56"/>
      <c r="H797" s="55"/>
      <c r="I797" s="57"/>
      <c r="J797" s="65"/>
      <c r="K797" s="66"/>
      <c r="L797" s="132"/>
      <c r="M797" s="43">
        <f t="shared" si="201"/>
        <v>0</v>
      </c>
      <c r="N797" s="49">
        <f t="shared" si="202"/>
        <v>37.78</v>
      </c>
      <c r="O797" s="42">
        <f t="shared" si="203"/>
        <v>0</v>
      </c>
      <c r="P797" s="48">
        <f t="shared" ca="1" si="204"/>
        <v>46274.525928000003</v>
      </c>
      <c r="Q797" s="41">
        <f t="shared" ca="1" si="205"/>
        <v>46289.525928000003</v>
      </c>
      <c r="R797" s="41" t="b">
        <f t="shared" ca="1" si="196"/>
        <v>1</v>
      </c>
      <c r="S797" s="44">
        <f t="shared" ca="1" si="197"/>
        <v>15</v>
      </c>
      <c r="T797" s="74">
        <f t="shared" ca="1" si="198"/>
        <v>46304.525928000003</v>
      </c>
      <c r="U797" s="75" t="s">
        <v>83</v>
      </c>
      <c r="V797" s="76">
        <f t="shared" si="206"/>
        <v>37.78</v>
      </c>
      <c r="W797" s="77" t="str">
        <f t="shared" si="199"/>
        <v/>
      </c>
      <c r="Y797" s="51">
        <f t="shared" ca="1" si="194"/>
        <v>239</v>
      </c>
      <c r="Z797" s="52">
        <f t="shared" ca="1" si="207"/>
        <v>0.34520547945205482</v>
      </c>
      <c r="AB797" s="46">
        <f t="shared" si="195"/>
        <v>7.3407609317918876</v>
      </c>
      <c r="AC797" s="83" t="str">
        <f t="shared" si="200"/>
        <v/>
      </c>
      <c r="AE797" s="55"/>
      <c r="AF797" s="72"/>
      <c r="AG797" s="72"/>
      <c r="AH797" s="66"/>
    </row>
    <row r="798" spans="1:34" ht="16" hidden="1" thickBot="1" x14ac:dyDescent="0.25">
      <c r="A798" s="82"/>
      <c r="B798" s="62"/>
      <c r="C798" s="87"/>
      <c r="D798" s="62"/>
      <c r="F798" s="55"/>
      <c r="G798" s="56"/>
      <c r="H798" s="55"/>
      <c r="I798" s="57"/>
      <c r="J798" s="65"/>
      <c r="K798" s="66"/>
      <c r="L798" s="132"/>
      <c r="M798" s="43">
        <f t="shared" si="201"/>
        <v>0</v>
      </c>
      <c r="N798" s="49">
        <f t="shared" si="202"/>
        <v>37.78</v>
      </c>
      <c r="O798" s="42">
        <f t="shared" si="203"/>
        <v>0</v>
      </c>
      <c r="P798" s="48">
        <f t="shared" ca="1" si="204"/>
        <v>46274.525928000003</v>
      </c>
      <c r="Q798" s="41">
        <f t="shared" ca="1" si="205"/>
        <v>46289.525928000003</v>
      </c>
      <c r="R798" s="41" t="b">
        <f t="shared" ca="1" si="196"/>
        <v>1</v>
      </c>
      <c r="S798" s="44">
        <f t="shared" ca="1" si="197"/>
        <v>15</v>
      </c>
      <c r="T798" s="74">
        <f t="shared" ca="1" si="198"/>
        <v>46304.525928000003</v>
      </c>
      <c r="U798" s="75" t="s">
        <v>83</v>
      </c>
      <c r="V798" s="76">
        <f t="shared" si="206"/>
        <v>37.78</v>
      </c>
      <c r="W798" s="77" t="str">
        <f t="shared" si="199"/>
        <v/>
      </c>
      <c r="Y798" s="51">
        <f t="shared" ca="1" si="194"/>
        <v>239</v>
      </c>
      <c r="Z798" s="52">
        <f t="shared" ca="1" si="207"/>
        <v>0.34520547945205482</v>
      </c>
      <c r="AB798" s="46">
        <f t="shared" si="195"/>
        <v>7.3407609317918876</v>
      </c>
      <c r="AC798" s="83" t="str">
        <f t="shared" si="200"/>
        <v/>
      </c>
      <c r="AE798" s="55"/>
      <c r="AF798" s="72"/>
      <c r="AG798" s="72"/>
      <c r="AH798" s="66"/>
    </row>
    <row r="799" spans="1:34" ht="16" hidden="1" thickBot="1" x14ac:dyDescent="0.25">
      <c r="A799" s="82"/>
      <c r="B799" s="62"/>
      <c r="C799" s="87"/>
      <c r="D799" s="62"/>
      <c r="F799" s="55"/>
      <c r="G799" s="56"/>
      <c r="H799" s="55"/>
      <c r="I799" s="57"/>
      <c r="J799" s="65"/>
      <c r="K799" s="66"/>
      <c r="L799" s="132"/>
      <c r="M799" s="43">
        <f t="shared" si="201"/>
        <v>0</v>
      </c>
      <c r="N799" s="49">
        <f t="shared" si="202"/>
        <v>37.78</v>
      </c>
      <c r="O799" s="42">
        <f t="shared" si="203"/>
        <v>0</v>
      </c>
      <c r="P799" s="48">
        <f t="shared" ca="1" si="204"/>
        <v>46274.525928000003</v>
      </c>
      <c r="Q799" s="41">
        <f t="shared" ca="1" si="205"/>
        <v>46289.525928000003</v>
      </c>
      <c r="R799" s="41" t="b">
        <f t="shared" ca="1" si="196"/>
        <v>1</v>
      </c>
      <c r="S799" s="44">
        <f t="shared" ca="1" si="197"/>
        <v>15</v>
      </c>
      <c r="T799" s="74">
        <f t="shared" ca="1" si="198"/>
        <v>46304.525928000003</v>
      </c>
      <c r="U799" s="75" t="s">
        <v>83</v>
      </c>
      <c r="V799" s="76">
        <f t="shared" si="206"/>
        <v>37.78</v>
      </c>
      <c r="W799" s="77" t="str">
        <f t="shared" si="199"/>
        <v/>
      </c>
      <c r="Y799" s="51">
        <f t="shared" ca="1" si="194"/>
        <v>239</v>
      </c>
      <c r="Z799" s="52">
        <f t="shared" ca="1" si="207"/>
        <v>0.34520547945205482</v>
      </c>
      <c r="AB799" s="46">
        <f t="shared" si="195"/>
        <v>7.3407609317918876</v>
      </c>
      <c r="AC799" s="83" t="str">
        <f t="shared" si="200"/>
        <v/>
      </c>
      <c r="AE799" s="55"/>
      <c r="AF799" s="72"/>
      <c r="AG799" s="72"/>
      <c r="AH799" s="66"/>
    </row>
    <row r="800" spans="1:34" ht="16" hidden="1" thickBot="1" x14ac:dyDescent="0.25">
      <c r="A800" s="82"/>
      <c r="B800" s="62"/>
      <c r="C800" s="87"/>
      <c r="D800" s="62"/>
      <c r="F800" s="55"/>
      <c r="G800" s="56"/>
      <c r="H800" s="55"/>
      <c r="I800" s="57"/>
      <c r="J800" s="65"/>
      <c r="K800" s="66"/>
      <c r="L800" s="132"/>
      <c r="M800" s="43">
        <f t="shared" si="201"/>
        <v>0</v>
      </c>
      <c r="N800" s="49">
        <f t="shared" si="202"/>
        <v>37.78</v>
      </c>
      <c r="O800" s="42">
        <f t="shared" si="203"/>
        <v>0</v>
      </c>
      <c r="P800" s="48">
        <f t="shared" ca="1" si="204"/>
        <v>46274.525928000003</v>
      </c>
      <c r="Q800" s="41">
        <f t="shared" ca="1" si="205"/>
        <v>46289.525928000003</v>
      </c>
      <c r="R800" s="41" t="b">
        <f t="shared" ca="1" si="196"/>
        <v>1</v>
      </c>
      <c r="S800" s="44">
        <f t="shared" ca="1" si="197"/>
        <v>15</v>
      </c>
      <c r="T800" s="74">
        <f t="shared" ca="1" si="198"/>
        <v>46304.525928000003</v>
      </c>
      <c r="U800" s="75" t="s">
        <v>83</v>
      </c>
      <c r="V800" s="76">
        <f t="shared" si="206"/>
        <v>37.78</v>
      </c>
      <c r="W800" s="77" t="str">
        <f t="shared" si="199"/>
        <v/>
      </c>
      <c r="Y800" s="51">
        <f t="shared" ref="Y800:Y863" ca="1" si="208">INT(IF(AC$7&gt;T800,AC$7-T800,AC$7+365-T800)+0.5)+S800</f>
        <v>239</v>
      </c>
      <c r="Z800" s="52">
        <f t="shared" ca="1" si="207"/>
        <v>0.34520547945205482</v>
      </c>
      <c r="AB800" s="46">
        <f t="shared" ref="AB800:AB863" si="209">MOD(O800-AB$10,24)/1.00273790935</f>
        <v>7.3407609317918876</v>
      </c>
      <c r="AC800" s="83" t="str">
        <f t="shared" si="200"/>
        <v/>
      </c>
      <c r="AE800" s="55"/>
      <c r="AF800" s="72"/>
      <c r="AG800" s="72"/>
      <c r="AH800" s="66"/>
    </row>
    <row r="801" spans="1:34" ht="16" hidden="1" thickBot="1" x14ac:dyDescent="0.25">
      <c r="A801" s="82"/>
      <c r="B801" s="62"/>
      <c r="C801" s="87"/>
      <c r="D801" s="62"/>
      <c r="F801" s="55"/>
      <c r="G801" s="56"/>
      <c r="H801" s="55"/>
      <c r="I801" s="57"/>
      <c r="J801" s="65"/>
      <c r="K801" s="66"/>
      <c r="L801" s="132"/>
      <c r="M801" s="43">
        <f t="shared" si="201"/>
        <v>0</v>
      </c>
      <c r="N801" s="49">
        <f t="shared" si="202"/>
        <v>37.78</v>
      </c>
      <c r="O801" s="42">
        <f t="shared" si="203"/>
        <v>0</v>
      </c>
      <c r="P801" s="48">
        <f t="shared" ca="1" si="204"/>
        <v>46274.525928000003</v>
      </c>
      <c r="Q801" s="41">
        <f t="shared" ca="1" si="205"/>
        <v>46289.525928000003</v>
      </c>
      <c r="R801" s="41" t="b">
        <f t="shared" ca="1" si="196"/>
        <v>1</v>
      </c>
      <c r="S801" s="44">
        <f t="shared" ca="1" si="197"/>
        <v>15</v>
      </c>
      <c r="T801" s="74">
        <f t="shared" ca="1" si="198"/>
        <v>46304.525928000003</v>
      </c>
      <c r="U801" s="75" t="s">
        <v>83</v>
      </c>
      <c r="V801" s="76">
        <f t="shared" si="206"/>
        <v>37.78</v>
      </c>
      <c r="W801" s="77" t="str">
        <f t="shared" si="199"/>
        <v/>
      </c>
      <c r="Y801" s="51">
        <f t="shared" ca="1" si="208"/>
        <v>239</v>
      </c>
      <c r="Z801" s="52">
        <f t="shared" ca="1" si="207"/>
        <v>0.34520547945205482</v>
      </c>
      <c r="AB801" s="46">
        <f t="shared" si="209"/>
        <v>7.3407609317918876</v>
      </c>
      <c r="AC801" s="83" t="str">
        <f t="shared" si="200"/>
        <v/>
      </c>
      <c r="AE801" s="55"/>
      <c r="AF801" s="72"/>
      <c r="AG801" s="72"/>
      <c r="AH801" s="66"/>
    </row>
    <row r="802" spans="1:34" ht="16" hidden="1" thickBot="1" x14ac:dyDescent="0.25">
      <c r="A802" s="82"/>
      <c r="B802" s="62"/>
      <c r="C802" s="87"/>
      <c r="D802" s="62"/>
      <c r="F802" s="55"/>
      <c r="G802" s="56"/>
      <c r="H802" s="55"/>
      <c r="I802" s="57"/>
      <c r="J802" s="65"/>
      <c r="K802" s="66"/>
      <c r="L802" s="132"/>
      <c r="M802" s="43">
        <f t="shared" si="201"/>
        <v>0</v>
      </c>
      <c r="N802" s="49">
        <f t="shared" si="202"/>
        <v>37.78</v>
      </c>
      <c r="O802" s="42">
        <f t="shared" si="203"/>
        <v>0</v>
      </c>
      <c r="P802" s="48">
        <f t="shared" ca="1" si="204"/>
        <v>46274.525928000003</v>
      </c>
      <c r="Q802" s="41">
        <f t="shared" ca="1" si="205"/>
        <v>46289.525928000003</v>
      </c>
      <c r="R802" s="41" t="b">
        <f t="shared" ca="1" si="196"/>
        <v>1</v>
      </c>
      <c r="S802" s="44">
        <f t="shared" ca="1" si="197"/>
        <v>15</v>
      </c>
      <c r="T802" s="74">
        <f t="shared" ca="1" si="198"/>
        <v>46304.525928000003</v>
      </c>
      <c r="U802" s="75" t="s">
        <v>83</v>
      </c>
      <c r="V802" s="76">
        <f t="shared" si="206"/>
        <v>37.78</v>
      </c>
      <c r="W802" s="77" t="str">
        <f t="shared" si="199"/>
        <v/>
      </c>
      <c r="Y802" s="51">
        <f t="shared" ca="1" si="208"/>
        <v>239</v>
      </c>
      <c r="Z802" s="52">
        <f t="shared" ca="1" si="207"/>
        <v>0.34520547945205482</v>
      </c>
      <c r="AB802" s="46">
        <f t="shared" si="209"/>
        <v>7.3407609317918876</v>
      </c>
      <c r="AC802" s="83" t="str">
        <f t="shared" si="200"/>
        <v/>
      </c>
      <c r="AE802" s="55"/>
      <c r="AF802" s="72"/>
      <c r="AG802" s="72"/>
      <c r="AH802" s="66"/>
    </row>
    <row r="803" spans="1:34" ht="16" hidden="1" thickBot="1" x14ac:dyDescent="0.25">
      <c r="A803" s="82"/>
      <c r="B803" s="62"/>
      <c r="C803" s="87"/>
      <c r="D803" s="62"/>
      <c r="F803" s="55"/>
      <c r="G803" s="56"/>
      <c r="H803" s="55"/>
      <c r="I803" s="57"/>
      <c r="J803" s="65"/>
      <c r="K803" s="66"/>
      <c r="L803" s="132"/>
      <c r="M803" s="43">
        <f t="shared" si="201"/>
        <v>0</v>
      </c>
      <c r="N803" s="49">
        <f t="shared" si="202"/>
        <v>37.78</v>
      </c>
      <c r="O803" s="42">
        <f t="shared" si="203"/>
        <v>0</v>
      </c>
      <c r="P803" s="48">
        <f t="shared" ca="1" si="204"/>
        <v>46274.525928000003</v>
      </c>
      <c r="Q803" s="41">
        <f t="shared" ca="1" si="205"/>
        <v>46289.525928000003</v>
      </c>
      <c r="R803" s="41" t="b">
        <f t="shared" ca="1" si="196"/>
        <v>1</v>
      </c>
      <c r="S803" s="44">
        <f t="shared" ca="1" si="197"/>
        <v>15</v>
      </c>
      <c r="T803" s="74">
        <f t="shared" ca="1" si="198"/>
        <v>46304.525928000003</v>
      </c>
      <c r="U803" s="75" t="s">
        <v>83</v>
      </c>
      <c r="V803" s="76">
        <f t="shared" si="206"/>
        <v>37.78</v>
      </c>
      <c r="W803" s="77" t="str">
        <f t="shared" si="199"/>
        <v/>
      </c>
      <c r="Y803" s="51">
        <f t="shared" ca="1" si="208"/>
        <v>239</v>
      </c>
      <c r="Z803" s="52">
        <f t="shared" ca="1" si="207"/>
        <v>0.34520547945205482</v>
      </c>
      <c r="AB803" s="46">
        <f t="shared" si="209"/>
        <v>7.3407609317918876</v>
      </c>
      <c r="AC803" s="83" t="str">
        <f t="shared" si="200"/>
        <v/>
      </c>
      <c r="AE803" s="55"/>
      <c r="AF803" s="72"/>
      <c r="AG803" s="72"/>
      <c r="AH803" s="66"/>
    </row>
    <row r="804" spans="1:34" ht="16" hidden="1" thickBot="1" x14ac:dyDescent="0.25">
      <c r="A804" s="82"/>
      <c r="B804" s="62"/>
      <c r="C804" s="87"/>
      <c r="D804" s="62"/>
      <c r="F804" s="55"/>
      <c r="G804" s="56"/>
      <c r="H804" s="55"/>
      <c r="I804" s="57"/>
      <c r="J804" s="65"/>
      <c r="K804" s="66"/>
      <c r="L804" s="132"/>
      <c r="M804" s="43">
        <f t="shared" si="201"/>
        <v>0</v>
      </c>
      <c r="N804" s="49">
        <f t="shared" si="202"/>
        <v>37.78</v>
      </c>
      <c r="O804" s="42">
        <f t="shared" si="203"/>
        <v>0</v>
      </c>
      <c r="P804" s="48">
        <f t="shared" ca="1" si="204"/>
        <v>46274.525928000003</v>
      </c>
      <c r="Q804" s="41">
        <f t="shared" ca="1" si="205"/>
        <v>46289.525928000003</v>
      </c>
      <c r="R804" s="41" t="b">
        <f t="shared" ca="1" si="196"/>
        <v>1</v>
      </c>
      <c r="S804" s="44">
        <f t="shared" ca="1" si="197"/>
        <v>15</v>
      </c>
      <c r="T804" s="74">
        <f t="shared" ca="1" si="198"/>
        <v>46304.525928000003</v>
      </c>
      <c r="U804" s="75" t="s">
        <v>83</v>
      </c>
      <c r="V804" s="76">
        <f t="shared" si="206"/>
        <v>37.78</v>
      </c>
      <c r="W804" s="77" t="str">
        <f t="shared" si="199"/>
        <v/>
      </c>
      <c r="Y804" s="51">
        <f t="shared" ca="1" si="208"/>
        <v>239</v>
      </c>
      <c r="Z804" s="52">
        <f t="shared" ca="1" si="207"/>
        <v>0.34520547945205482</v>
      </c>
      <c r="AB804" s="46">
        <f t="shared" si="209"/>
        <v>7.3407609317918876</v>
      </c>
      <c r="AC804" s="83" t="str">
        <f t="shared" si="200"/>
        <v/>
      </c>
      <c r="AE804" s="55"/>
      <c r="AF804" s="72"/>
      <c r="AG804" s="72"/>
      <c r="AH804" s="66"/>
    </row>
    <row r="805" spans="1:34" ht="16" hidden="1" thickBot="1" x14ac:dyDescent="0.25">
      <c r="A805" s="82"/>
      <c r="B805" s="62"/>
      <c r="C805" s="87"/>
      <c r="D805" s="62"/>
      <c r="F805" s="55"/>
      <c r="G805" s="56"/>
      <c r="H805" s="55"/>
      <c r="I805" s="57"/>
      <c r="J805" s="65"/>
      <c r="K805" s="66"/>
      <c r="L805" s="132"/>
      <c r="M805" s="43">
        <f t="shared" si="201"/>
        <v>0</v>
      </c>
      <c r="N805" s="49">
        <f t="shared" si="202"/>
        <v>37.78</v>
      </c>
      <c r="O805" s="42">
        <f t="shared" si="203"/>
        <v>0</v>
      </c>
      <c r="P805" s="48">
        <f t="shared" ca="1" si="204"/>
        <v>46274.525928000003</v>
      </c>
      <c r="Q805" s="41">
        <f t="shared" ca="1" si="205"/>
        <v>46289.525928000003</v>
      </c>
      <c r="R805" s="41" t="b">
        <f t="shared" ca="1" si="196"/>
        <v>1</v>
      </c>
      <c r="S805" s="44">
        <f t="shared" ca="1" si="197"/>
        <v>15</v>
      </c>
      <c r="T805" s="74">
        <f t="shared" ca="1" si="198"/>
        <v>46304.525928000003</v>
      </c>
      <c r="U805" s="75" t="s">
        <v>83</v>
      </c>
      <c r="V805" s="76">
        <f t="shared" si="206"/>
        <v>37.78</v>
      </c>
      <c r="W805" s="77" t="str">
        <f t="shared" si="199"/>
        <v/>
      </c>
      <c r="Y805" s="51">
        <f t="shared" ca="1" si="208"/>
        <v>239</v>
      </c>
      <c r="Z805" s="52">
        <f t="shared" ca="1" si="207"/>
        <v>0.34520547945205482</v>
      </c>
      <c r="AB805" s="46">
        <f t="shared" si="209"/>
        <v>7.3407609317918876</v>
      </c>
      <c r="AC805" s="83" t="str">
        <f t="shared" si="200"/>
        <v/>
      </c>
      <c r="AE805" s="55"/>
      <c r="AF805" s="72"/>
      <c r="AG805" s="72"/>
      <c r="AH805" s="66"/>
    </row>
    <row r="806" spans="1:34" ht="16" hidden="1" thickBot="1" x14ac:dyDescent="0.25">
      <c r="A806" s="82"/>
      <c r="B806" s="62"/>
      <c r="C806" s="87"/>
      <c r="D806" s="62"/>
      <c r="F806" s="55"/>
      <c r="G806" s="56"/>
      <c r="H806" s="55"/>
      <c r="I806" s="57"/>
      <c r="J806" s="65"/>
      <c r="K806" s="66"/>
      <c r="L806" s="132"/>
      <c r="M806" s="43">
        <f t="shared" si="201"/>
        <v>0</v>
      </c>
      <c r="N806" s="49">
        <f t="shared" si="202"/>
        <v>37.78</v>
      </c>
      <c r="O806" s="42">
        <f t="shared" si="203"/>
        <v>0</v>
      </c>
      <c r="P806" s="48">
        <f t="shared" ca="1" si="204"/>
        <v>46274.525928000003</v>
      </c>
      <c r="Q806" s="41">
        <f t="shared" ca="1" si="205"/>
        <v>46289.525928000003</v>
      </c>
      <c r="R806" s="41" t="b">
        <f t="shared" ca="1" si="196"/>
        <v>1</v>
      </c>
      <c r="S806" s="44">
        <f t="shared" ca="1" si="197"/>
        <v>15</v>
      </c>
      <c r="T806" s="74">
        <f t="shared" ca="1" si="198"/>
        <v>46304.525928000003</v>
      </c>
      <c r="U806" s="75" t="s">
        <v>83</v>
      </c>
      <c r="V806" s="76">
        <f t="shared" si="206"/>
        <v>37.78</v>
      </c>
      <c r="W806" s="77" t="str">
        <f t="shared" si="199"/>
        <v/>
      </c>
      <c r="Y806" s="51">
        <f t="shared" ca="1" si="208"/>
        <v>239</v>
      </c>
      <c r="Z806" s="52">
        <f t="shared" ca="1" si="207"/>
        <v>0.34520547945205482</v>
      </c>
      <c r="AB806" s="46">
        <f t="shared" si="209"/>
        <v>7.3407609317918876</v>
      </c>
      <c r="AC806" s="83" t="str">
        <f t="shared" si="200"/>
        <v/>
      </c>
      <c r="AE806" s="55"/>
      <c r="AF806" s="72"/>
      <c r="AG806" s="72"/>
      <c r="AH806" s="66"/>
    </row>
    <row r="807" spans="1:34" ht="16" hidden="1" thickBot="1" x14ac:dyDescent="0.25">
      <c r="A807" s="82"/>
      <c r="B807" s="62"/>
      <c r="C807" s="87"/>
      <c r="D807" s="62"/>
      <c r="F807" s="55"/>
      <c r="G807" s="56"/>
      <c r="H807" s="55"/>
      <c r="I807" s="57"/>
      <c r="J807" s="65"/>
      <c r="K807" s="66"/>
      <c r="L807" s="132"/>
      <c r="M807" s="43">
        <f t="shared" si="201"/>
        <v>0</v>
      </c>
      <c r="N807" s="49">
        <f t="shared" si="202"/>
        <v>37.78</v>
      </c>
      <c r="O807" s="42">
        <f t="shared" si="203"/>
        <v>0</v>
      </c>
      <c r="P807" s="48">
        <f t="shared" ca="1" si="204"/>
        <v>46274.525928000003</v>
      </c>
      <c r="Q807" s="41">
        <f t="shared" ca="1" si="205"/>
        <v>46289.525928000003</v>
      </c>
      <c r="R807" s="41" t="b">
        <f t="shared" ca="1" si="196"/>
        <v>1</v>
      </c>
      <c r="S807" s="44">
        <f t="shared" ca="1" si="197"/>
        <v>15</v>
      </c>
      <c r="T807" s="74">
        <f t="shared" ca="1" si="198"/>
        <v>46304.525928000003</v>
      </c>
      <c r="U807" s="75" t="s">
        <v>83</v>
      </c>
      <c r="V807" s="76">
        <f t="shared" si="206"/>
        <v>37.78</v>
      </c>
      <c r="W807" s="77" t="str">
        <f t="shared" si="199"/>
        <v/>
      </c>
      <c r="Y807" s="51">
        <f t="shared" ca="1" si="208"/>
        <v>239</v>
      </c>
      <c r="Z807" s="52">
        <f t="shared" ca="1" si="207"/>
        <v>0.34520547945205482</v>
      </c>
      <c r="AB807" s="46">
        <f t="shared" si="209"/>
        <v>7.3407609317918876</v>
      </c>
      <c r="AC807" s="83" t="str">
        <f t="shared" si="200"/>
        <v/>
      </c>
      <c r="AE807" s="55"/>
      <c r="AF807" s="72"/>
      <c r="AG807" s="72"/>
      <c r="AH807" s="66"/>
    </row>
    <row r="808" spans="1:34" ht="16" hidden="1" thickBot="1" x14ac:dyDescent="0.25">
      <c r="A808" s="82"/>
      <c r="B808" s="62"/>
      <c r="C808" s="87"/>
      <c r="D808" s="62"/>
      <c r="F808" s="55"/>
      <c r="G808" s="56"/>
      <c r="H808" s="55"/>
      <c r="I808" s="57"/>
      <c r="J808" s="65"/>
      <c r="K808" s="66"/>
      <c r="L808" s="132"/>
      <c r="M808" s="43">
        <f t="shared" si="201"/>
        <v>0</v>
      </c>
      <c r="N808" s="49">
        <f t="shared" si="202"/>
        <v>37.78</v>
      </c>
      <c r="O808" s="42">
        <f t="shared" si="203"/>
        <v>0</v>
      </c>
      <c r="P808" s="48">
        <f t="shared" ca="1" si="204"/>
        <v>46274.525928000003</v>
      </c>
      <c r="Q808" s="41">
        <f t="shared" ca="1" si="205"/>
        <v>46289.525928000003</v>
      </c>
      <c r="R808" s="41" t="b">
        <f t="shared" ca="1" si="196"/>
        <v>1</v>
      </c>
      <c r="S808" s="44">
        <f t="shared" ca="1" si="197"/>
        <v>15</v>
      </c>
      <c r="T808" s="74">
        <f t="shared" ca="1" si="198"/>
        <v>46304.525928000003</v>
      </c>
      <c r="U808" s="75" t="s">
        <v>83</v>
      </c>
      <c r="V808" s="76">
        <f t="shared" si="206"/>
        <v>37.78</v>
      </c>
      <c r="W808" s="77" t="str">
        <f t="shared" si="199"/>
        <v/>
      </c>
      <c r="Y808" s="51">
        <f t="shared" ca="1" si="208"/>
        <v>239</v>
      </c>
      <c r="Z808" s="52">
        <f t="shared" ca="1" si="207"/>
        <v>0.34520547945205482</v>
      </c>
      <c r="AB808" s="46">
        <f t="shared" si="209"/>
        <v>7.3407609317918876</v>
      </c>
      <c r="AC808" s="83" t="str">
        <f t="shared" si="200"/>
        <v/>
      </c>
      <c r="AE808" s="55"/>
      <c r="AF808" s="72"/>
      <c r="AG808" s="72"/>
      <c r="AH808" s="66"/>
    </row>
    <row r="809" spans="1:34" ht="16" hidden="1" thickBot="1" x14ac:dyDescent="0.25">
      <c r="A809" s="82"/>
      <c r="B809" s="62"/>
      <c r="C809" s="87"/>
      <c r="D809" s="62"/>
      <c r="F809" s="55"/>
      <c r="G809" s="56"/>
      <c r="H809" s="55"/>
      <c r="I809" s="57"/>
      <c r="J809" s="65"/>
      <c r="K809" s="66"/>
      <c r="L809" s="132"/>
      <c r="M809" s="43">
        <f t="shared" si="201"/>
        <v>0</v>
      </c>
      <c r="N809" s="49">
        <f t="shared" si="202"/>
        <v>37.78</v>
      </c>
      <c r="O809" s="42">
        <f t="shared" si="203"/>
        <v>0</v>
      </c>
      <c r="P809" s="48">
        <f t="shared" ca="1" si="204"/>
        <v>46274.525928000003</v>
      </c>
      <c r="Q809" s="41">
        <f t="shared" ca="1" si="205"/>
        <v>46289.525928000003</v>
      </c>
      <c r="R809" s="41" t="b">
        <f t="shared" ca="1" si="196"/>
        <v>1</v>
      </c>
      <c r="S809" s="44">
        <f t="shared" ca="1" si="197"/>
        <v>15</v>
      </c>
      <c r="T809" s="74">
        <f t="shared" ca="1" si="198"/>
        <v>46304.525928000003</v>
      </c>
      <c r="U809" s="75" t="s">
        <v>83</v>
      </c>
      <c r="V809" s="76">
        <f t="shared" si="206"/>
        <v>37.78</v>
      </c>
      <c r="W809" s="77" t="str">
        <f t="shared" si="199"/>
        <v/>
      </c>
      <c r="Y809" s="51">
        <f t="shared" ca="1" si="208"/>
        <v>239</v>
      </c>
      <c r="Z809" s="52">
        <f t="shared" ca="1" si="207"/>
        <v>0.34520547945205482</v>
      </c>
      <c r="AB809" s="46">
        <f t="shared" si="209"/>
        <v>7.3407609317918876</v>
      </c>
      <c r="AC809" s="83" t="str">
        <f t="shared" si="200"/>
        <v/>
      </c>
      <c r="AE809" s="55"/>
      <c r="AF809" s="72"/>
      <c r="AG809" s="72"/>
      <c r="AH809" s="66"/>
    </row>
    <row r="810" spans="1:34" ht="16" hidden="1" thickBot="1" x14ac:dyDescent="0.25">
      <c r="A810" s="82"/>
      <c r="B810" s="62"/>
      <c r="C810" s="87"/>
      <c r="D810" s="62"/>
      <c r="F810" s="55"/>
      <c r="G810" s="56"/>
      <c r="H810" s="55"/>
      <c r="I810" s="57"/>
      <c r="J810" s="65"/>
      <c r="K810" s="66"/>
      <c r="L810" s="132"/>
      <c r="M810" s="43">
        <f t="shared" si="201"/>
        <v>0</v>
      </c>
      <c r="N810" s="49">
        <f t="shared" si="202"/>
        <v>37.78</v>
      </c>
      <c r="O810" s="42">
        <f t="shared" si="203"/>
        <v>0</v>
      </c>
      <c r="P810" s="48">
        <f t="shared" ca="1" si="204"/>
        <v>46274.525928000003</v>
      </c>
      <c r="Q810" s="41">
        <f t="shared" ca="1" si="205"/>
        <v>46289.525928000003</v>
      </c>
      <c r="R810" s="41" t="b">
        <f t="shared" ca="1" si="196"/>
        <v>1</v>
      </c>
      <c r="S810" s="44">
        <f t="shared" ca="1" si="197"/>
        <v>15</v>
      </c>
      <c r="T810" s="74">
        <f t="shared" ca="1" si="198"/>
        <v>46304.525928000003</v>
      </c>
      <c r="U810" s="75" t="s">
        <v>83</v>
      </c>
      <c r="V810" s="76">
        <f t="shared" si="206"/>
        <v>37.78</v>
      </c>
      <c r="W810" s="77" t="str">
        <f t="shared" si="199"/>
        <v/>
      </c>
      <c r="Y810" s="51">
        <f t="shared" ca="1" si="208"/>
        <v>239</v>
      </c>
      <c r="Z810" s="52">
        <f t="shared" ca="1" si="207"/>
        <v>0.34520547945205482</v>
      </c>
      <c r="AB810" s="46">
        <f t="shared" si="209"/>
        <v>7.3407609317918876</v>
      </c>
      <c r="AC810" s="83" t="str">
        <f t="shared" si="200"/>
        <v/>
      </c>
      <c r="AE810" s="55"/>
      <c r="AF810" s="72"/>
      <c r="AG810" s="72"/>
      <c r="AH810" s="66"/>
    </row>
    <row r="811" spans="1:34" ht="16" hidden="1" thickBot="1" x14ac:dyDescent="0.25">
      <c r="A811" s="82"/>
      <c r="B811" s="62"/>
      <c r="C811" s="87"/>
      <c r="D811" s="62"/>
      <c r="F811" s="55"/>
      <c r="G811" s="56"/>
      <c r="H811" s="55"/>
      <c r="I811" s="57"/>
      <c r="J811" s="65"/>
      <c r="K811" s="66"/>
      <c r="L811" s="132"/>
      <c r="M811" s="43">
        <f t="shared" si="201"/>
        <v>0</v>
      </c>
      <c r="N811" s="49">
        <f t="shared" si="202"/>
        <v>37.78</v>
      </c>
      <c r="O811" s="42">
        <f t="shared" si="203"/>
        <v>0</v>
      </c>
      <c r="P811" s="48">
        <f t="shared" ca="1" si="204"/>
        <v>46274.525928000003</v>
      </c>
      <c r="Q811" s="41">
        <f t="shared" ca="1" si="205"/>
        <v>46289.525928000003</v>
      </c>
      <c r="R811" s="41" t="b">
        <f t="shared" ca="1" si="196"/>
        <v>1</v>
      </c>
      <c r="S811" s="44">
        <f t="shared" ca="1" si="197"/>
        <v>15</v>
      </c>
      <c r="T811" s="74">
        <f t="shared" ca="1" si="198"/>
        <v>46304.525928000003</v>
      </c>
      <c r="U811" s="75" t="s">
        <v>83</v>
      </c>
      <c r="V811" s="76">
        <f t="shared" si="206"/>
        <v>37.78</v>
      </c>
      <c r="W811" s="77" t="str">
        <f t="shared" si="199"/>
        <v/>
      </c>
      <c r="Y811" s="51">
        <f t="shared" ca="1" si="208"/>
        <v>239</v>
      </c>
      <c r="Z811" s="52">
        <f t="shared" ca="1" si="207"/>
        <v>0.34520547945205482</v>
      </c>
      <c r="AB811" s="46">
        <f t="shared" si="209"/>
        <v>7.3407609317918876</v>
      </c>
      <c r="AC811" s="83" t="str">
        <f t="shared" si="200"/>
        <v/>
      </c>
      <c r="AE811" s="55"/>
      <c r="AF811" s="72"/>
      <c r="AG811" s="72"/>
      <c r="AH811" s="66"/>
    </row>
    <row r="812" spans="1:34" ht="16" hidden="1" thickBot="1" x14ac:dyDescent="0.25">
      <c r="A812" s="82"/>
      <c r="B812" s="62"/>
      <c r="C812" s="87"/>
      <c r="D812" s="62"/>
      <c r="F812" s="55"/>
      <c r="G812" s="56"/>
      <c r="H812" s="55"/>
      <c r="I812" s="57"/>
      <c r="J812" s="65"/>
      <c r="K812" s="66"/>
      <c r="L812" s="132"/>
      <c r="M812" s="43">
        <f t="shared" si="201"/>
        <v>0</v>
      </c>
      <c r="N812" s="49">
        <f t="shared" si="202"/>
        <v>37.78</v>
      </c>
      <c r="O812" s="42">
        <f t="shared" si="203"/>
        <v>0</v>
      </c>
      <c r="P812" s="48">
        <f t="shared" ca="1" si="204"/>
        <v>46274.525928000003</v>
      </c>
      <c r="Q812" s="41">
        <f t="shared" ca="1" si="205"/>
        <v>46289.525928000003</v>
      </c>
      <c r="R812" s="41" t="b">
        <f t="shared" ca="1" si="196"/>
        <v>1</v>
      </c>
      <c r="S812" s="44">
        <f t="shared" ca="1" si="197"/>
        <v>15</v>
      </c>
      <c r="T812" s="74">
        <f t="shared" ca="1" si="198"/>
        <v>46304.525928000003</v>
      </c>
      <c r="U812" s="75" t="s">
        <v>83</v>
      </c>
      <c r="V812" s="76">
        <f t="shared" si="206"/>
        <v>37.78</v>
      </c>
      <c r="W812" s="77" t="str">
        <f t="shared" si="199"/>
        <v/>
      </c>
      <c r="Y812" s="51">
        <f t="shared" ca="1" si="208"/>
        <v>239</v>
      </c>
      <c r="Z812" s="52">
        <f t="shared" ca="1" si="207"/>
        <v>0.34520547945205482</v>
      </c>
      <c r="AB812" s="46">
        <f t="shared" si="209"/>
        <v>7.3407609317918876</v>
      </c>
      <c r="AC812" s="83" t="str">
        <f t="shared" si="200"/>
        <v/>
      </c>
      <c r="AE812" s="55"/>
      <c r="AF812" s="72"/>
      <c r="AG812" s="72"/>
      <c r="AH812" s="66"/>
    </row>
    <row r="813" spans="1:34" ht="16" hidden="1" thickBot="1" x14ac:dyDescent="0.25">
      <c r="A813" s="82"/>
      <c r="B813" s="62"/>
      <c r="C813" s="87"/>
      <c r="D813" s="62"/>
      <c r="F813" s="55"/>
      <c r="G813" s="56"/>
      <c r="H813" s="55"/>
      <c r="I813" s="57"/>
      <c r="J813" s="65"/>
      <c r="K813" s="66"/>
      <c r="L813" s="132"/>
      <c r="M813" s="43">
        <f t="shared" si="201"/>
        <v>0</v>
      </c>
      <c r="N813" s="49">
        <f t="shared" si="202"/>
        <v>37.78</v>
      </c>
      <c r="O813" s="42">
        <f t="shared" si="203"/>
        <v>0</v>
      </c>
      <c r="P813" s="48">
        <f t="shared" ca="1" si="204"/>
        <v>46274.525928000003</v>
      </c>
      <c r="Q813" s="41">
        <f t="shared" ca="1" si="205"/>
        <v>46289.525928000003</v>
      </c>
      <c r="R813" s="41" t="b">
        <f t="shared" ca="1" si="196"/>
        <v>1</v>
      </c>
      <c r="S813" s="44">
        <f t="shared" ca="1" si="197"/>
        <v>15</v>
      </c>
      <c r="T813" s="74">
        <f t="shared" ca="1" si="198"/>
        <v>46304.525928000003</v>
      </c>
      <c r="U813" s="75" t="s">
        <v>83</v>
      </c>
      <c r="V813" s="76">
        <f t="shared" si="206"/>
        <v>37.78</v>
      </c>
      <c r="W813" s="77" t="str">
        <f t="shared" si="199"/>
        <v/>
      </c>
      <c r="Y813" s="51">
        <f t="shared" ca="1" si="208"/>
        <v>239</v>
      </c>
      <c r="Z813" s="52">
        <f t="shared" ca="1" si="207"/>
        <v>0.34520547945205482</v>
      </c>
      <c r="AB813" s="46">
        <f t="shared" si="209"/>
        <v>7.3407609317918876</v>
      </c>
      <c r="AC813" s="83" t="str">
        <f t="shared" si="200"/>
        <v/>
      </c>
      <c r="AE813" s="55"/>
      <c r="AF813" s="72"/>
      <c r="AG813" s="72"/>
      <c r="AH813" s="66"/>
    </row>
    <row r="814" spans="1:34" ht="16" hidden="1" thickBot="1" x14ac:dyDescent="0.25">
      <c r="A814" s="82"/>
      <c r="B814" s="62"/>
      <c r="C814" s="87"/>
      <c r="D814" s="62"/>
      <c r="F814" s="55"/>
      <c r="G814" s="56"/>
      <c r="H814" s="55"/>
      <c r="I814" s="57"/>
      <c r="J814" s="65"/>
      <c r="K814" s="66"/>
      <c r="L814" s="132"/>
      <c r="M814" s="43">
        <f t="shared" si="201"/>
        <v>0</v>
      </c>
      <c r="N814" s="49">
        <f t="shared" si="202"/>
        <v>37.78</v>
      </c>
      <c r="O814" s="42">
        <f t="shared" si="203"/>
        <v>0</v>
      </c>
      <c r="P814" s="48">
        <f t="shared" ca="1" si="204"/>
        <v>46274.525928000003</v>
      </c>
      <c r="Q814" s="41">
        <f t="shared" ca="1" si="205"/>
        <v>46289.525928000003</v>
      </c>
      <c r="R814" s="41" t="b">
        <f t="shared" ca="1" si="196"/>
        <v>1</v>
      </c>
      <c r="S814" s="44">
        <f t="shared" ca="1" si="197"/>
        <v>15</v>
      </c>
      <c r="T814" s="74">
        <f t="shared" ca="1" si="198"/>
        <v>46304.525928000003</v>
      </c>
      <c r="U814" s="75" t="s">
        <v>83</v>
      </c>
      <c r="V814" s="76">
        <f t="shared" si="206"/>
        <v>37.78</v>
      </c>
      <c r="W814" s="77" t="str">
        <f t="shared" si="199"/>
        <v/>
      </c>
      <c r="Y814" s="51">
        <f t="shared" ca="1" si="208"/>
        <v>239</v>
      </c>
      <c r="Z814" s="52">
        <f t="shared" ca="1" si="207"/>
        <v>0.34520547945205482</v>
      </c>
      <c r="AB814" s="46">
        <f t="shared" si="209"/>
        <v>7.3407609317918876</v>
      </c>
      <c r="AC814" s="83" t="str">
        <f t="shared" si="200"/>
        <v/>
      </c>
      <c r="AE814" s="55"/>
      <c r="AF814" s="72"/>
      <c r="AG814" s="72"/>
      <c r="AH814" s="66"/>
    </row>
    <row r="815" spans="1:34" ht="16" hidden="1" thickBot="1" x14ac:dyDescent="0.25">
      <c r="A815" s="82"/>
      <c r="B815" s="62"/>
      <c r="C815" s="87"/>
      <c r="D815" s="62"/>
      <c r="F815" s="55"/>
      <c r="G815" s="56"/>
      <c r="H815" s="55"/>
      <c r="I815" s="57"/>
      <c r="J815" s="65"/>
      <c r="K815" s="66"/>
      <c r="L815" s="132"/>
      <c r="M815" s="43">
        <f t="shared" si="201"/>
        <v>0</v>
      </c>
      <c r="N815" s="49">
        <f t="shared" si="202"/>
        <v>37.78</v>
      </c>
      <c r="O815" s="42">
        <f t="shared" si="203"/>
        <v>0</v>
      </c>
      <c r="P815" s="48">
        <f t="shared" ca="1" si="204"/>
        <v>46274.525928000003</v>
      </c>
      <c r="Q815" s="41">
        <f t="shared" ca="1" si="205"/>
        <v>46289.525928000003</v>
      </c>
      <c r="R815" s="41" t="b">
        <f t="shared" ca="1" si="196"/>
        <v>1</v>
      </c>
      <c r="S815" s="44">
        <f t="shared" ca="1" si="197"/>
        <v>15</v>
      </c>
      <c r="T815" s="74">
        <f t="shared" ca="1" si="198"/>
        <v>46304.525928000003</v>
      </c>
      <c r="U815" s="75" t="s">
        <v>83</v>
      </c>
      <c r="V815" s="76">
        <f t="shared" si="206"/>
        <v>37.78</v>
      </c>
      <c r="W815" s="77" t="str">
        <f t="shared" si="199"/>
        <v/>
      </c>
      <c r="Y815" s="51">
        <f t="shared" ca="1" si="208"/>
        <v>239</v>
      </c>
      <c r="Z815" s="52">
        <f t="shared" ca="1" si="207"/>
        <v>0.34520547945205482</v>
      </c>
      <c r="AB815" s="46">
        <f t="shared" si="209"/>
        <v>7.3407609317918876</v>
      </c>
      <c r="AC815" s="83" t="str">
        <f t="shared" si="200"/>
        <v/>
      </c>
      <c r="AE815" s="55"/>
      <c r="AF815" s="72"/>
      <c r="AG815" s="72"/>
      <c r="AH815" s="66"/>
    </row>
    <row r="816" spans="1:34" ht="16" hidden="1" thickBot="1" x14ac:dyDescent="0.25">
      <c r="A816" s="82"/>
      <c r="B816" s="62"/>
      <c r="C816" s="87"/>
      <c r="D816" s="62"/>
      <c r="F816" s="55"/>
      <c r="G816" s="56"/>
      <c r="H816" s="55"/>
      <c r="I816" s="57"/>
      <c r="J816" s="65"/>
      <c r="K816" s="66"/>
      <c r="L816" s="132"/>
      <c r="M816" s="43">
        <f t="shared" si="201"/>
        <v>0</v>
      </c>
      <c r="N816" s="49">
        <f t="shared" si="202"/>
        <v>37.78</v>
      </c>
      <c r="O816" s="42">
        <f t="shared" si="203"/>
        <v>0</v>
      </c>
      <c r="P816" s="48">
        <f t="shared" ca="1" si="204"/>
        <v>46274.525928000003</v>
      </c>
      <c r="Q816" s="41">
        <f t="shared" ca="1" si="205"/>
        <v>46289.525928000003</v>
      </c>
      <c r="R816" s="41" t="b">
        <f t="shared" ca="1" si="196"/>
        <v>1</v>
      </c>
      <c r="S816" s="44">
        <f t="shared" ca="1" si="197"/>
        <v>15</v>
      </c>
      <c r="T816" s="74">
        <f t="shared" ca="1" si="198"/>
        <v>46304.525928000003</v>
      </c>
      <c r="U816" s="75" t="s">
        <v>83</v>
      </c>
      <c r="V816" s="76">
        <f t="shared" si="206"/>
        <v>37.78</v>
      </c>
      <c r="W816" s="77" t="str">
        <f t="shared" si="199"/>
        <v/>
      </c>
      <c r="Y816" s="51">
        <f t="shared" ca="1" si="208"/>
        <v>239</v>
      </c>
      <c r="Z816" s="52">
        <f t="shared" ca="1" si="207"/>
        <v>0.34520547945205482</v>
      </c>
      <c r="AB816" s="46">
        <f t="shared" si="209"/>
        <v>7.3407609317918876</v>
      </c>
      <c r="AC816" s="83" t="str">
        <f t="shared" si="200"/>
        <v/>
      </c>
      <c r="AE816" s="55"/>
      <c r="AF816" s="72"/>
      <c r="AG816" s="72"/>
      <c r="AH816" s="66"/>
    </row>
    <row r="817" spans="1:34" ht="16" hidden="1" thickBot="1" x14ac:dyDescent="0.25">
      <c r="A817" s="82"/>
      <c r="B817" s="62"/>
      <c r="C817" s="87"/>
      <c r="D817" s="62"/>
      <c r="F817" s="55"/>
      <c r="G817" s="56"/>
      <c r="H817" s="55"/>
      <c r="I817" s="57"/>
      <c r="J817" s="65"/>
      <c r="K817" s="66"/>
      <c r="L817" s="132"/>
      <c r="M817" s="43">
        <f t="shared" si="201"/>
        <v>0</v>
      </c>
      <c r="N817" s="49">
        <f t="shared" si="202"/>
        <v>37.78</v>
      </c>
      <c r="O817" s="42">
        <f t="shared" si="203"/>
        <v>0</v>
      </c>
      <c r="P817" s="48">
        <f t="shared" ca="1" si="204"/>
        <v>46274.525928000003</v>
      </c>
      <c r="Q817" s="41">
        <f t="shared" ca="1" si="205"/>
        <v>46289.525928000003</v>
      </c>
      <c r="R817" s="41" t="b">
        <f t="shared" ca="1" si="196"/>
        <v>1</v>
      </c>
      <c r="S817" s="44">
        <f t="shared" ca="1" si="197"/>
        <v>15</v>
      </c>
      <c r="T817" s="74">
        <f t="shared" ca="1" si="198"/>
        <v>46304.525928000003</v>
      </c>
      <c r="U817" s="75" t="s">
        <v>83</v>
      </c>
      <c r="V817" s="76">
        <f t="shared" si="206"/>
        <v>37.78</v>
      </c>
      <c r="W817" s="77" t="str">
        <f t="shared" si="199"/>
        <v/>
      </c>
      <c r="Y817" s="51">
        <f t="shared" ca="1" si="208"/>
        <v>239</v>
      </c>
      <c r="Z817" s="52">
        <f t="shared" ca="1" si="207"/>
        <v>0.34520547945205482</v>
      </c>
      <c r="AB817" s="46">
        <f t="shared" si="209"/>
        <v>7.3407609317918876</v>
      </c>
      <c r="AC817" s="83" t="str">
        <f t="shared" si="200"/>
        <v/>
      </c>
      <c r="AE817" s="55"/>
      <c r="AF817" s="72"/>
      <c r="AG817" s="72"/>
      <c r="AH817" s="66"/>
    </row>
    <row r="818" spans="1:34" ht="16" hidden="1" thickBot="1" x14ac:dyDescent="0.25">
      <c r="A818" s="82"/>
      <c r="B818" s="62"/>
      <c r="C818" s="87"/>
      <c r="D818" s="62"/>
      <c r="F818" s="55"/>
      <c r="G818" s="56"/>
      <c r="H818" s="55"/>
      <c r="I818" s="57"/>
      <c r="J818" s="65"/>
      <c r="K818" s="66"/>
      <c r="L818" s="132"/>
      <c r="M818" s="43">
        <f t="shared" si="201"/>
        <v>0</v>
      </c>
      <c r="N818" s="49">
        <f t="shared" si="202"/>
        <v>37.78</v>
      </c>
      <c r="O818" s="42">
        <f t="shared" si="203"/>
        <v>0</v>
      </c>
      <c r="P818" s="48">
        <f t="shared" ca="1" si="204"/>
        <v>46274.525928000003</v>
      </c>
      <c r="Q818" s="41">
        <f t="shared" ca="1" si="205"/>
        <v>46289.525928000003</v>
      </c>
      <c r="R818" s="41" t="b">
        <f t="shared" ca="1" si="196"/>
        <v>1</v>
      </c>
      <c r="S818" s="44">
        <f t="shared" ca="1" si="197"/>
        <v>15</v>
      </c>
      <c r="T818" s="74">
        <f t="shared" ca="1" si="198"/>
        <v>46304.525928000003</v>
      </c>
      <c r="U818" s="75" t="s">
        <v>83</v>
      </c>
      <c r="V818" s="76">
        <f t="shared" si="206"/>
        <v>37.78</v>
      </c>
      <c r="W818" s="77" t="str">
        <f t="shared" si="199"/>
        <v/>
      </c>
      <c r="Y818" s="51">
        <f t="shared" ca="1" si="208"/>
        <v>239</v>
      </c>
      <c r="Z818" s="52">
        <f t="shared" ca="1" si="207"/>
        <v>0.34520547945205482</v>
      </c>
      <c r="AB818" s="46">
        <f t="shared" si="209"/>
        <v>7.3407609317918876</v>
      </c>
      <c r="AC818" s="83" t="str">
        <f t="shared" si="200"/>
        <v/>
      </c>
      <c r="AE818" s="55"/>
      <c r="AF818" s="72"/>
      <c r="AG818" s="72"/>
      <c r="AH818" s="66"/>
    </row>
    <row r="819" spans="1:34" ht="16" hidden="1" thickBot="1" x14ac:dyDescent="0.25">
      <c r="A819" s="82"/>
      <c r="B819" s="62"/>
      <c r="C819" s="87"/>
      <c r="D819" s="62"/>
      <c r="F819" s="55"/>
      <c r="G819" s="56"/>
      <c r="H819" s="55"/>
      <c r="I819" s="57"/>
      <c r="J819" s="65"/>
      <c r="K819" s="66"/>
      <c r="L819" s="132"/>
      <c r="M819" s="43">
        <f t="shared" si="201"/>
        <v>0</v>
      </c>
      <c r="N819" s="49">
        <f t="shared" si="202"/>
        <v>37.78</v>
      </c>
      <c r="O819" s="42">
        <f t="shared" si="203"/>
        <v>0</v>
      </c>
      <c r="P819" s="48">
        <f t="shared" ca="1" si="204"/>
        <v>46274.525928000003</v>
      </c>
      <c r="Q819" s="41">
        <f t="shared" ca="1" si="205"/>
        <v>46289.525928000003</v>
      </c>
      <c r="R819" s="41" t="b">
        <f t="shared" ca="1" si="196"/>
        <v>1</v>
      </c>
      <c r="S819" s="44">
        <f t="shared" ca="1" si="197"/>
        <v>15</v>
      </c>
      <c r="T819" s="74">
        <f t="shared" ca="1" si="198"/>
        <v>46304.525928000003</v>
      </c>
      <c r="U819" s="75" t="s">
        <v>83</v>
      </c>
      <c r="V819" s="76">
        <f t="shared" si="206"/>
        <v>37.78</v>
      </c>
      <c r="W819" s="77" t="str">
        <f t="shared" si="199"/>
        <v/>
      </c>
      <c r="Y819" s="51">
        <f t="shared" ca="1" si="208"/>
        <v>239</v>
      </c>
      <c r="Z819" s="52">
        <f t="shared" ca="1" si="207"/>
        <v>0.34520547945205482</v>
      </c>
      <c r="AB819" s="46">
        <f t="shared" si="209"/>
        <v>7.3407609317918876</v>
      </c>
      <c r="AC819" s="83" t="str">
        <f t="shared" si="200"/>
        <v/>
      </c>
      <c r="AE819" s="55"/>
      <c r="AF819" s="72"/>
      <c r="AG819" s="72"/>
      <c r="AH819" s="66"/>
    </row>
    <row r="820" spans="1:34" ht="16" hidden="1" thickBot="1" x14ac:dyDescent="0.25">
      <c r="A820" s="82"/>
      <c r="B820" s="62"/>
      <c r="C820" s="87"/>
      <c r="D820" s="62"/>
      <c r="F820" s="55"/>
      <c r="G820" s="56"/>
      <c r="H820" s="55"/>
      <c r="I820" s="57"/>
      <c r="J820" s="65"/>
      <c r="K820" s="66"/>
      <c r="L820" s="132"/>
      <c r="M820" s="43">
        <f t="shared" si="201"/>
        <v>0</v>
      </c>
      <c r="N820" s="49">
        <f t="shared" si="202"/>
        <v>37.78</v>
      </c>
      <c r="O820" s="42">
        <f t="shared" si="203"/>
        <v>0</v>
      </c>
      <c r="P820" s="48">
        <f t="shared" ca="1" si="204"/>
        <v>46274.525928000003</v>
      </c>
      <c r="Q820" s="41">
        <f t="shared" ca="1" si="205"/>
        <v>46289.525928000003</v>
      </c>
      <c r="R820" s="41" t="b">
        <f t="shared" ca="1" si="196"/>
        <v>1</v>
      </c>
      <c r="S820" s="44">
        <f t="shared" ca="1" si="197"/>
        <v>15</v>
      </c>
      <c r="T820" s="74">
        <f t="shared" ca="1" si="198"/>
        <v>46304.525928000003</v>
      </c>
      <c r="U820" s="75" t="s">
        <v>83</v>
      </c>
      <c r="V820" s="76">
        <f t="shared" si="206"/>
        <v>37.78</v>
      </c>
      <c r="W820" s="77" t="str">
        <f t="shared" si="199"/>
        <v/>
      </c>
      <c r="Y820" s="51">
        <f t="shared" ca="1" si="208"/>
        <v>239</v>
      </c>
      <c r="Z820" s="52">
        <f t="shared" ca="1" si="207"/>
        <v>0.34520547945205482</v>
      </c>
      <c r="AB820" s="46">
        <f t="shared" si="209"/>
        <v>7.3407609317918876</v>
      </c>
      <c r="AC820" s="83" t="str">
        <f t="shared" si="200"/>
        <v/>
      </c>
      <c r="AE820" s="55"/>
      <c r="AF820" s="72"/>
      <c r="AG820" s="72"/>
      <c r="AH820" s="66"/>
    </row>
    <row r="821" spans="1:34" ht="16" hidden="1" thickBot="1" x14ac:dyDescent="0.25">
      <c r="A821" s="82"/>
      <c r="B821" s="62"/>
      <c r="C821" s="87"/>
      <c r="D821" s="62"/>
      <c r="F821" s="55"/>
      <c r="G821" s="56"/>
      <c r="H821" s="55"/>
      <c r="I821" s="57"/>
      <c r="J821" s="65"/>
      <c r="K821" s="66"/>
      <c r="L821" s="132"/>
      <c r="M821" s="43">
        <f t="shared" si="201"/>
        <v>0</v>
      </c>
      <c r="N821" s="49">
        <f t="shared" si="202"/>
        <v>37.78</v>
      </c>
      <c r="O821" s="42">
        <f t="shared" si="203"/>
        <v>0</v>
      </c>
      <c r="P821" s="48">
        <f t="shared" ca="1" si="204"/>
        <v>46274.525928000003</v>
      </c>
      <c r="Q821" s="41">
        <f t="shared" ca="1" si="205"/>
        <v>46289.525928000003</v>
      </c>
      <c r="R821" s="41" t="b">
        <f t="shared" ca="1" si="196"/>
        <v>1</v>
      </c>
      <c r="S821" s="44">
        <f t="shared" ca="1" si="197"/>
        <v>15</v>
      </c>
      <c r="T821" s="74">
        <f t="shared" ca="1" si="198"/>
        <v>46304.525928000003</v>
      </c>
      <c r="U821" s="75" t="s">
        <v>83</v>
      </c>
      <c r="V821" s="76">
        <f t="shared" si="206"/>
        <v>37.78</v>
      </c>
      <c r="W821" s="77" t="str">
        <f t="shared" si="199"/>
        <v/>
      </c>
      <c r="Y821" s="51">
        <f t="shared" ca="1" si="208"/>
        <v>239</v>
      </c>
      <c r="Z821" s="52">
        <f t="shared" ca="1" si="207"/>
        <v>0.34520547945205482</v>
      </c>
      <c r="AB821" s="46">
        <f t="shared" si="209"/>
        <v>7.3407609317918876</v>
      </c>
      <c r="AC821" s="83" t="str">
        <f t="shared" si="200"/>
        <v/>
      </c>
      <c r="AE821" s="55"/>
      <c r="AF821" s="72"/>
      <c r="AG821" s="72"/>
      <c r="AH821" s="66"/>
    </row>
    <row r="822" spans="1:34" ht="16" hidden="1" thickBot="1" x14ac:dyDescent="0.25">
      <c r="A822" s="82"/>
      <c r="B822" s="62"/>
      <c r="C822" s="87"/>
      <c r="D822" s="62"/>
      <c r="F822" s="55"/>
      <c r="G822" s="56"/>
      <c r="H822" s="55"/>
      <c r="I822" s="57"/>
      <c r="J822" s="65"/>
      <c r="K822" s="66"/>
      <c r="L822" s="132"/>
      <c r="M822" s="43">
        <f t="shared" si="201"/>
        <v>0</v>
      </c>
      <c r="N822" s="49">
        <f t="shared" si="202"/>
        <v>37.78</v>
      </c>
      <c r="O822" s="42">
        <f t="shared" si="203"/>
        <v>0</v>
      </c>
      <c r="P822" s="48">
        <f t="shared" ca="1" si="204"/>
        <v>46274.525928000003</v>
      </c>
      <c r="Q822" s="41">
        <f t="shared" ca="1" si="205"/>
        <v>46289.525928000003</v>
      </c>
      <c r="R822" s="41" t="b">
        <f t="shared" ca="1" si="196"/>
        <v>1</v>
      </c>
      <c r="S822" s="44">
        <f t="shared" ca="1" si="197"/>
        <v>15</v>
      </c>
      <c r="T822" s="74">
        <f t="shared" ca="1" si="198"/>
        <v>46304.525928000003</v>
      </c>
      <c r="U822" s="75" t="s">
        <v>83</v>
      </c>
      <c r="V822" s="76">
        <f t="shared" si="206"/>
        <v>37.78</v>
      </c>
      <c r="W822" s="77" t="str">
        <f t="shared" si="199"/>
        <v/>
      </c>
      <c r="Y822" s="51">
        <f t="shared" ca="1" si="208"/>
        <v>239</v>
      </c>
      <c r="Z822" s="52">
        <f t="shared" ca="1" si="207"/>
        <v>0.34520547945205482</v>
      </c>
      <c r="AB822" s="46">
        <f t="shared" si="209"/>
        <v>7.3407609317918876</v>
      </c>
      <c r="AC822" s="83" t="str">
        <f t="shared" si="200"/>
        <v/>
      </c>
      <c r="AE822" s="55"/>
      <c r="AF822" s="72"/>
      <c r="AG822" s="72"/>
      <c r="AH822" s="66"/>
    </row>
    <row r="823" spans="1:34" ht="16" hidden="1" thickBot="1" x14ac:dyDescent="0.25">
      <c r="A823" s="82"/>
      <c r="B823" s="62"/>
      <c r="C823" s="87"/>
      <c r="D823" s="62"/>
      <c r="F823" s="55"/>
      <c r="G823" s="56"/>
      <c r="H823" s="55"/>
      <c r="I823" s="57"/>
      <c r="J823" s="65"/>
      <c r="K823" s="66"/>
      <c r="L823" s="132"/>
      <c r="M823" s="43">
        <f t="shared" si="201"/>
        <v>0</v>
      </c>
      <c r="N823" s="49">
        <f t="shared" si="202"/>
        <v>37.78</v>
      </c>
      <c r="O823" s="42">
        <f t="shared" si="203"/>
        <v>0</v>
      </c>
      <c r="P823" s="48">
        <f t="shared" ca="1" si="204"/>
        <v>46274.525928000003</v>
      </c>
      <c r="Q823" s="41">
        <f t="shared" ca="1" si="205"/>
        <v>46289.525928000003</v>
      </c>
      <c r="R823" s="41" t="b">
        <f t="shared" ca="1" si="196"/>
        <v>1</v>
      </c>
      <c r="S823" s="44">
        <f t="shared" ca="1" si="197"/>
        <v>15</v>
      </c>
      <c r="T823" s="74">
        <f t="shared" ca="1" si="198"/>
        <v>46304.525928000003</v>
      </c>
      <c r="U823" s="75" t="s">
        <v>83</v>
      </c>
      <c r="V823" s="76">
        <f t="shared" si="206"/>
        <v>37.78</v>
      </c>
      <c r="W823" s="77" t="str">
        <f t="shared" si="199"/>
        <v/>
      </c>
      <c r="Y823" s="51">
        <f t="shared" ca="1" si="208"/>
        <v>239</v>
      </c>
      <c r="Z823" s="52">
        <f t="shared" ca="1" si="207"/>
        <v>0.34520547945205482</v>
      </c>
      <c r="AB823" s="46">
        <f t="shared" si="209"/>
        <v>7.3407609317918876</v>
      </c>
      <c r="AC823" s="83" t="str">
        <f t="shared" si="200"/>
        <v/>
      </c>
      <c r="AE823" s="55"/>
      <c r="AF823" s="72"/>
      <c r="AG823" s="72"/>
      <c r="AH823" s="66"/>
    </row>
    <row r="824" spans="1:34" ht="16" hidden="1" thickBot="1" x14ac:dyDescent="0.25">
      <c r="A824" s="82"/>
      <c r="B824" s="62"/>
      <c r="C824" s="87"/>
      <c r="D824" s="62"/>
      <c r="F824" s="55"/>
      <c r="G824" s="56"/>
      <c r="H824" s="55"/>
      <c r="I824" s="57"/>
      <c r="J824" s="65"/>
      <c r="K824" s="66"/>
      <c r="L824" s="132"/>
      <c r="M824" s="43">
        <f t="shared" si="201"/>
        <v>0</v>
      </c>
      <c r="N824" s="49">
        <f t="shared" si="202"/>
        <v>37.78</v>
      </c>
      <c r="O824" s="42">
        <f t="shared" si="203"/>
        <v>0</v>
      </c>
      <c r="P824" s="48">
        <f t="shared" ca="1" si="204"/>
        <v>46274.525928000003</v>
      </c>
      <c r="Q824" s="41">
        <f t="shared" ca="1" si="205"/>
        <v>46289.525928000003</v>
      </c>
      <c r="R824" s="41" t="b">
        <f t="shared" ca="1" si="196"/>
        <v>1</v>
      </c>
      <c r="S824" s="44">
        <f t="shared" ca="1" si="197"/>
        <v>15</v>
      </c>
      <c r="T824" s="74">
        <f t="shared" ca="1" si="198"/>
        <v>46304.525928000003</v>
      </c>
      <c r="U824" s="75" t="s">
        <v>83</v>
      </c>
      <c r="V824" s="76">
        <f t="shared" si="206"/>
        <v>37.78</v>
      </c>
      <c r="W824" s="77" t="str">
        <f t="shared" si="199"/>
        <v/>
      </c>
      <c r="Y824" s="51">
        <f t="shared" ca="1" si="208"/>
        <v>239</v>
      </c>
      <c r="Z824" s="52">
        <f t="shared" ca="1" si="207"/>
        <v>0.34520547945205482</v>
      </c>
      <c r="AB824" s="46">
        <f t="shared" si="209"/>
        <v>7.3407609317918876</v>
      </c>
      <c r="AC824" s="83" t="str">
        <f t="shared" si="200"/>
        <v/>
      </c>
      <c r="AE824" s="55"/>
      <c r="AF824" s="72"/>
      <c r="AG824" s="72"/>
      <c r="AH824" s="66"/>
    </row>
    <row r="825" spans="1:34" ht="16" hidden="1" thickBot="1" x14ac:dyDescent="0.25">
      <c r="A825" s="82"/>
      <c r="B825" s="62"/>
      <c r="C825" s="87"/>
      <c r="D825" s="62"/>
      <c r="F825" s="55"/>
      <c r="G825" s="56"/>
      <c r="H825" s="55"/>
      <c r="I825" s="57"/>
      <c r="J825" s="65"/>
      <c r="K825" s="66"/>
      <c r="L825" s="132"/>
      <c r="M825" s="43">
        <f t="shared" si="201"/>
        <v>0</v>
      </c>
      <c r="N825" s="49">
        <f t="shared" si="202"/>
        <v>37.78</v>
      </c>
      <c r="O825" s="42">
        <f t="shared" si="203"/>
        <v>0</v>
      </c>
      <c r="P825" s="48">
        <f t="shared" ca="1" si="204"/>
        <v>46274.525928000003</v>
      </c>
      <c r="Q825" s="41">
        <f t="shared" ca="1" si="205"/>
        <v>46289.525928000003</v>
      </c>
      <c r="R825" s="41" t="b">
        <f t="shared" ca="1" si="196"/>
        <v>1</v>
      </c>
      <c r="S825" s="44">
        <f t="shared" ca="1" si="197"/>
        <v>15</v>
      </c>
      <c r="T825" s="74">
        <f t="shared" ca="1" si="198"/>
        <v>46304.525928000003</v>
      </c>
      <c r="U825" s="75" t="s">
        <v>83</v>
      </c>
      <c r="V825" s="76">
        <f t="shared" si="206"/>
        <v>37.78</v>
      </c>
      <c r="W825" s="77" t="str">
        <f t="shared" si="199"/>
        <v/>
      </c>
      <c r="Y825" s="51">
        <f t="shared" ca="1" si="208"/>
        <v>239</v>
      </c>
      <c r="Z825" s="52">
        <f t="shared" ca="1" si="207"/>
        <v>0.34520547945205482</v>
      </c>
      <c r="AB825" s="46">
        <f t="shared" si="209"/>
        <v>7.3407609317918876</v>
      </c>
      <c r="AC825" s="83" t="str">
        <f t="shared" si="200"/>
        <v/>
      </c>
      <c r="AE825" s="55"/>
      <c r="AF825" s="72"/>
      <c r="AG825" s="72"/>
      <c r="AH825" s="66"/>
    </row>
    <row r="826" spans="1:34" ht="16" hidden="1" thickBot="1" x14ac:dyDescent="0.25">
      <c r="A826" s="82"/>
      <c r="B826" s="62"/>
      <c r="C826" s="87"/>
      <c r="D826" s="62"/>
      <c r="F826" s="55"/>
      <c r="G826" s="56"/>
      <c r="H826" s="55"/>
      <c r="I826" s="57"/>
      <c r="J826" s="65"/>
      <c r="K826" s="66"/>
      <c r="L826" s="132"/>
      <c r="M826" s="43">
        <f t="shared" si="201"/>
        <v>0</v>
      </c>
      <c r="N826" s="49">
        <f t="shared" si="202"/>
        <v>37.78</v>
      </c>
      <c r="O826" s="42">
        <f t="shared" si="203"/>
        <v>0</v>
      </c>
      <c r="P826" s="48">
        <f t="shared" ca="1" si="204"/>
        <v>46274.525928000003</v>
      </c>
      <c r="Q826" s="41">
        <f t="shared" ca="1" si="205"/>
        <v>46289.525928000003</v>
      </c>
      <c r="R826" s="41" t="b">
        <f t="shared" ca="1" si="196"/>
        <v>1</v>
      </c>
      <c r="S826" s="44">
        <f t="shared" ca="1" si="197"/>
        <v>15</v>
      </c>
      <c r="T826" s="74">
        <f t="shared" ca="1" si="198"/>
        <v>46304.525928000003</v>
      </c>
      <c r="U826" s="75" t="s">
        <v>83</v>
      </c>
      <c r="V826" s="76">
        <f t="shared" si="206"/>
        <v>37.78</v>
      </c>
      <c r="W826" s="77" t="str">
        <f t="shared" si="199"/>
        <v/>
      </c>
      <c r="Y826" s="51">
        <f t="shared" ca="1" si="208"/>
        <v>239</v>
      </c>
      <c r="Z826" s="52">
        <f t="shared" ca="1" si="207"/>
        <v>0.34520547945205482</v>
      </c>
      <c r="AB826" s="46">
        <f t="shared" si="209"/>
        <v>7.3407609317918876</v>
      </c>
      <c r="AC826" s="83" t="str">
        <f t="shared" si="200"/>
        <v/>
      </c>
      <c r="AE826" s="55"/>
      <c r="AF826" s="72"/>
      <c r="AG826" s="72"/>
      <c r="AH826" s="66"/>
    </row>
    <row r="827" spans="1:34" ht="16" hidden="1" thickBot="1" x14ac:dyDescent="0.25">
      <c r="A827" s="82"/>
      <c r="B827" s="62"/>
      <c r="C827" s="87"/>
      <c r="D827" s="62"/>
      <c r="F827" s="55"/>
      <c r="G827" s="56"/>
      <c r="H827" s="55"/>
      <c r="I827" s="57"/>
      <c r="J827" s="65"/>
      <c r="K827" s="66"/>
      <c r="L827" s="132"/>
      <c r="M827" s="43">
        <f t="shared" si="201"/>
        <v>0</v>
      </c>
      <c r="N827" s="49">
        <f t="shared" si="202"/>
        <v>37.78</v>
      </c>
      <c r="O827" s="42">
        <f t="shared" si="203"/>
        <v>0</v>
      </c>
      <c r="P827" s="48">
        <f t="shared" ca="1" si="204"/>
        <v>46274.525928000003</v>
      </c>
      <c r="Q827" s="41">
        <f t="shared" ca="1" si="205"/>
        <v>46289.525928000003</v>
      </c>
      <c r="R827" s="41" t="b">
        <f t="shared" ca="1" si="196"/>
        <v>1</v>
      </c>
      <c r="S827" s="44">
        <f t="shared" ca="1" si="197"/>
        <v>15</v>
      </c>
      <c r="T827" s="74">
        <f t="shared" ca="1" si="198"/>
        <v>46304.525928000003</v>
      </c>
      <c r="U827" s="75" t="s">
        <v>83</v>
      </c>
      <c r="V827" s="76">
        <f t="shared" si="206"/>
        <v>37.78</v>
      </c>
      <c r="W827" s="77" t="str">
        <f t="shared" si="199"/>
        <v/>
      </c>
      <c r="Y827" s="51">
        <f t="shared" ca="1" si="208"/>
        <v>239</v>
      </c>
      <c r="Z827" s="52">
        <f t="shared" ca="1" si="207"/>
        <v>0.34520547945205482</v>
      </c>
      <c r="AB827" s="46">
        <f t="shared" si="209"/>
        <v>7.3407609317918876</v>
      </c>
      <c r="AC827" s="83" t="str">
        <f t="shared" si="200"/>
        <v/>
      </c>
      <c r="AE827" s="55"/>
      <c r="AF827" s="72"/>
      <c r="AG827" s="72"/>
      <c r="AH827" s="66"/>
    </row>
    <row r="828" spans="1:34" ht="16" hidden="1" thickBot="1" x14ac:dyDescent="0.25">
      <c r="A828" s="82"/>
      <c r="B828" s="62"/>
      <c r="C828" s="87"/>
      <c r="D828" s="62"/>
      <c r="F828" s="55"/>
      <c r="G828" s="56"/>
      <c r="H828" s="55"/>
      <c r="I828" s="57"/>
      <c r="J828" s="65"/>
      <c r="K828" s="66"/>
      <c r="L828" s="132"/>
      <c r="M828" s="43">
        <f t="shared" si="201"/>
        <v>0</v>
      </c>
      <c r="N828" s="49">
        <f t="shared" si="202"/>
        <v>37.78</v>
      </c>
      <c r="O828" s="42">
        <f t="shared" si="203"/>
        <v>0</v>
      </c>
      <c r="P828" s="48">
        <f t="shared" ca="1" si="204"/>
        <v>46274.525928000003</v>
      </c>
      <c r="Q828" s="41">
        <f t="shared" ca="1" si="205"/>
        <v>46289.525928000003</v>
      </c>
      <c r="R828" s="41" t="b">
        <f t="shared" ca="1" si="196"/>
        <v>1</v>
      </c>
      <c r="S828" s="44">
        <f t="shared" ca="1" si="197"/>
        <v>15</v>
      </c>
      <c r="T828" s="74">
        <f t="shared" ca="1" si="198"/>
        <v>46304.525928000003</v>
      </c>
      <c r="U828" s="75" t="s">
        <v>83</v>
      </c>
      <c r="V828" s="76">
        <f t="shared" si="206"/>
        <v>37.78</v>
      </c>
      <c r="W828" s="77" t="str">
        <f t="shared" si="199"/>
        <v/>
      </c>
      <c r="Y828" s="51">
        <f t="shared" ca="1" si="208"/>
        <v>239</v>
      </c>
      <c r="Z828" s="52">
        <f t="shared" ca="1" si="207"/>
        <v>0.34520547945205482</v>
      </c>
      <c r="AB828" s="46">
        <f t="shared" si="209"/>
        <v>7.3407609317918876</v>
      </c>
      <c r="AC828" s="83" t="str">
        <f t="shared" si="200"/>
        <v/>
      </c>
      <c r="AE828" s="55"/>
      <c r="AF828" s="72"/>
      <c r="AG828" s="72"/>
      <c r="AH828" s="66"/>
    </row>
    <row r="829" spans="1:34" ht="16" hidden="1" thickBot="1" x14ac:dyDescent="0.25">
      <c r="A829" s="82"/>
      <c r="B829" s="62"/>
      <c r="C829" s="87"/>
      <c r="D829" s="62"/>
      <c r="F829" s="55"/>
      <c r="G829" s="56"/>
      <c r="H829" s="55"/>
      <c r="I829" s="57"/>
      <c r="J829" s="65"/>
      <c r="K829" s="66"/>
      <c r="L829" s="132"/>
      <c r="M829" s="43">
        <f t="shared" si="201"/>
        <v>0</v>
      </c>
      <c r="N829" s="49">
        <f t="shared" si="202"/>
        <v>37.78</v>
      </c>
      <c r="O829" s="42">
        <f t="shared" si="203"/>
        <v>0</v>
      </c>
      <c r="P829" s="48">
        <f t="shared" ca="1" si="204"/>
        <v>46274.525928000003</v>
      </c>
      <c r="Q829" s="41">
        <f t="shared" ca="1" si="205"/>
        <v>46289.525928000003</v>
      </c>
      <c r="R829" s="41" t="b">
        <f t="shared" ca="1" si="196"/>
        <v>1</v>
      </c>
      <c r="S829" s="44">
        <f t="shared" ca="1" si="197"/>
        <v>15</v>
      </c>
      <c r="T829" s="74">
        <f t="shared" ca="1" si="198"/>
        <v>46304.525928000003</v>
      </c>
      <c r="U829" s="75" t="s">
        <v>83</v>
      </c>
      <c r="V829" s="76">
        <f t="shared" si="206"/>
        <v>37.78</v>
      </c>
      <c r="W829" s="77" t="str">
        <f t="shared" si="199"/>
        <v/>
      </c>
      <c r="Y829" s="51">
        <f t="shared" ca="1" si="208"/>
        <v>239</v>
      </c>
      <c r="Z829" s="52">
        <f t="shared" ca="1" si="207"/>
        <v>0.34520547945205482</v>
      </c>
      <c r="AB829" s="46">
        <f t="shared" si="209"/>
        <v>7.3407609317918876</v>
      </c>
      <c r="AC829" s="83" t="str">
        <f t="shared" si="200"/>
        <v/>
      </c>
      <c r="AE829" s="55"/>
      <c r="AF829" s="72"/>
      <c r="AG829" s="72"/>
      <c r="AH829" s="66"/>
    </row>
    <row r="830" spans="1:34" ht="16" hidden="1" thickBot="1" x14ac:dyDescent="0.25">
      <c r="A830" s="82"/>
      <c r="B830" s="62"/>
      <c r="C830" s="87"/>
      <c r="D830" s="62"/>
      <c r="F830" s="55"/>
      <c r="G830" s="56"/>
      <c r="H830" s="55"/>
      <c r="I830" s="57"/>
      <c r="J830" s="65"/>
      <c r="K830" s="66"/>
      <c r="L830" s="132"/>
      <c r="M830" s="43">
        <f t="shared" si="201"/>
        <v>0</v>
      </c>
      <c r="N830" s="49">
        <f t="shared" si="202"/>
        <v>37.78</v>
      </c>
      <c r="O830" s="42">
        <f t="shared" si="203"/>
        <v>0</v>
      </c>
      <c r="P830" s="48">
        <f t="shared" ca="1" si="204"/>
        <v>46274.525928000003</v>
      </c>
      <c r="Q830" s="41">
        <f t="shared" ca="1" si="205"/>
        <v>46289.525928000003</v>
      </c>
      <c r="R830" s="41" t="b">
        <f t="shared" ca="1" si="196"/>
        <v>1</v>
      </c>
      <c r="S830" s="44">
        <f t="shared" ca="1" si="197"/>
        <v>15</v>
      </c>
      <c r="T830" s="74">
        <f t="shared" ca="1" si="198"/>
        <v>46304.525928000003</v>
      </c>
      <c r="U830" s="75" t="s">
        <v>83</v>
      </c>
      <c r="V830" s="76">
        <f t="shared" si="206"/>
        <v>37.78</v>
      </c>
      <c r="W830" s="77" t="str">
        <f t="shared" si="199"/>
        <v/>
      </c>
      <c r="Y830" s="51">
        <f t="shared" ca="1" si="208"/>
        <v>239</v>
      </c>
      <c r="Z830" s="52">
        <f t="shared" ca="1" si="207"/>
        <v>0.34520547945205482</v>
      </c>
      <c r="AB830" s="46">
        <f t="shared" si="209"/>
        <v>7.3407609317918876</v>
      </c>
      <c r="AC830" s="83" t="str">
        <f t="shared" si="200"/>
        <v/>
      </c>
      <c r="AE830" s="55"/>
      <c r="AF830" s="72"/>
      <c r="AG830" s="72"/>
      <c r="AH830" s="66"/>
    </row>
    <row r="831" spans="1:34" ht="16" hidden="1" thickBot="1" x14ac:dyDescent="0.25">
      <c r="A831" s="82"/>
      <c r="B831" s="62"/>
      <c r="C831" s="87"/>
      <c r="D831" s="62"/>
      <c r="F831" s="55"/>
      <c r="G831" s="56"/>
      <c r="H831" s="55"/>
      <c r="I831" s="57"/>
      <c r="J831" s="65"/>
      <c r="K831" s="66"/>
      <c r="L831" s="132"/>
      <c r="M831" s="43">
        <f t="shared" si="201"/>
        <v>0</v>
      </c>
      <c r="N831" s="49">
        <f t="shared" si="202"/>
        <v>37.78</v>
      </c>
      <c r="O831" s="42">
        <f t="shared" si="203"/>
        <v>0</v>
      </c>
      <c r="P831" s="48">
        <f t="shared" ca="1" si="204"/>
        <v>46274.525928000003</v>
      </c>
      <c r="Q831" s="41">
        <f t="shared" ca="1" si="205"/>
        <v>46289.525928000003</v>
      </c>
      <c r="R831" s="41" t="b">
        <f t="shared" ca="1" si="196"/>
        <v>1</v>
      </c>
      <c r="S831" s="44">
        <f t="shared" ca="1" si="197"/>
        <v>15</v>
      </c>
      <c r="T831" s="74">
        <f t="shared" ca="1" si="198"/>
        <v>46304.525928000003</v>
      </c>
      <c r="U831" s="75" t="s">
        <v>83</v>
      </c>
      <c r="V831" s="76">
        <f t="shared" si="206"/>
        <v>37.78</v>
      </c>
      <c r="W831" s="77" t="str">
        <f t="shared" si="199"/>
        <v/>
      </c>
      <c r="Y831" s="51">
        <f t="shared" ca="1" si="208"/>
        <v>239</v>
      </c>
      <c r="Z831" s="52">
        <f t="shared" ca="1" si="207"/>
        <v>0.34520547945205482</v>
      </c>
      <c r="AB831" s="46">
        <f t="shared" si="209"/>
        <v>7.3407609317918876</v>
      </c>
      <c r="AC831" s="83" t="str">
        <f t="shared" si="200"/>
        <v/>
      </c>
      <c r="AE831" s="55"/>
      <c r="AF831" s="72"/>
      <c r="AG831" s="72"/>
      <c r="AH831" s="66"/>
    </row>
    <row r="832" spans="1:34" ht="16" hidden="1" thickBot="1" x14ac:dyDescent="0.25">
      <c r="A832" s="82"/>
      <c r="B832" s="62"/>
      <c r="C832" s="87"/>
      <c r="D832" s="62"/>
      <c r="F832" s="55"/>
      <c r="G832" s="56"/>
      <c r="H832" s="55"/>
      <c r="I832" s="57"/>
      <c r="J832" s="65"/>
      <c r="K832" s="66"/>
      <c r="L832" s="132"/>
      <c r="M832" s="43">
        <f t="shared" si="201"/>
        <v>0</v>
      </c>
      <c r="N832" s="49">
        <f t="shared" si="202"/>
        <v>37.78</v>
      </c>
      <c r="O832" s="42">
        <f t="shared" si="203"/>
        <v>0</v>
      </c>
      <c r="P832" s="48">
        <f t="shared" ca="1" si="204"/>
        <v>46274.525928000003</v>
      </c>
      <c r="Q832" s="41">
        <f t="shared" ca="1" si="205"/>
        <v>46289.525928000003</v>
      </c>
      <c r="R832" s="41" t="b">
        <f t="shared" ref="R832:R895" ca="1" si="210">AND(Q832&gt;=DATE(YEAR(Q832),3,31)-WEEKDAY(DATE(YEAR(Q832),3,31),2),Q832&lt;DATE(YEAR(Q832),10,31)-WEEKDAY(DATE(YEAR(Q832),10,31),2))</f>
        <v>1</v>
      </c>
      <c r="S832" s="44">
        <f t="shared" ref="S832:S895" ca="1" si="211">IF(R832,15,0)</f>
        <v>15</v>
      </c>
      <c r="T832" s="74">
        <f t="shared" ref="T832:T895" ca="1" si="212">Q832+S832</f>
        <v>46304.525928000003</v>
      </c>
      <c r="U832" s="75" t="s">
        <v>83</v>
      </c>
      <c r="V832" s="76">
        <f t="shared" si="206"/>
        <v>37.78</v>
      </c>
      <c r="W832" s="77" t="str">
        <f t="shared" ref="W832:W895" si="213">IF(M832&gt;0,V832,"")</f>
        <v/>
      </c>
      <c r="Y832" s="51">
        <f t="shared" ca="1" si="208"/>
        <v>239</v>
      </c>
      <c r="Z832" s="52">
        <f t="shared" ca="1" si="207"/>
        <v>0.34520547945205482</v>
      </c>
      <c r="AB832" s="46">
        <f t="shared" si="209"/>
        <v>7.3407609317918876</v>
      </c>
      <c r="AC832" s="83" t="str">
        <f t="shared" ref="AC832:AC895" si="214">(IF(M832&gt;0,MOD(AB832+AB$11,24)/24,""))</f>
        <v/>
      </c>
      <c r="AE832" s="55"/>
      <c r="AF832" s="72"/>
      <c r="AG832" s="72"/>
      <c r="AH832" s="66"/>
    </row>
    <row r="833" spans="1:34" ht="16" hidden="1" thickBot="1" x14ac:dyDescent="0.25">
      <c r="A833" s="82"/>
      <c r="B833" s="62"/>
      <c r="C833" s="87"/>
      <c r="D833" s="62"/>
      <c r="F833" s="55"/>
      <c r="G833" s="56"/>
      <c r="H833" s="55"/>
      <c r="I833" s="57"/>
      <c r="J833" s="65"/>
      <c r="K833" s="66"/>
      <c r="L833" s="132"/>
      <c r="M833" s="43">
        <f t="shared" si="201"/>
        <v>0</v>
      </c>
      <c r="N833" s="49">
        <f t="shared" si="202"/>
        <v>37.78</v>
      </c>
      <c r="O833" s="42">
        <f t="shared" si="203"/>
        <v>0</v>
      </c>
      <c r="P833" s="48">
        <f t="shared" ca="1" si="204"/>
        <v>46274.525928000003</v>
      </c>
      <c r="Q833" s="41">
        <f t="shared" ca="1" si="205"/>
        <v>46289.525928000003</v>
      </c>
      <c r="R833" s="41" t="b">
        <f t="shared" ca="1" si="210"/>
        <v>1</v>
      </c>
      <c r="S833" s="44">
        <f t="shared" ca="1" si="211"/>
        <v>15</v>
      </c>
      <c r="T833" s="74">
        <f t="shared" ca="1" si="212"/>
        <v>46304.525928000003</v>
      </c>
      <c r="U833" s="75" t="s">
        <v>83</v>
      </c>
      <c r="V833" s="76">
        <f t="shared" si="206"/>
        <v>37.78</v>
      </c>
      <c r="W833" s="77" t="str">
        <f t="shared" si="213"/>
        <v/>
      </c>
      <c r="Y833" s="51">
        <f t="shared" ca="1" si="208"/>
        <v>239</v>
      </c>
      <c r="Z833" s="52">
        <f t="shared" ca="1" si="207"/>
        <v>0.34520547945205482</v>
      </c>
      <c r="AB833" s="46">
        <f t="shared" si="209"/>
        <v>7.3407609317918876</v>
      </c>
      <c r="AC833" s="83" t="str">
        <f t="shared" si="214"/>
        <v/>
      </c>
      <c r="AE833" s="55"/>
      <c r="AF833" s="72"/>
      <c r="AG833" s="72"/>
      <c r="AH833" s="66"/>
    </row>
    <row r="834" spans="1:34" ht="16" hidden="1" thickBot="1" x14ac:dyDescent="0.25">
      <c r="A834" s="82"/>
      <c r="B834" s="62"/>
      <c r="C834" s="87"/>
      <c r="D834" s="62"/>
      <c r="F834" s="55"/>
      <c r="G834" s="56"/>
      <c r="H834" s="55"/>
      <c r="I834" s="57"/>
      <c r="J834" s="65"/>
      <c r="K834" s="66"/>
      <c r="L834" s="132"/>
      <c r="M834" s="43">
        <f t="shared" si="201"/>
        <v>0</v>
      </c>
      <c r="N834" s="49">
        <f t="shared" si="202"/>
        <v>37.78</v>
      </c>
      <c r="O834" s="42">
        <f t="shared" si="203"/>
        <v>0</v>
      </c>
      <c r="P834" s="48">
        <f t="shared" ca="1" si="204"/>
        <v>46274.525928000003</v>
      </c>
      <c r="Q834" s="41">
        <f t="shared" ca="1" si="205"/>
        <v>46289.525928000003</v>
      </c>
      <c r="R834" s="41" t="b">
        <f t="shared" ca="1" si="210"/>
        <v>1</v>
      </c>
      <c r="S834" s="44">
        <f t="shared" ca="1" si="211"/>
        <v>15</v>
      </c>
      <c r="T834" s="74">
        <f t="shared" ca="1" si="212"/>
        <v>46304.525928000003</v>
      </c>
      <c r="U834" s="75" t="s">
        <v>83</v>
      </c>
      <c r="V834" s="76">
        <f t="shared" si="206"/>
        <v>37.78</v>
      </c>
      <c r="W834" s="77" t="str">
        <f t="shared" si="213"/>
        <v/>
      </c>
      <c r="Y834" s="51">
        <f t="shared" ca="1" si="208"/>
        <v>239</v>
      </c>
      <c r="Z834" s="52">
        <f t="shared" ca="1" si="207"/>
        <v>0.34520547945205482</v>
      </c>
      <c r="AB834" s="46">
        <f t="shared" si="209"/>
        <v>7.3407609317918876</v>
      </c>
      <c r="AC834" s="83" t="str">
        <f t="shared" si="214"/>
        <v/>
      </c>
      <c r="AE834" s="55"/>
      <c r="AF834" s="72"/>
      <c r="AG834" s="72"/>
      <c r="AH834" s="66"/>
    </row>
    <row r="835" spans="1:34" ht="16" hidden="1" thickBot="1" x14ac:dyDescent="0.25">
      <c r="A835" s="82"/>
      <c r="B835" s="62"/>
      <c r="C835" s="87"/>
      <c r="D835" s="62"/>
      <c r="F835" s="55"/>
      <c r="G835" s="56"/>
      <c r="H835" s="55"/>
      <c r="I835" s="57"/>
      <c r="J835" s="65"/>
      <c r="K835" s="66"/>
      <c r="L835" s="132"/>
      <c r="M835" s="43">
        <f t="shared" si="201"/>
        <v>0</v>
      </c>
      <c r="N835" s="49">
        <f t="shared" si="202"/>
        <v>37.78</v>
      </c>
      <c r="O835" s="42">
        <f t="shared" si="203"/>
        <v>0</v>
      </c>
      <c r="P835" s="48">
        <f t="shared" ca="1" si="204"/>
        <v>46274.525928000003</v>
      </c>
      <c r="Q835" s="41">
        <f t="shared" ca="1" si="205"/>
        <v>46289.525928000003</v>
      </c>
      <c r="R835" s="41" t="b">
        <f t="shared" ca="1" si="210"/>
        <v>1</v>
      </c>
      <c r="S835" s="44">
        <f t="shared" ca="1" si="211"/>
        <v>15</v>
      </c>
      <c r="T835" s="74">
        <f t="shared" ca="1" si="212"/>
        <v>46304.525928000003</v>
      </c>
      <c r="U835" s="75" t="s">
        <v>83</v>
      </c>
      <c r="V835" s="76">
        <f t="shared" si="206"/>
        <v>37.78</v>
      </c>
      <c r="W835" s="77" t="str">
        <f t="shared" si="213"/>
        <v/>
      </c>
      <c r="Y835" s="51">
        <f t="shared" ca="1" si="208"/>
        <v>239</v>
      </c>
      <c r="Z835" s="52">
        <f t="shared" ca="1" si="207"/>
        <v>0.34520547945205482</v>
      </c>
      <c r="AB835" s="46">
        <f t="shared" si="209"/>
        <v>7.3407609317918876</v>
      </c>
      <c r="AC835" s="83" t="str">
        <f t="shared" si="214"/>
        <v/>
      </c>
      <c r="AE835" s="55"/>
      <c r="AF835" s="72"/>
      <c r="AG835" s="72"/>
      <c r="AH835" s="66"/>
    </row>
    <row r="836" spans="1:34" ht="16" hidden="1" thickBot="1" x14ac:dyDescent="0.25">
      <c r="A836" s="82"/>
      <c r="B836" s="62"/>
      <c r="C836" s="87"/>
      <c r="D836" s="62"/>
      <c r="F836" s="55"/>
      <c r="G836" s="56"/>
      <c r="H836" s="55"/>
      <c r="I836" s="57"/>
      <c r="J836" s="65"/>
      <c r="K836" s="66"/>
      <c r="L836" s="132"/>
      <c r="M836" s="43">
        <f t="shared" si="201"/>
        <v>0</v>
      </c>
      <c r="N836" s="49">
        <f t="shared" si="202"/>
        <v>37.78</v>
      </c>
      <c r="O836" s="42">
        <f t="shared" si="203"/>
        <v>0</v>
      </c>
      <c r="P836" s="48">
        <f t="shared" ca="1" si="204"/>
        <v>46274.525928000003</v>
      </c>
      <c r="Q836" s="41">
        <f t="shared" ca="1" si="205"/>
        <v>46289.525928000003</v>
      </c>
      <c r="R836" s="41" t="b">
        <f t="shared" ca="1" si="210"/>
        <v>1</v>
      </c>
      <c r="S836" s="44">
        <f t="shared" ca="1" si="211"/>
        <v>15</v>
      </c>
      <c r="T836" s="74">
        <f t="shared" ca="1" si="212"/>
        <v>46304.525928000003</v>
      </c>
      <c r="U836" s="75" t="s">
        <v>83</v>
      </c>
      <c r="V836" s="76">
        <f t="shared" si="206"/>
        <v>37.78</v>
      </c>
      <c r="W836" s="77" t="str">
        <f t="shared" si="213"/>
        <v/>
      </c>
      <c r="Y836" s="51">
        <f t="shared" ca="1" si="208"/>
        <v>239</v>
      </c>
      <c r="Z836" s="52">
        <f t="shared" ca="1" si="207"/>
        <v>0.34520547945205482</v>
      </c>
      <c r="AB836" s="46">
        <f t="shared" si="209"/>
        <v>7.3407609317918876</v>
      </c>
      <c r="AC836" s="83" t="str">
        <f t="shared" si="214"/>
        <v/>
      </c>
      <c r="AE836" s="55"/>
      <c r="AF836" s="72"/>
      <c r="AG836" s="72"/>
      <c r="AH836" s="66"/>
    </row>
    <row r="837" spans="1:34" ht="16" hidden="1" thickBot="1" x14ac:dyDescent="0.25">
      <c r="A837" s="82"/>
      <c r="B837" s="62"/>
      <c r="C837" s="87"/>
      <c r="D837" s="62"/>
      <c r="F837" s="55"/>
      <c r="G837" s="56"/>
      <c r="H837" s="55"/>
      <c r="I837" s="57"/>
      <c r="J837" s="65"/>
      <c r="K837" s="66"/>
      <c r="L837" s="132"/>
      <c r="M837" s="43">
        <f t="shared" si="201"/>
        <v>0</v>
      </c>
      <c r="N837" s="49">
        <f t="shared" si="202"/>
        <v>37.78</v>
      </c>
      <c r="O837" s="42">
        <f t="shared" si="203"/>
        <v>0</v>
      </c>
      <c r="P837" s="48">
        <f t="shared" ca="1" si="204"/>
        <v>46274.525928000003</v>
      </c>
      <c r="Q837" s="41">
        <f t="shared" ca="1" si="205"/>
        <v>46289.525928000003</v>
      </c>
      <c r="R837" s="41" t="b">
        <f t="shared" ca="1" si="210"/>
        <v>1</v>
      </c>
      <c r="S837" s="44">
        <f t="shared" ca="1" si="211"/>
        <v>15</v>
      </c>
      <c r="T837" s="74">
        <f t="shared" ca="1" si="212"/>
        <v>46304.525928000003</v>
      </c>
      <c r="U837" s="75" t="s">
        <v>83</v>
      </c>
      <c r="V837" s="76">
        <f t="shared" si="206"/>
        <v>37.78</v>
      </c>
      <c r="W837" s="77" t="str">
        <f t="shared" si="213"/>
        <v/>
      </c>
      <c r="Y837" s="51">
        <f t="shared" ca="1" si="208"/>
        <v>239</v>
      </c>
      <c r="Z837" s="52">
        <f t="shared" ca="1" si="207"/>
        <v>0.34520547945205482</v>
      </c>
      <c r="AB837" s="46">
        <f t="shared" si="209"/>
        <v>7.3407609317918876</v>
      </c>
      <c r="AC837" s="83" t="str">
        <f t="shared" si="214"/>
        <v/>
      </c>
      <c r="AE837" s="55"/>
      <c r="AF837" s="72"/>
      <c r="AG837" s="72"/>
      <c r="AH837" s="66"/>
    </row>
    <row r="838" spans="1:34" ht="16" hidden="1" thickBot="1" x14ac:dyDescent="0.25">
      <c r="A838" s="82"/>
      <c r="B838" s="62"/>
      <c r="C838" s="87"/>
      <c r="D838" s="62"/>
      <c r="F838" s="55"/>
      <c r="G838" s="56"/>
      <c r="H838" s="55"/>
      <c r="I838" s="57"/>
      <c r="J838" s="65"/>
      <c r="K838" s="66"/>
      <c r="L838" s="132"/>
      <c r="M838" s="43">
        <f t="shared" si="201"/>
        <v>0</v>
      </c>
      <c r="N838" s="49">
        <f t="shared" si="202"/>
        <v>37.78</v>
      </c>
      <c r="O838" s="42">
        <f t="shared" si="203"/>
        <v>0</v>
      </c>
      <c r="P838" s="48">
        <f t="shared" ca="1" si="204"/>
        <v>46274.525928000003</v>
      </c>
      <c r="Q838" s="41">
        <f t="shared" ca="1" si="205"/>
        <v>46289.525928000003</v>
      </c>
      <c r="R838" s="41" t="b">
        <f t="shared" ca="1" si="210"/>
        <v>1</v>
      </c>
      <c r="S838" s="44">
        <f t="shared" ca="1" si="211"/>
        <v>15</v>
      </c>
      <c r="T838" s="74">
        <f t="shared" ca="1" si="212"/>
        <v>46304.525928000003</v>
      </c>
      <c r="U838" s="75" t="s">
        <v>83</v>
      </c>
      <c r="V838" s="76">
        <f t="shared" si="206"/>
        <v>37.78</v>
      </c>
      <c r="W838" s="77" t="str">
        <f t="shared" si="213"/>
        <v/>
      </c>
      <c r="Y838" s="51">
        <f t="shared" ca="1" si="208"/>
        <v>239</v>
      </c>
      <c r="Z838" s="52">
        <f t="shared" ca="1" si="207"/>
        <v>0.34520547945205482</v>
      </c>
      <c r="AB838" s="46">
        <f t="shared" si="209"/>
        <v>7.3407609317918876</v>
      </c>
      <c r="AC838" s="83" t="str">
        <f t="shared" si="214"/>
        <v/>
      </c>
      <c r="AE838" s="55"/>
      <c r="AF838" s="72"/>
      <c r="AG838" s="72"/>
      <c r="AH838" s="66"/>
    </row>
    <row r="839" spans="1:34" ht="16" hidden="1" thickBot="1" x14ac:dyDescent="0.25">
      <c r="A839" s="82"/>
      <c r="B839" s="62"/>
      <c r="C839" s="87"/>
      <c r="D839" s="62"/>
      <c r="F839" s="55"/>
      <c r="G839" s="56"/>
      <c r="H839" s="55"/>
      <c r="I839" s="57"/>
      <c r="J839" s="65"/>
      <c r="K839" s="66"/>
      <c r="L839" s="132"/>
      <c r="M839" s="43">
        <f t="shared" si="201"/>
        <v>0</v>
      </c>
      <c r="N839" s="49">
        <f t="shared" si="202"/>
        <v>37.78</v>
      </c>
      <c r="O839" s="42">
        <f t="shared" si="203"/>
        <v>0</v>
      </c>
      <c r="P839" s="48">
        <f t="shared" ca="1" si="204"/>
        <v>46274.525928000003</v>
      </c>
      <c r="Q839" s="41">
        <f t="shared" ca="1" si="205"/>
        <v>46289.525928000003</v>
      </c>
      <c r="R839" s="41" t="b">
        <f t="shared" ca="1" si="210"/>
        <v>1</v>
      </c>
      <c r="S839" s="44">
        <f t="shared" ca="1" si="211"/>
        <v>15</v>
      </c>
      <c r="T839" s="74">
        <f t="shared" ca="1" si="212"/>
        <v>46304.525928000003</v>
      </c>
      <c r="U839" s="75" t="s">
        <v>83</v>
      </c>
      <c r="V839" s="76">
        <f t="shared" si="206"/>
        <v>37.78</v>
      </c>
      <c r="W839" s="77" t="str">
        <f t="shared" si="213"/>
        <v/>
      </c>
      <c r="Y839" s="51">
        <f t="shared" ca="1" si="208"/>
        <v>239</v>
      </c>
      <c r="Z839" s="52">
        <f t="shared" ca="1" si="207"/>
        <v>0.34520547945205482</v>
      </c>
      <c r="AB839" s="46">
        <f t="shared" si="209"/>
        <v>7.3407609317918876</v>
      </c>
      <c r="AC839" s="83" t="str">
        <f t="shared" si="214"/>
        <v/>
      </c>
      <c r="AE839" s="55"/>
      <c r="AF839" s="72"/>
      <c r="AG839" s="72"/>
      <c r="AH839" s="66"/>
    </row>
    <row r="840" spans="1:34" ht="16" hidden="1" thickBot="1" x14ac:dyDescent="0.25">
      <c r="A840" s="82"/>
      <c r="B840" s="62"/>
      <c r="C840" s="87"/>
      <c r="D840" s="62"/>
      <c r="F840" s="55"/>
      <c r="G840" s="56"/>
      <c r="H840" s="55"/>
      <c r="I840" s="57"/>
      <c r="J840" s="65"/>
      <c r="K840" s="66"/>
      <c r="L840" s="132"/>
      <c r="M840" s="43">
        <f t="shared" si="201"/>
        <v>0</v>
      </c>
      <c r="N840" s="49">
        <f t="shared" si="202"/>
        <v>37.78</v>
      </c>
      <c r="O840" s="42">
        <f t="shared" si="203"/>
        <v>0</v>
      </c>
      <c r="P840" s="48">
        <f t="shared" ca="1" si="204"/>
        <v>46274.525928000003</v>
      </c>
      <c r="Q840" s="41">
        <f t="shared" ca="1" si="205"/>
        <v>46289.525928000003</v>
      </c>
      <c r="R840" s="41" t="b">
        <f t="shared" ca="1" si="210"/>
        <v>1</v>
      </c>
      <c r="S840" s="44">
        <f t="shared" ca="1" si="211"/>
        <v>15</v>
      </c>
      <c r="T840" s="74">
        <f t="shared" ca="1" si="212"/>
        <v>46304.525928000003</v>
      </c>
      <c r="U840" s="75" t="s">
        <v>83</v>
      </c>
      <c r="V840" s="76">
        <f t="shared" si="206"/>
        <v>37.78</v>
      </c>
      <c r="W840" s="77" t="str">
        <f t="shared" si="213"/>
        <v/>
      </c>
      <c r="Y840" s="51">
        <f t="shared" ca="1" si="208"/>
        <v>239</v>
      </c>
      <c r="Z840" s="52">
        <f t="shared" ca="1" si="207"/>
        <v>0.34520547945205482</v>
      </c>
      <c r="AB840" s="46">
        <f t="shared" si="209"/>
        <v>7.3407609317918876</v>
      </c>
      <c r="AC840" s="83" t="str">
        <f t="shared" si="214"/>
        <v/>
      </c>
      <c r="AE840" s="55"/>
      <c r="AF840" s="72"/>
      <c r="AG840" s="72"/>
      <c r="AH840" s="66"/>
    </row>
    <row r="841" spans="1:34" ht="16" hidden="1" thickBot="1" x14ac:dyDescent="0.25">
      <c r="A841" s="82"/>
      <c r="B841" s="62"/>
      <c r="C841" s="87"/>
      <c r="D841" s="62"/>
      <c r="F841" s="55"/>
      <c r="G841" s="56"/>
      <c r="H841" s="55"/>
      <c r="I841" s="57"/>
      <c r="J841" s="65"/>
      <c r="K841" s="66"/>
      <c r="L841" s="132"/>
      <c r="M841" s="43">
        <f t="shared" si="201"/>
        <v>0</v>
      </c>
      <c r="N841" s="49">
        <f t="shared" si="202"/>
        <v>37.78</v>
      </c>
      <c r="O841" s="42">
        <f t="shared" si="203"/>
        <v>0</v>
      </c>
      <c r="P841" s="48">
        <f t="shared" ca="1" si="204"/>
        <v>46274.525928000003</v>
      </c>
      <c r="Q841" s="41">
        <f t="shared" ca="1" si="205"/>
        <v>46289.525928000003</v>
      </c>
      <c r="R841" s="41" t="b">
        <f t="shared" ca="1" si="210"/>
        <v>1</v>
      </c>
      <c r="S841" s="44">
        <f t="shared" ca="1" si="211"/>
        <v>15</v>
      </c>
      <c r="T841" s="74">
        <f t="shared" ca="1" si="212"/>
        <v>46304.525928000003</v>
      </c>
      <c r="U841" s="75" t="s">
        <v>83</v>
      </c>
      <c r="V841" s="76">
        <f t="shared" si="206"/>
        <v>37.78</v>
      </c>
      <c r="W841" s="77" t="str">
        <f t="shared" si="213"/>
        <v/>
      </c>
      <c r="Y841" s="51">
        <f t="shared" ca="1" si="208"/>
        <v>239</v>
      </c>
      <c r="Z841" s="52">
        <f t="shared" ca="1" si="207"/>
        <v>0.34520547945205482</v>
      </c>
      <c r="AB841" s="46">
        <f t="shared" si="209"/>
        <v>7.3407609317918876</v>
      </c>
      <c r="AC841" s="83" t="str">
        <f t="shared" si="214"/>
        <v/>
      </c>
      <c r="AE841" s="55"/>
      <c r="AF841" s="72"/>
      <c r="AG841" s="72"/>
      <c r="AH841" s="66"/>
    </row>
    <row r="842" spans="1:34" ht="16" hidden="1" thickBot="1" x14ac:dyDescent="0.25">
      <c r="A842" s="82"/>
      <c r="B842" s="62"/>
      <c r="C842" s="87"/>
      <c r="D842" s="62"/>
      <c r="F842" s="55"/>
      <c r="G842" s="56"/>
      <c r="H842" s="55"/>
      <c r="I842" s="57"/>
      <c r="J842" s="65"/>
      <c r="K842" s="66"/>
      <c r="L842" s="132"/>
      <c r="M842" s="43">
        <f t="shared" si="201"/>
        <v>0</v>
      </c>
      <c r="N842" s="49">
        <f t="shared" si="202"/>
        <v>37.78</v>
      </c>
      <c r="O842" s="42">
        <f t="shared" si="203"/>
        <v>0</v>
      </c>
      <c r="P842" s="48">
        <f t="shared" ca="1" si="204"/>
        <v>46274.525928000003</v>
      </c>
      <c r="Q842" s="41">
        <f t="shared" ca="1" si="205"/>
        <v>46289.525928000003</v>
      </c>
      <c r="R842" s="41" t="b">
        <f t="shared" ca="1" si="210"/>
        <v>1</v>
      </c>
      <c r="S842" s="44">
        <f t="shared" ca="1" si="211"/>
        <v>15</v>
      </c>
      <c r="T842" s="74">
        <f t="shared" ca="1" si="212"/>
        <v>46304.525928000003</v>
      </c>
      <c r="U842" s="75" t="s">
        <v>83</v>
      </c>
      <c r="V842" s="76">
        <f t="shared" si="206"/>
        <v>37.78</v>
      </c>
      <c r="W842" s="77" t="str">
        <f t="shared" si="213"/>
        <v/>
      </c>
      <c r="Y842" s="51">
        <f t="shared" ca="1" si="208"/>
        <v>239</v>
      </c>
      <c r="Z842" s="52">
        <f t="shared" ca="1" si="207"/>
        <v>0.34520547945205482</v>
      </c>
      <c r="AB842" s="46">
        <f t="shared" si="209"/>
        <v>7.3407609317918876</v>
      </c>
      <c r="AC842" s="83" t="str">
        <f t="shared" si="214"/>
        <v/>
      </c>
      <c r="AE842" s="55"/>
      <c r="AF842" s="72"/>
      <c r="AG842" s="72"/>
      <c r="AH842" s="66"/>
    </row>
    <row r="843" spans="1:34" ht="16" hidden="1" thickBot="1" x14ac:dyDescent="0.25">
      <c r="A843" s="82"/>
      <c r="B843" s="62"/>
      <c r="C843" s="87"/>
      <c r="D843" s="62"/>
      <c r="F843" s="55"/>
      <c r="G843" s="56"/>
      <c r="H843" s="55"/>
      <c r="I843" s="57"/>
      <c r="J843" s="65"/>
      <c r="K843" s="66"/>
      <c r="L843" s="132"/>
      <c r="M843" s="43">
        <f t="shared" si="201"/>
        <v>0</v>
      </c>
      <c r="N843" s="49">
        <f t="shared" si="202"/>
        <v>37.78</v>
      </c>
      <c r="O843" s="42">
        <f t="shared" si="203"/>
        <v>0</v>
      </c>
      <c r="P843" s="48">
        <f t="shared" ca="1" si="204"/>
        <v>46274.525928000003</v>
      </c>
      <c r="Q843" s="41">
        <f t="shared" ca="1" si="205"/>
        <v>46289.525928000003</v>
      </c>
      <c r="R843" s="41" t="b">
        <f t="shared" ca="1" si="210"/>
        <v>1</v>
      </c>
      <c r="S843" s="44">
        <f t="shared" ca="1" si="211"/>
        <v>15</v>
      </c>
      <c r="T843" s="74">
        <f t="shared" ca="1" si="212"/>
        <v>46304.525928000003</v>
      </c>
      <c r="U843" s="75" t="s">
        <v>83</v>
      </c>
      <c r="V843" s="76">
        <f t="shared" si="206"/>
        <v>37.78</v>
      </c>
      <c r="W843" s="77" t="str">
        <f t="shared" si="213"/>
        <v/>
      </c>
      <c r="Y843" s="51">
        <f t="shared" ca="1" si="208"/>
        <v>239</v>
      </c>
      <c r="Z843" s="52">
        <f t="shared" ca="1" si="207"/>
        <v>0.34520547945205482</v>
      </c>
      <c r="AB843" s="46">
        <f t="shared" si="209"/>
        <v>7.3407609317918876</v>
      </c>
      <c r="AC843" s="83" t="str">
        <f t="shared" si="214"/>
        <v/>
      </c>
      <c r="AE843" s="55"/>
      <c r="AF843" s="72"/>
      <c r="AG843" s="72"/>
      <c r="AH843" s="66"/>
    </row>
    <row r="844" spans="1:34" ht="16" hidden="1" thickBot="1" x14ac:dyDescent="0.25">
      <c r="A844" s="82"/>
      <c r="B844" s="62"/>
      <c r="C844" s="87"/>
      <c r="D844" s="62"/>
      <c r="F844" s="55"/>
      <c r="G844" s="56"/>
      <c r="H844" s="55"/>
      <c r="I844" s="57"/>
      <c r="J844" s="65"/>
      <c r="K844" s="66"/>
      <c r="L844" s="132"/>
      <c r="M844" s="43">
        <f t="shared" ref="M844:M908" si="215">H844+I844/60</f>
        <v>0</v>
      </c>
      <c r="N844" s="49">
        <f t="shared" ref="N844:N907" si="216">90-$B$6+M844</f>
        <v>37.78</v>
      </c>
      <c r="O844" s="42">
        <f t="shared" ref="O844:O908" si="217">F844+G844/60</f>
        <v>0</v>
      </c>
      <c r="P844" s="48">
        <f t="shared" ref="P844:P907" ca="1" si="218">DATE(YEAR(TODAY()),3,21)+MOD(O844-12-$B$7/15,24)*15.2184</f>
        <v>46274.525928000003</v>
      </c>
      <c r="Q844" s="41">
        <f t="shared" ref="Q844:Q908" ca="1" si="219">DATE(YEAR(TODAY()),3,21)+MOD(O844-12-$B$7/15,24)*15.2184+15</f>
        <v>46289.525928000003</v>
      </c>
      <c r="R844" s="41" t="b">
        <f t="shared" ca="1" si="210"/>
        <v>1</v>
      </c>
      <c r="S844" s="44">
        <f t="shared" ca="1" si="211"/>
        <v>15</v>
      </c>
      <c r="T844" s="74">
        <f t="shared" ca="1" si="212"/>
        <v>46304.525928000003</v>
      </c>
      <c r="U844" s="75" t="s">
        <v>83</v>
      </c>
      <c r="V844" s="76">
        <f t="shared" ref="V844:V908" si="220">IF(90-B$6+M844&gt;90,180-90+B$6-M844,90-B$6+M844)</f>
        <v>37.78</v>
      </c>
      <c r="W844" s="77" t="str">
        <f t="shared" si="213"/>
        <v/>
      </c>
      <c r="Y844" s="51">
        <f t="shared" ca="1" si="208"/>
        <v>239</v>
      </c>
      <c r="Z844" s="52">
        <f t="shared" ref="Z844:Z907" ca="1" si="221">$AB$5-Y844/365</f>
        <v>0.34520547945205482</v>
      </c>
      <c r="AB844" s="46">
        <f t="shared" si="209"/>
        <v>7.3407609317918876</v>
      </c>
      <c r="AC844" s="83" t="str">
        <f t="shared" si="214"/>
        <v/>
      </c>
      <c r="AE844" s="55"/>
      <c r="AF844" s="72"/>
      <c r="AG844" s="72"/>
      <c r="AH844" s="66"/>
    </row>
    <row r="845" spans="1:34" ht="16" hidden="1" thickBot="1" x14ac:dyDescent="0.25">
      <c r="A845" s="82"/>
      <c r="B845" s="62"/>
      <c r="C845" s="87"/>
      <c r="D845" s="62"/>
      <c r="F845" s="55"/>
      <c r="G845" s="56"/>
      <c r="H845" s="55"/>
      <c r="I845" s="57"/>
      <c r="J845" s="65"/>
      <c r="K845" s="66"/>
      <c r="L845" s="132"/>
      <c r="M845" s="43">
        <f t="shared" si="215"/>
        <v>0</v>
      </c>
      <c r="N845" s="49">
        <f t="shared" si="216"/>
        <v>37.78</v>
      </c>
      <c r="O845" s="42">
        <f t="shared" si="217"/>
        <v>0</v>
      </c>
      <c r="P845" s="48">
        <f t="shared" ca="1" si="218"/>
        <v>46274.525928000003</v>
      </c>
      <c r="Q845" s="41">
        <f t="shared" ca="1" si="219"/>
        <v>46289.525928000003</v>
      </c>
      <c r="R845" s="41" t="b">
        <f t="shared" ca="1" si="210"/>
        <v>1</v>
      </c>
      <c r="S845" s="44">
        <f t="shared" ca="1" si="211"/>
        <v>15</v>
      </c>
      <c r="T845" s="74">
        <f t="shared" ca="1" si="212"/>
        <v>46304.525928000003</v>
      </c>
      <c r="U845" s="75" t="s">
        <v>83</v>
      </c>
      <c r="V845" s="76">
        <f t="shared" si="220"/>
        <v>37.78</v>
      </c>
      <c r="W845" s="77" t="str">
        <f t="shared" si="213"/>
        <v/>
      </c>
      <c r="Y845" s="51">
        <f t="shared" ca="1" si="208"/>
        <v>239</v>
      </c>
      <c r="Z845" s="52">
        <f t="shared" ca="1" si="221"/>
        <v>0.34520547945205482</v>
      </c>
      <c r="AB845" s="46">
        <f t="shared" si="209"/>
        <v>7.3407609317918876</v>
      </c>
      <c r="AC845" s="83" t="str">
        <f t="shared" si="214"/>
        <v/>
      </c>
      <c r="AE845" s="55"/>
      <c r="AF845" s="72"/>
      <c r="AG845" s="72"/>
      <c r="AH845" s="66"/>
    </row>
    <row r="846" spans="1:34" ht="16" hidden="1" thickBot="1" x14ac:dyDescent="0.25">
      <c r="A846" s="82"/>
      <c r="B846" s="62"/>
      <c r="C846" s="87"/>
      <c r="D846" s="62"/>
      <c r="F846" s="55"/>
      <c r="G846" s="56"/>
      <c r="H846" s="55"/>
      <c r="I846" s="57"/>
      <c r="J846" s="65"/>
      <c r="K846" s="66"/>
      <c r="L846" s="132"/>
      <c r="M846" s="43">
        <f t="shared" si="215"/>
        <v>0</v>
      </c>
      <c r="N846" s="49">
        <f t="shared" si="216"/>
        <v>37.78</v>
      </c>
      <c r="O846" s="42">
        <f t="shared" si="217"/>
        <v>0</v>
      </c>
      <c r="P846" s="48">
        <f t="shared" ca="1" si="218"/>
        <v>46274.525928000003</v>
      </c>
      <c r="Q846" s="41">
        <f t="shared" ca="1" si="219"/>
        <v>46289.525928000003</v>
      </c>
      <c r="R846" s="41" t="b">
        <f t="shared" ca="1" si="210"/>
        <v>1</v>
      </c>
      <c r="S846" s="44">
        <f t="shared" ca="1" si="211"/>
        <v>15</v>
      </c>
      <c r="T846" s="74">
        <f t="shared" ca="1" si="212"/>
        <v>46304.525928000003</v>
      </c>
      <c r="U846" s="75" t="s">
        <v>83</v>
      </c>
      <c r="V846" s="76">
        <f t="shared" si="220"/>
        <v>37.78</v>
      </c>
      <c r="W846" s="77" t="str">
        <f t="shared" si="213"/>
        <v/>
      </c>
      <c r="Y846" s="51">
        <f t="shared" ca="1" si="208"/>
        <v>239</v>
      </c>
      <c r="Z846" s="52">
        <f t="shared" ca="1" si="221"/>
        <v>0.34520547945205482</v>
      </c>
      <c r="AB846" s="46">
        <f t="shared" si="209"/>
        <v>7.3407609317918876</v>
      </c>
      <c r="AC846" s="83" t="str">
        <f t="shared" si="214"/>
        <v/>
      </c>
      <c r="AE846" s="55"/>
      <c r="AF846" s="72"/>
      <c r="AG846" s="72"/>
      <c r="AH846" s="66"/>
    </row>
    <row r="847" spans="1:34" ht="16" hidden="1" thickBot="1" x14ac:dyDescent="0.25">
      <c r="A847" s="82"/>
      <c r="B847" s="62"/>
      <c r="C847" s="87"/>
      <c r="D847" s="62"/>
      <c r="F847" s="55"/>
      <c r="G847" s="56"/>
      <c r="H847" s="55"/>
      <c r="I847" s="57"/>
      <c r="J847" s="65"/>
      <c r="K847" s="66"/>
      <c r="L847" s="132"/>
      <c r="M847" s="43">
        <f t="shared" si="215"/>
        <v>0</v>
      </c>
      <c r="N847" s="49">
        <f t="shared" si="216"/>
        <v>37.78</v>
      </c>
      <c r="O847" s="42">
        <f t="shared" si="217"/>
        <v>0</v>
      </c>
      <c r="P847" s="48">
        <f t="shared" ca="1" si="218"/>
        <v>46274.525928000003</v>
      </c>
      <c r="Q847" s="41">
        <f t="shared" ca="1" si="219"/>
        <v>46289.525928000003</v>
      </c>
      <c r="R847" s="41" t="b">
        <f t="shared" ca="1" si="210"/>
        <v>1</v>
      </c>
      <c r="S847" s="44">
        <f t="shared" ca="1" si="211"/>
        <v>15</v>
      </c>
      <c r="T847" s="74">
        <f t="shared" ca="1" si="212"/>
        <v>46304.525928000003</v>
      </c>
      <c r="U847" s="75" t="s">
        <v>83</v>
      </c>
      <c r="V847" s="76">
        <f t="shared" si="220"/>
        <v>37.78</v>
      </c>
      <c r="W847" s="77" t="str">
        <f t="shared" si="213"/>
        <v/>
      </c>
      <c r="Y847" s="51">
        <f t="shared" ca="1" si="208"/>
        <v>239</v>
      </c>
      <c r="Z847" s="52">
        <f t="shared" ca="1" si="221"/>
        <v>0.34520547945205482</v>
      </c>
      <c r="AB847" s="46">
        <f t="shared" si="209"/>
        <v>7.3407609317918876</v>
      </c>
      <c r="AC847" s="83" t="str">
        <f t="shared" si="214"/>
        <v/>
      </c>
      <c r="AE847" s="55"/>
      <c r="AF847" s="72"/>
      <c r="AG847" s="72"/>
      <c r="AH847" s="66"/>
    </row>
    <row r="848" spans="1:34" ht="16" hidden="1" thickBot="1" x14ac:dyDescent="0.25">
      <c r="A848" s="82"/>
      <c r="B848" s="62"/>
      <c r="C848" s="87"/>
      <c r="D848" s="62"/>
      <c r="F848" s="55"/>
      <c r="G848" s="56"/>
      <c r="H848" s="55"/>
      <c r="I848" s="57"/>
      <c r="J848" s="65"/>
      <c r="K848" s="66"/>
      <c r="L848" s="132"/>
      <c r="M848" s="43">
        <f t="shared" si="215"/>
        <v>0</v>
      </c>
      <c r="N848" s="49">
        <f t="shared" si="216"/>
        <v>37.78</v>
      </c>
      <c r="O848" s="42">
        <f t="shared" si="217"/>
        <v>0</v>
      </c>
      <c r="P848" s="48">
        <f t="shared" ca="1" si="218"/>
        <v>46274.525928000003</v>
      </c>
      <c r="Q848" s="41">
        <f t="shared" ca="1" si="219"/>
        <v>46289.525928000003</v>
      </c>
      <c r="R848" s="41" t="b">
        <f t="shared" ca="1" si="210"/>
        <v>1</v>
      </c>
      <c r="S848" s="44">
        <f t="shared" ca="1" si="211"/>
        <v>15</v>
      </c>
      <c r="T848" s="74">
        <f t="shared" ca="1" si="212"/>
        <v>46304.525928000003</v>
      </c>
      <c r="U848" s="75" t="s">
        <v>83</v>
      </c>
      <c r="V848" s="76">
        <f t="shared" si="220"/>
        <v>37.78</v>
      </c>
      <c r="W848" s="77" t="str">
        <f t="shared" si="213"/>
        <v/>
      </c>
      <c r="Y848" s="51">
        <f t="shared" ca="1" si="208"/>
        <v>239</v>
      </c>
      <c r="Z848" s="52">
        <f t="shared" ca="1" si="221"/>
        <v>0.34520547945205482</v>
      </c>
      <c r="AB848" s="46">
        <f t="shared" si="209"/>
        <v>7.3407609317918876</v>
      </c>
      <c r="AC848" s="83" t="str">
        <f t="shared" si="214"/>
        <v/>
      </c>
      <c r="AE848" s="55"/>
      <c r="AF848" s="72"/>
      <c r="AG848" s="72"/>
      <c r="AH848" s="66"/>
    </row>
    <row r="849" spans="1:34" ht="16" hidden="1" thickBot="1" x14ac:dyDescent="0.25">
      <c r="A849" s="82"/>
      <c r="B849" s="62"/>
      <c r="C849" s="87"/>
      <c r="D849" s="62"/>
      <c r="F849" s="55"/>
      <c r="G849" s="56"/>
      <c r="H849" s="55"/>
      <c r="I849" s="57"/>
      <c r="J849" s="65"/>
      <c r="K849" s="66"/>
      <c r="L849" s="132"/>
      <c r="M849" s="43">
        <f t="shared" si="215"/>
        <v>0</v>
      </c>
      <c r="N849" s="49">
        <f t="shared" si="216"/>
        <v>37.78</v>
      </c>
      <c r="O849" s="42">
        <f t="shared" si="217"/>
        <v>0</v>
      </c>
      <c r="P849" s="48">
        <f t="shared" ca="1" si="218"/>
        <v>46274.525928000003</v>
      </c>
      <c r="Q849" s="41">
        <f t="shared" ca="1" si="219"/>
        <v>46289.525928000003</v>
      </c>
      <c r="R849" s="41" t="b">
        <f t="shared" ca="1" si="210"/>
        <v>1</v>
      </c>
      <c r="S849" s="44">
        <f t="shared" ca="1" si="211"/>
        <v>15</v>
      </c>
      <c r="T849" s="74">
        <f t="shared" ca="1" si="212"/>
        <v>46304.525928000003</v>
      </c>
      <c r="U849" s="75" t="s">
        <v>83</v>
      </c>
      <c r="V849" s="76">
        <f t="shared" si="220"/>
        <v>37.78</v>
      </c>
      <c r="W849" s="77" t="str">
        <f t="shared" si="213"/>
        <v/>
      </c>
      <c r="Y849" s="51">
        <f t="shared" ca="1" si="208"/>
        <v>239</v>
      </c>
      <c r="Z849" s="52">
        <f t="shared" ca="1" si="221"/>
        <v>0.34520547945205482</v>
      </c>
      <c r="AB849" s="46">
        <f t="shared" si="209"/>
        <v>7.3407609317918876</v>
      </c>
      <c r="AC849" s="83" t="str">
        <f t="shared" si="214"/>
        <v/>
      </c>
      <c r="AE849" s="55"/>
      <c r="AF849" s="72"/>
      <c r="AG849" s="72"/>
      <c r="AH849" s="66"/>
    </row>
    <row r="850" spans="1:34" ht="16" hidden="1" thickBot="1" x14ac:dyDescent="0.25">
      <c r="A850" s="82"/>
      <c r="B850" s="62"/>
      <c r="C850" s="87"/>
      <c r="D850" s="62"/>
      <c r="F850" s="55"/>
      <c r="G850" s="56"/>
      <c r="H850" s="55"/>
      <c r="I850" s="57"/>
      <c r="J850" s="65"/>
      <c r="K850" s="66"/>
      <c r="L850" s="132"/>
      <c r="M850" s="43">
        <f t="shared" si="215"/>
        <v>0</v>
      </c>
      <c r="N850" s="49">
        <f t="shared" si="216"/>
        <v>37.78</v>
      </c>
      <c r="O850" s="42">
        <f t="shared" si="217"/>
        <v>0</v>
      </c>
      <c r="P850" s="48">
        <f t="shared" ca="1" si="218"/>
        <v>46274.525928000003</v>
      </c>
      <c r="Q850" s="41">
        <f t="shared" ca="1" si="219"/>
        <v>46289.525928000003</v>
      </c>
      <c r="R850" s="41" t="b">
        <f t="shared" ca="1" si="210"/>
        <v>1</v>
      </c>
      <c r="S850" s="44">
        <f t="shared" ca="1" si="211"/>
        <v>15</v>
      </c>
      <c r="T850" s="74">
        <f t="shared" ca="1" si="212"/>
        <v>46304.525928000003</v>
      </c>
      <c r="U850" s="75" t="s">
        <v>83</v>
      </c>
      <c r="V850" s="76">
        <f t="shared" si="220"/>
        <v>37.78</v>
      </c>
      <c r="W850" s="77" t="str">
        <f t="shared" si="213"/>
        <v/>
      </c>
      <c r="Y850" s="51">
        <f t="shared" ca="1" si="208"/>
        <v>239</v>
      </c>
      <c r="Z850" s="52">
        <f t="shared" ca="1" si="221"/>
        <v>0.34520547945205482</v>
      </c>
      <c r="AB850" s="46">
        <f t="shared" si="209"/>
        <v>7.3407609317918876</v>
      </c>
      <c r="AC850" s="83" t="str">
        <f t="shared" si="214"/>
        <v/>
      </c>
      <c r="AE850" s="55"/>
      <c r="AF850" s="72"/>
      <c r="AG850" s="72"/>
      <c r="AH850" s="66"/>
    </row>
    <row r="851" spans="1:34" ht="16" hidden="1" thickBot="1" x14ac:dyDescent="0.25">
      <c r="A851" s="82"/>
      <c r="B851" s="62"/>
      <c r="C851" s="87"/>
      <c r="D851" s="62"/>
      <c r="F851" s="55"/>
      <c r="G851" s="56"/>
      <c r="H851" s="55"/>
      <c r="I851" s="57"/>
      <c r="J851" s="65"/>
      <c r="K851" s="66"/>
      <c r="L851" s="132"/>
      <c r="M851" s="43">
        <f t="shared" si="215"/>
        <v>0</v>
      </c>
      <c r="N851" s="49">
        <f t="shared" si="216"/>
        <v>37.78</v>
      </c>
      <c r="O851" s="42">
        <f t="shared" si="217"/>
        <v>0</v>
      </c>
      <c r="P851" s="48">
        <f t="shared" ca="1" si="218"/>
        <v>46274.525928000003</v>
      </c>
      <c r="Q851" s="41">
        <f t="shared" ca="1" si="219"/>
        <v>46289.525928000003</v>
      </c>
      <c r="R851" s="41" t="b">
        <f t="shared" ca="1" si="210"/>
        <v>1</v>
      </c>
      <c r="S851" s="44">
        <f t="shared" ca="1" si="211"/>
        <v>15</v>
      </c>
      <c r="T851" s="74">
        <f t="shared" ca="1" si="212"/>
        <v>46304.525928000003</v>
      </c>
      <c r="U851" s="75" t="s">
        <v>83</v>
      </c>
      <c r="V851" s="76">
        <f t="shared" si="220"/>
        <v>37.78</v>
      </c>
      <c r="W851" s="77" t="str">
        <f t="shared" si="213"/>
        <v/>
      </c>
      <c r="Y851" s="51">
        <f t="shared" ca="1" si="208"/>
        <v>239</v>
      </c>
      <c r="Z851" s="52">
        <f t="shared" ca="1" si="221"/>
        <v>0.34520547945205482</v>
      </c>
      <c r="AB851" s="46">
        <f t="shared" si="209"/>
        <v>7.3407609317918876</v>
      </c>
      <c r="AC851" s="83" t="str">
        <f t="shared" si="214"/>
        <v/>
      </c>
      <c r="AE851" s="55"/>
      <c r="AF851" s="72"/>
      <c r="AG851" s="72"/>
      <c r="AH851" s="66"/>
    </row>
    <row r="852" spans="1:34" ht="16" hidden="1" thickBot="1" x14ac:dyDescent="0.25">
      <c r="A852" s="82"/>
      <c r="B852" s="62"/>
      <c r="C852" s="87"/>
      <c r="D852" s="62"/>
      <c r="F852" s="55"/>
      <c r="G852" s="56"/>
      <c r="H852" s="55"/>
      <c r="I852" s="57"/>
      <c r="J852" s="65"/>
      <c r="K852" s="66"/>
      <c r="L852" s="132"/>
      <c r="M852" s="43">
        <f t="shared" si="215"/>
        <v>0</v>
      </c>
      <c r="N852" s="49">
        <f t="shared" si="216"/>
        <v>37.78</v>
      </c>
      <c r="O852" s="42">
        <f t="shared" si="217"/>
        <v>0</v>
      </c>
      <c r="P852" s="48">
        <f t="shared" ca="1" si="218"/>
        <v>46274.525928000003</v>
      </c>
      <c r="Q852" s="41">
        <f t="shared" ca="1" si="219"/>
        <v>46289.525928000003</v>
      </c>
      <c r="R852" s="41" t="b">
        <f t="shared" ca="1" si="210"/>
        <v>1</v>
      </c>
      <c r="S852" s="44">
        <f t="shared" ca="1" si="211"/>
        <v>15</v>
      </c>
      <c r="T852" s="74">
        <f t="shared" ca="1" si="212"/>
        <v>46304.525928000003</v>
      </c>
      <c r="U852" s="75" t="s">
        <v>83</v>
      </c>
      <c r="V852" s="76">
        <f t="shared" si="220"/>
        <v>37.78</v>
      </c>
      <c r="W852" s="77" t="str">
        <f t="shared" si="213"/>
        <v/>
      </c>
      <c r="Y852" s="51">
        <f t="shared" ca="1" si="208"/>
        <v>239</v>
      </c>
      <c r="Z852" s="52">
        <f t="shared" ca="1" si="221"/>
        <v>0.34520547945205482</v>
      </c>
      <c r="AB852" s="46">
        <f t="shared" si="209"/>
        <v>7.3407609317918876</v>
      </c>
      <c r="AC852" s="83" t="str">
        <f t="shared" si="214"/>
        <v/>
      </c>
      <c r="AE852" s="55"/>
      <c r="AF852" s="72"/>
      <c r="AG852" s="72"/>
      <c r="AH852" s="66"/>
    </row>
    <row r="853" spans="1:34" ht="16" hidden="1" thickBot="1" x14ac:dyDescent="0.25">
      <c r="A853" s="82"/>
      <c r="B853" s="62"/>
      <c r="C853" s="87"/>
      <c r="D853" s="62"/>
      <c r="F853" s="55"/>
      <c r="G853" s="56"/>
      <c r="H853" s="55"/>
      <c r="I853" s="57"/>
      <c r="J853" s="65"/>
      <c r="K853" s="66"/>
      <c r="L853" s="132"/>
      <c r="M853" s="43">
        <f t="shared" si="215"/>
        <v>0</v>
      </c>
      <c r="N853" s="49">
        <f t="shared" si="216"/>
        <v>37.78</v>
      </c>
      <c r="O853" s="42">
        <f t="shared" si="217"/>
        <v>0</v>
      </c>
      <c r="P853" s="48">
        <f t="shared" ca="1" si="218"/>
        <v>46274.525928000003</v>
      </c>
      <c r="Q853" s="41">
        <f t="shared" ca="1" si="219"/>
        <v>46289.525928000003</v>
      </c>
      <c r="R853" s="41" t="b">
        <f t="shared" ca="1" si="210"/>
        <v>1</v>
      </c>
      <c r="S853" s="44">
        <f t="shared" ca="1" si="211"/>
        <v>15</v>
      </c>
      <c r="T853" s="74">
        <f t="shared" ca="1" si="212"/>
        <v>46304.525928000003</v>
      </c>
      <c r="U853" s="75" t="s">
        <v>83</v>
      </c>
      <c r="V853" s="76">
        <f t="shared" si="220"/>
        <v>37.78</v>
      </c>
      <c r="W853" s="77" t="str">
        <f t="shared" si="213"/>
        <v/>
      </c>
      <c r="Y853" s="51">
        <f t="shared" ca="1" si="208"/>
        <v>239</v>
      </c>
      <c r="Z853" s="52">
        <f t="shared" ca="1" si="221"/>
        <v>0.34520547945205482</v>
      </c>
      <c r="AB853" s="46">
        <f t="shared" si="209"/>
        <v>7.3407609317918876</v>
      </c>
      <c r="AC853" s="83" t="str">
        <f t="shared" si="214"/>
        <v/>
      </c>
      <c r="AE853" s="55"/>
      <c r="AF853" s="72"/>
      <c r="AG853" s="72"/>
      <c r="AH853" s="66"/>
    </row>
    <row r="854" spans="1:34" ht="16" hidden="1" thickBot="1" x14ac:dyDescent="0.25">
      <c r="A854" s="82"/>
      <c r="B854" s="62"/>
      <c r="C854" s="87"/>
      <c r="D854" s="62"/>
      <c r="F854" s="55"/>
      <c r="G854" s="56"/>
      <c r="H854" s="55"/>
      <c r="I854" s="57"/>
      <c r="J854" s="65"/>
      <c r="K854" s="66"/>
      <c r="L854" s="132"/>
      <c r="M854" s="43">
        <f t="shared" si="215"/>
        <v>0</v>
      </c>
      <c r="N854" s="49">
        <f t="shared" si="216"/>
        <v>37.78</v>
      </c>
      <c r="O854" s="42">
        <f t="shared" si="217"/>
        <v>0</v>
      </c>
      <c r="P854" s="48">
        <f t="shared" ca="1" si="218"/>
        <v>46274.525928000003</v>
      </c>
      <c r="Q854" s="41">
        <f t="shared" ca="1" si="219"/>
        <v>46289.525928000003</v>
      </c>
      <c r="R854" s="41" t="b">
        <f t="shared" ca="1" si="210"/>
        <v>1</v>
      </c>
      <c r="S854" s="44">
        <f t="shared" ca="1" si="211"/>
        <v>15</v>
      </c>
      <c r="T854" s="74">
        <f t="shared" ca="1" si="212"/>
        <v>46304.525928000003</v>
      </c>
      <c r="U854" s="75" t="s">
        <v>83</v>
      </c>
      <c r="V854" s="76">
        <f t="shared" si="220"/>
        <v>37.78</v>
      </c>
      <c r="W854" s="77" t="str">
        <f t="shared" si="213"/>
        <v/>
      </c>
      <c r="Y854" s="51">
        <f t="shared" ca="1" si="208"/>
        <v>239</v>
      </c>
      <c r="Z854" s="52">
        <f t="shared" ca="1" si="221"/>
        <v>0.34520547945205482</v>
      </c>
      <c r="AB854" s="46">
        <f t="shared" si="209"/>
        <v>7.3407609317918876</v>
      </c>
      <c r="AC854" s="83" t="str">
        <f t="shared" si="214"/>
        <v/>
      </c>
      <c r="AE854" s="55"/>
      <c r="AF854" s="72"/>
      <c r="AG854" s="72"/>
      <c r="AH854" s="66"/>
    </row>
    <row r="855" spans="1:34" ht="16" hidden="1" thickBot="1" x14ac:dyDescent="0.25">
      <c r="A855" s="82"/>
      <c r="B855" s="62"/>
      <c r="C855" s="87"/>
      <c r="D855" s="62"/>
      <c r="F855" s="55"/>
      <c r="G855" s="56"/>
      <c r="H855" s="55"/>
      <c r="I855" s="57"/>
      <c r="J855" s="65"/>
      <c r="K855" s="66"/>
      <c r="L855" s="132"/>
      <c r="M855" s="43">
        <f t="shared" si="215"/>
        <v>0</v>
      </c>
      <c r="N855" s="49">
        <f t="shared" si="216"/>
        <v>37.78</v>
      </c>
      <c r="O855" s="42">
        <f t="shared" si="217"/>
        <v>0</v>
      </c>
      <c r="P855" s="48">
        <f t="shared" ca="1" si="218"/>
        <v>46274.525928000003</v>
      </c>
      <c r="Q855" s="41">
        <f t="shared" ca="1" si="219"/>
        <v>46289.525928000003</v>
      </c>
      <c r="R855" s="41" t="b">
        <f t="shared" ca="1" si="210"/>
        <v>1</v>
      </c>
      <c r="S855" s="44">
        <f t="shared" ca="1" si="211"/>
        <v>15</v>
      </c>
      <c r="T855" s="74">
        <f t="shared" ca="1" si="212"/>
        <v>46304.525928000003</v>
      </c>
      <c r="U855" s="75" t="s">
        <v>83</v>
      </c>
      <c r="V855" s="76">
        <f t="shared" si="220"/>
        <v>37.78</v>
      </c>
      <c r="W855" s="77" t="str">
        <f t="shared" si="213"/>
        <v/>
      </c>
      <c r="Y855" s="51">
        <f t="shared" ca="1" si="208"/>
        <v>239</v>
      </c>
      <c r="Z855" s="52">
        <f t="shared" ca="1" si="221"/>
        <v>0.34520547945205482</v>
      </c>
      <c r="AB855" s="46">
        <f t="shared" si="209"/>
        <v>7.3407609317918876</v>
      </c>
      <c r="AC855" s="83" t="str">
        <f t="shared" si="214"/>
        <v/>
      </c>
      <c r="AE855" s="55"/>
      <c r="AF855" s="72"/>
      <c r="AG855" s="72"/>
      <c r="AH855" s="66"/>
    </row>
    <row r="856" spans="1:34" ht="16" hidden="1" thickBot="1" x14ac:dyDescent="0.25">
      <c r="A856" s="82"/>
      <c r="B856" s="62"/>
      <c r="C856" s="87"/>
      <c r="D856" s="62"/>
      <c r="F856" s="55"/>
      <c r="G856" s="56"/>
      <c r="H856" s="55"/>
      <c r="I856" s="57"/>
      <c r="J856" s="65"/>
      <c r="K856" s="66"/>
      <c r="L856" s="132"/>
      <c r="M856" s="43">
        <f t="shared" si="215"/>
        <v>0</v>
      </c>
      <c r="N856" s="49">
        <f t="shared" si="216"/>
        <v>37.78</v>
      </c>
      <c r="O856" s="42">
        <f t="shared" si="217"/>
        <v>0</v>
      </c>
      <c r="P856" s="48">
        <f t="shared" ca="1" si="218"/>
        <v>46274.525928000003</v>
      </c>
      <c r="Q856" s="41">
        <f t="shared" ca="1" si="219"/>
        <v>46289.525928000003</v>
      </c>
      <c r="R856" s="41" t="b">
        <f t="shared" ca="1" si="210"/>
        <v>1</v>
      </c>
      <c r="S856" s="44">
        <f t="shared" ca="1" si="211"/>
        <v>15</v>
      </c>
      <c r="T856" s="74">
        <f t="shared" ca="1" si="212"/>
        <v>46304.525928000003</v>
      </c>
      <c r="U856" s="75" t="s">
        <v>83</v>
      </c>
      <c r="V856" s="76">
        <f t="shared" si="220"/>
        <v>37.78</v>
      </c>
      <c r="W856" s="77" t="str">
        <f t="shared" si="213"/>
        <v/>
      </c>
      <c r="Y856" s="51">
        <f t="shared" ca="1" si="208"/>
        <v>239</v>
      </c>
      <c r="Z856" s="52">
        <f t="shared" ca="1" si="221"/>
        <v>0.34520547945205482</v>
      </c>
      <c r="AB856" s="46">
        <f t="shared" si="209"/>
        <v>7.3407609317918876</v>
      </c>
      <c r="AC856" s="83" t="str">
        <f t="shared" si="214"/>
        <v/>
      </c>
      <c r="AE856" s="55"/>
      <c r="AF856" s="72"/>
      <c r="AG856" s="72"/>
      <c r="AH856" s="66"/>
    </row>
    <row r="857" spans="1:34" ht="16" hidden="1" thickBot="1" x14ac:dyDescent="0.25">
      <c r="A857" s="82"/>
      <c r="B857" s="62"/>
      <c r="C857" s="87"/>
      <c r="D857" s="62"/>
      <c r="F857" s="55"/>
      <c r="G857" s="56"/>
      <c r="H857" s="55"/>
      <c r="I857" s="57"/>
      <c r="J857" s="65"/>
      <c r="K857" s="66"/>
      <c r="L857" s="132"/>
      <c r="M857" s="43">
        <f t="shared" si="215"/>
        <v>0</v>
      </c>
      <c r="N857" s="49">
        <f t="shared" si="216"/>
        <v>37.78</v>
      </c>
      <c r="O857" s="42">
        <f t="shared" si="217"/>
        <v>0</v>
      </c>
      <c r="P857" s="48">
        <f t="shared" ca="1" si="218"/>
        <v>46274.525928000003</v>
      </c>
      <c r="Q857" s="41">
        <f t="shared" ca="1" si="219"/>
        <v>46289.525928000003</v>
      </c>
      <c r="R857" s="41" t="b">
        <f t="shared" ca="1" si="210"/>
        <v>1</v>
      </c>
      <c r="S857" s="44">
        <f t="shared" ca="1" si="211"/>
        <v>15</v>
      </c>
      <c r="T857" s="74">
        <f t="shared" ca="1" si="212"/>
        <v>46304.525928000003</v>
      </c>
      <c r="U857" s="75" t="s">
        <v>83</v>
      </c>
      <c r="V857" s="76">
        <f t="shared" si="220"/>
        <v>37.78</v>
      </c>
      <c r="W857" s="77" t="str">
        <f t="shared" si="213"/>
        <v/>
      </c>
      <c r="Y857" s="51">
        <f t="shared" ca="1" si="208"/>
        <v>239</v>
      </c>
      <c r="Z857" s="52">
        <f t="shared" ca="1" si="221"/>
        <v>0.34520547945205482</v>
      </c>
      <c r="AB857" s="46">
        <f t="shared" si="209"/>
        <v>7.3407609317918876</v>
      </c>
      <c r="AC857" s="83" t="str">
        <f t="shared" si="214"/>
        <v/>
      </c>
      <c r="AE857" s="55"/>
      <c r="AF857" s="72"/>
      <c r="AG857" s="72"/>
      <c r="AH857" s="66"/>
    </row>
    <row r="858" spans="1:34" ht="16" hidden="1" thickBot="1" x14ac:dyDescent="0.25">
      <c r="A858" s="82"/>
      <c r="B858" s="62"/>
      <c r="C858" s="87"/>
      <c r="D858" s="62"/>
      <c r="F858" s="55"/>
      <c r="G858" s="56"/>
      <c r="H858" s="55"/>
      <c r="I858" s="57"/>
      <c r="J858" s="65"/>
      <c r="K858" s="66"/>
      <c r="L858" s="132"/>
      <c r="M858" s="43">
        <f t="shared" si="215"/>
        <v>0</v>
      </c>
      <c r="N858" s="49">
        <f t="shared" si="216"/>
        <v>37.78</v>
      </c>
      <c r="O858" s="42">
        <f t="shared" si="217"/>
        <v>0</v>
      </c>
      <c r="P858" s="48">
        <f t="shared" ca="1" si="218"/>
        <v>46274.525928000003</v>
      </c>
      <c r="Q858" s="41">
        <f t="shared" ca="1" si="219"/>
        <v>46289.525928000003</v>
      </c>
      <c r="R858" s="41" t="b">
        <f t="shared" ca="1" si="210"/>
        <v>1</v>
      </c>
      <c r="S858" s="44">
        <f t="shared" ca="1" si="211"/>
        <v>15</v>
      </c>
      <c r="T858" s="74">
        <f t="shared" ca="1" si="212"/>
        <v>46304.525928000003</v>
      </c>
      <c r="U858" s="75" t="s">
        <v>83</v>
      </c>
      <c r="V858" s="76">
        <f t="shared" si="220"/>
        <v>37.78</v>
      </c>
      <c r="W858" s="77" t="str">
        <f t="shared" si="213"/>
        <v/>
      </c>
      <c r="Y858" s="51">
        <f t="shared" ca="1" si="208"/>
        <v>239</v>
      </c>
      <c r="Z858" s="52">
        <f t="shared" ca="1" si="221"/>
        <v>0.34520547945205482</v>
      </c>
      <c r="AB858" s="46">
        <f t="shared" si="209"/>
        <v>7.3407609317918876</v>
      </c>
      <c r="AC858" s="83" t="str">
        <f t="shared" si="214"/>
        <v/>
      </c>
      <c r="AE858" s="55"/>
      <c r="AF858" s="72"/>
      <c r="AG858" s="72"/>
      <c r="AH858" s="66"/>
    </row>
    <row r="859" spans="1:34" ht="16" hidden="1" thickBot="1" x14ac:dyDescent="0.25">
      <c r="A859" s="82"/>
      <c r="B859" s="62"/>
      <c r="C859" s="87"/>
      <c r="D859" s="62"/>
      <c r="F859" s="55"/>
      <c r="G859" s="56"/>
      <c r="H859" s="55"/>
      <c r="I859" s="57"/>
      <c r="J859" s="65"/>
      <c r="K859" s="66"/>
      <c r="L859" s="132"/>
      <c r="M859" s="43">
        <f t="shared" si="215"/>
        <v>0</v>
      </c>
      <c r="N859" s="49">
        <f t="shared" si="216"/>
        <v>37.78</v>
      </c>
      <c r="O859" s="42">
        <f t="shared" si="217"/>
        <v>0</v>
      </c>
      <c r="P859" s="48">
        <f t="shared" ca="1" si="218"/>
        <v>46274.525928000003</v>
      </c>
      <c r="Q859" s="41">
        <f t="shared" ca="1" si="219"/>
        <v>46289.525928000003</v>
      </c>
      <c r="R859" s="41" t="b">
        <f t="shared" ca="1" si="210"/>
        <v>1</v>
      </c>
      <c r="S859" s="44">
        <f t="shared" ca="1" si="211"/>
        <v>15</v>
      </c>
      <c r="T859" s="74">
        <f t="shared" ca="1" si="212"/>
        <v>46304.525928000003</v>
      </c>
      <c r="U859" s="75" t="s">
        <v>83</v>
      </c>
      <c r="V859" s="76">
        <f t="shared" si="220"/>
        <v>37.78</v>
      </c>
      <c r="W859" s="77" t="str">
        <f t="shared" si="213"/>
        <v/>
      </c>
      <c r="Y859" s="51">
        <f t="shared" ca="1" si="208"/>
        <v>239</v>
      </c>
      <c r="Z859" s="52">
        <f t="shared" ca="1" si="221"/>
        <v>0.34520547945205482</v>
      </c>
      <c r="AB859" s="46">
        <f t="shared" si="209"/>
        <v>7.3407609317918876</v>
      </c>
      <c r="AC859" s="83" t="str">
        <f t="shared" si="214"/>
        <v/>
      </c>
      <c r="AE859" s="55"/>
      <c r="AF859" s="72"/>
      <c r="AG859" s="72"/>
      <c r="AH859" s="66"/>
    </row>
    <row r="860" spans="1:34" ht="16" hidden="1" thickBot="1" x14ac:dyDescent="0.25">
      <c r="A860" s="82"/>
      <c r="B860" s="62"/>
      <c r="C860" s="87"/>
      <c r="D860" s="62"/>
      <c r="F860" s="55"/>
      <c r="G860" s="56"/>
      <c r="H860" s="55"/>
      <c r="I860" s="57"/>
      <c r="J860" s="65"/>
      <c r="K860" s="66"/>
      <c r="L860" s="132"/>
      <c r="M860" s="43">
        <f t="shared" si="215"/>
        <v>0</v>
      </c>
      <c r="N860" s="49">
        <f t="shared" si="216"/>
        <v>37.78</v>
      </c>
      <c r="O860" s="42">
        <f t="shared" si="217"/>
        <v>0</v>
      </c>
      <c r="P860" s="48">
        <f t="shared" ca="1" si="218"/>
        <v>46274.525928000003</v>
      </c>
      <c r="Q860" s="41">
        <f t="shared" ca="1" si="219"/>
        <v>46289.525928000003</v>
      </c>
      <c r="R860" s="41" t="b">
        <f t="shared" ca="1" si="210"/>
        <v>1</v>
      </c>
      <c r="S860" s="44">
        <f t="shared" ca="1" si="211"/>
        <v>15</v>
      </c>
      <c r="T860" s="74">
        <f t="shared" ca="1" si="212"/>
        <v>46304.525928000003</v>
      </c>
      <c r="U860" s="75" t="s">
        <v>83</v>
      </c>
      <c r="V860" s="76">
        <f t="shared" si="220"/>
        <v>37.78</v>
      </c>
      <c r="W860" s="77" t="str">
        <f t="shared" si="213"/>
        <v/>
      </c>
      <c r="Y860" s="51">
        <f t="shared" ca="1" si="208"/>
        <v>239</v>
      </c>
      <c r="Z860" s="52">
        <f t="shared" ca="1" si="221"/>
        <v>0.34520547945205482</v>
      </c>
      <c r="AB860" s="46">
        <f t="shared" si="209"/>
        <v>7.3407609317918876</v>
      </c>
      <c r="AC860" s="83" t="str">
        <f t="shared" si="214"/>
        <v/>
      </c>
      <c r="AE860" s="55"/>
      <c r="AF860" s="72"/>
      <c r="AG860" s="72"/>
      <c r="AH860" s="66"/>
    </row>
    <row r="861" spans="1:34" ht="16" hidden="1" thickBot="1" x14ac:dyDescent="0.25">
      <c r="A861" s="82"/>
      <c r="B861" s="62"/>
      <c r="C861" s="87"/>
      <c r="D861" s="62"/>
      <c r="F861" s="55"/>
      <c r="G861" s="56"/>
      <c r="H861" s="55"/>
      <c r="I861" s="57"/>
      <c r="J861" s="65"/>
      <c r="K861" s="66"/>
      <c r="L861" s="132"/>
      <c r="M861" s="43">
        <f t="shared" si="215"/>
        <v>0</v>
      </c>
      <c r="N861" s="49">
        <f t="shared" si="216"/>
        <v>37.78</v>
      </c>
      <c r="O861" s="42">
        <f t="shared" si="217"/>
        <v>0</v>
      </c>
      <c r="P861" s="48">
        <f t="shared" ca="1" si="218"/>
        <v>46274.525928000003</v>
      </c>
      <c r="Q861" s="41">
        <f t="shared" ca="1" si="219"/>
        <v>46289.525928000003</v>
      </c>
      <c r="R861" s="41" t="b">
        <f t="shared" ca="1" si="210"/>
        <v>1</v>
      </c>
      <c r="S861" s="44">
        <f t="shared" ca="1" si="211"/>
        <v>15</v>
      </c>
      <c r="T861" s="74">
        <f t="shared" ca="1" si="212"/>
        <v>46304.525928000003</v>
      </c>
      <c r="U861" s="75" t="s">
        <v>83</v>
      </c>
      <c r="V861" s="76">
        <f t="shared" si="220"/>
        <v>37.78</v>
      </c>
      <c r="W861" s="77" t="str">
        <f t="shared" si="213"/>
        <v/>
      </c>
      <c r="Y861" s="51">
        <f t="shared" ca="1" si="208"/>
        <v>239</v>
      </c>
      <c r="Z861" s="52">
        <f t="shared" ca="1" si="221"/>
        <v>0.34520547945205482</v>
      </c>
      <c r="AB861" s="46">
        <f t="shared" si="209"/>
        <v>7.3407609317918876</v>
      </c>
      <c r="AC861" s="83" t="str">
        <f t="shared" si="214"/>
        <v/>
      </c>
      <c r="AE861" s="55"/>
      <c r="AF861" s="72"/>
      <c r="AG861" s="72"/>
      <c r="AH861" s="66"/>
    </row>
    <row r="862" spans="1:34" ht="16" hidden="1" thickBot="1" x14ac:dyDescent="0.25">
      <c r="A862" s="82"/>
      <c r="B862" s="62"/>
      <c r="C862" s="87"/>
      <c r="D862" s="62"/>
      <c r="F862" s="55"/>
      <c r="G862" s="56"/>
      <c r="H862" s="55"/>
      <c r="I862" s="57"/>
      <c r="J862" s="65"/>
      <c r="K862" s="66"/>
      <c r="L862" s="132"/>
      <c r="M862" s="43">
        <f t="shared" si="215"/>
        <v>0</v>
      </c>
      <c r="N862" s="49">
        <f t="shared" si="216"/>
        <v>37.78</v>
      </c>
      <c r="O862" s="42">
        <f t="shared" si="217"/>
        <v>0</v>
      </c>
      <c r="P862" s="48">
        <f t="shared" ca="1" si="218"/>
        <v>46274.525928000003</v>
      </c>
      <c r="Q862" s="41">
        <f t="shared" ca="1" si="219"/>
        <v>46289.525928000003</v>
      </c>
      <c r="R862" s="41" t="b">
        <f t="shared" ca="1" si="210"/>
        <v>1</v>
      </c>
      <c r="S862" s="44">
        <f t="shared" ca="1" si="211"/>
        <v>15</v>
      </c>
      <c r="T862" s="74">
        <f t="shared" ca="1" si="212"/>
        <v>46304.525928000003</v>
      </c>
      <c r="U862" s="75" t="s">
        <v>83</v>
      </c>
      <c r="V862" s="76">
        <f t="shared" si="220"/>
        <v>37.78</v>
      </c>
      <c r="W862" s="77" t="str">
        <f t="shared" si="213"/>
        <v/>
      </c>
      <c r="Y862" s="51">
        <f t="shared" ca="1" si="208"/>
        <v>239</v>
      </c>
      <c r="Z862" s="52">
        <f t="shared" ca="1" si="221"/>
        <v>0.34520547945205482</v>
      </c>
      <c r="AB862" s="46">
        <f t="shared" si="209"/>
        <v>7.3407609317918876</v>
      </c>
      <c r="AC862" s="83" t="str">
        <f t="shared" si="214"/>
        <v/>
      </c>
      <c r="AE862" s="55"/>
      <c r="AF862" s="72"/>
      <c r="AG862" s="72"/>
      <c r="AH862" s="66"/>
    </row>
    <row r="863" spans="1:34" ht="16" hidden="1" thickBot="1" x14ac:dyDescent="0.25">
      <c r="A863" s="82"/>
      <c r="B863" s="62"/>
      <c r="C863" s="87"/>
      <c r="D863" s="62"/>
      <c r="F863" s="55"/>
      <c r="G863" s="56"/>
      <c r="H863" s="55"/>
      <c r="I863" s="57"/>
      <c r="J863" s="65"/>
      <c r="K863" s="66"/>
      <c r="L863" s="132"/>
      <c r="M863" s="43">
        <f t="shared" si="215"/>
        <v>0</v>
      </c>
      <c r="N863" s="49">
        <f t="shared" si="216"/>
        <v>37.78</v>
      </c>
      <c r="O863" s="42">
        <f t="shared" si="217"/>
        <v>0</v>
      </c>
      <c r="P863" s="48">
        <f t="shared" ca="1" si="218"/>
        <v>46274.525928000003</v>
      </c>
      <c r="Q863" s="41">
        <f t="shared" ca="1" si="219"/>
        <v>46289.525928000003</v>
      </c>
      <c r="R863" s="41" t="b">
        <f t="shared" ca="1" si="210"/>
        <v>1</v>
      </c>
      <c r="S863" s="44">
        <f t="shared" ca="1" si="211"/>
        <v>15</v>
      </c>
      <c r="T863" s="74">
        <f t="shared" ca="1" si="212"/>
        <v>46304.525928000003</v>
      </c>
      <c r="U863" s="75" t="s">
        <v>83</v>
      </c>
      <c r="V863" s="76">
        <f t="shared" si="220"/>
        <v>37.78</v>
      </c>
      <c r="W863" s="77" t="str">
        <f t="shared" si="213"/>
        <v/>
      </c>
      <c r="Y863" s="51">
        <f t="shared" ca="1" si="208"/>
        <v>239</v>
      </c>
      <c r="Z863" s="52">
        <f t="shared" ca="1" si="221"/>
        <v>0.34520547945205482</v>
      </c>
      <c r="AB863" s="46">
        <f t="shared" si="209"/>
        <v>7.3407609317918876</v>
      </c>
      <c r="AC863" s="83" t="str">
        <f t="shared" si="214"/>
        <v/>
      </c>
      <c r="AE863" s="55"/>
      <c r="AF863" s="72"/>
      <c r="AG863" s="72"/>
      <c r="AH863" s="66"/>
    </row>
    <row r="864" spans="1:34" ht="16" hidden="1" thickBot="1" x14ac:dyDescent="0.25">
      <c r="A864" s="82"/>
      <c r="B864" s="62"/>
      <c r="C864" s="87"/>
      <c r="D864" s="62"/>
      <c r="F864" s="55"/>
      <c r="G864" s="56"/>
      <c r="H864" s="55"/>
      <c r="I864" s="57"/>
      <c r="J864" s="65"/>
      <c r="K864" s="66"/>
      <c r="L864" s="132"/>
      <c r="M864" s="43">
        <f t="shared" si="215"/>
        <v>0</v>
      </c>
      <c r="N864" s="49">
        <f t="shared" si="216"/>
        <v>37.78</v>
      </c>
      <c r="O864" s="42">
        <f t="shared" si="217"/>
        <v>0</v>
      </c>
      <c r="P864" s="48">
        <f t="shared" ca="1" si="218"/>
        <v>46274.525928000003</v>
      </c>
      <c r="Q864" s="41">
        <f t="shared" ca="1" si="219"/>
        <v>46289.525928000003</v>
      </c>
      <c r="R864" s="41" t="b">
        <f t="shared" ca="1" si="210"/>
        <v>1</v>
      </c>
      <c r="S864" s="44">
        <f t="shared" ca="1" si="211"/>
        <v>15</v>
      </c>
      <c r="T864" s="74">
        <f t="shared" ca="1" si="212"/>
        <v>46304.525928000003</v>
      </c>
      <c r="U864" s="75" t="s">
        <v>83</v>
      </c>
      <c r="V864" s="76">
        <f t="shared" si="220"/>
        <v>37.78</v>
      </c>
      <c r="W864" s="77" t="str">
        <f t="shared" si="213"/>
        <v/>
      </c>
      <c r="Y864" s="51">
        <f t="shared" ref="Y864:Y907" ca="1" si="222">INT(IF(AC$7&gt;T864,AC$7-T864,AC$7+365-T864)+0.5)+S864</f>
        <v>239</v>
      </c>
      <c r="Z864" s="52">
        <f t="shared" ca="1" si="221"/>
        <v>0.34520547945205482</v>
      </c>
      <c r="AB864" s="46">
        <f t="shared" ref="AB864:AB907" si="223">MOD(O864-AB$10,24)/1.00273790935</f>
        <v>7.3407609317918876</v>
      </c>
      <c r="AC864" s="83" t="str">
        <f t="shared" si="214"/>
        <v/>
      </c>
      <c r="AE864" s="55"/>
      <c r="AF864" s="72"/>
      <c r="AG864" s="72"/>
      <c r="AH864" s="66"/>
    </row>
    <row r="865" spans="1:34" ht="16" hidden="1" thickBot="1" x14ac:dyDescent="0.25">
      <c r="A865" s="82"/>
      <c r="B865" s="62"/>
      <c r="C865" s="87"/>
      <c r="D865" s="62"/>
      <c r="F865" s="55"/>
      <c r="G865" s="56"/>
      <c r="H865" s="55"/>
      <c r="I865" s="57"/>
      <c r="J865" s="65"/>
      <c r="K865" s="66"/>
      <c r="L865" s="132"/>
      <c r="M865" s="43">
        <f t="shared" si="215"/>
        <v>0</v>
      </c>
      <c r="N865" s="49">
        <f t="shared" si="216"/>
        <v>37.78</v>
      </c>
      <c r="O865" s="42">
        <f t="shared" si="217"/>
        <v>0</v>
      </c>
      <c r="P865" s="48">
        <f t="shared" ca="1" si="218"/>
        <v>46274.525928000003</v>
      </c>
      <c r="Q865" s="41">
        <f t="shared" ca="1" si="219"/>
        <v>46289.525928000003</v>
      </c>
      <c r="R865" s="41" t="b">
        <f t="shared" ca="1" si="210"/>
        <v>1</v>
      </c>
      <c r="S865" s="44">
        <f t="shared" ca="1" si="211"/>
        <v>15</v>
      </c>
      <c r="T865" s="74">
        <f t="shared" ca="1" si="212"/>
        <v>46304.525928000003</v>
      </c>
      <c r="U865" s="75" t="s">
        <v>83</v>
      </c>
      <c r="V865" s="76">
        <f t="shared" si="220"/>
        <v>37.78</v>
      </c>
      <c r="W865" s="77" t="str">
        <f t="shared" si="213"/>
        <v/>
      </c>
      <c r="Y865" s="51">
        <f t="shared" ca="1" si="222"/>
        <v>239</v>
      </c>
      <c r="Z865" s="52">
        <f t="shared" ca="1" si="221"/>
        <v>0.34520547945205482</v>
      </c>
      <c r="AB865" s="46">
        <f t="shared" si="223"/>
        <v>7.3407609317918876</v>
      </c>
      <c r="AC865" s="83" t="str">
        <f t="shared" si="214"/>
        <v/>
      </c>
      <c r="AE865" s="55"/>
      <c r="AF865" s="72"/>
      <c r="AG865" s="72"/>
      <c r="AH865" s="66"/>
    </row>
    <row r="866" spans="1:34" ht="16" hidden="1" thickBot="1" x14ac:dyDescent="0.25">
      <c r="A866" s="82"/>
      <c r="B866" s="62"/>
      <c r="C866" s="87"/>
      <c r="D866" s="62"/>
      <c r="F866" s="55"/>
      <c r="G866" s="56"/>
      <c r="H866" s="55"/>
      <c r="I866" s="57"/>
      <c r="J866" s="65"/>
      <c r="K866" s="66"/>
      <c r="L866" s="132"/>
      <c r="M866" s="43">
        <f t="shared" si="215"/>
        <v>0</v>
      </c>
      <c r="N866" s="49">
        <f t="shared" si="216"/>
        <v>37.78</v>
      </c>
      <c r="O866" s="42">
        <f t="shared" si="217"/>
        <v>0</v>
      </c>
      <c r="P866" s="48">
        <f t="shared" ca="1" si="218"/>
        <v>46274.525928000003</v>
      </c>
      <c r="Q866" s="41">
        <f t="shared" ca="1" si="219"/>
        <v>46289.525928000003</v>
      </c>
      <c r="R866" s="41" t="b">
        <f t="shared" ca="1" si="210"/>
        <v>1</v>
      </c>
      <c r="S866" s="44">
        <f t="shared" ca="1" si="211"/>
        <v>15</v>
      </c>
      <c r="T866" s="74">
        <f t="shared" ca="1" si="212"/>
        <v>46304.525928000003</v>
      </c>
      <c r="U866" s="75" t="s">
        <v>83</v>
      </c>
      <c r="V866" s="76">
        <f t="shared" si="220"/>
        <v>37.78</v>
      </c>
      <c r="W866" s="77" t="str">
        <f t="shared" si="213"/>
        <v/>
      </c>
      <c r="Y866" s="51">
        <f t="shared" ca="1" si="222"/>
        <v>239</v>
      </c>
      <c r="Z866" s="52">
        <f t="shared" ca="1" si="221"/>
        <v>0.34520547945205482</v>
      </c>
      <c r="AB866" s="46">
        <f t="shared" si="223"/>
        <v>7.3407609317918876</v>
      </c>
      <c r="AC866" s="83" t="str">
        <f t="shared" si="214"/>
        <v/>
      </c>
      <c r="AE866" s="55"/>
      <c r="AF866" s="72"/>
      <c r="AG866" s="72"/>
      <c r="AH866" s="66"/>
    </row>
    <row r="867" spans="1:34" ht="16" hidden="1" thickBot="1" x14ac:dyDescent="0.25">
      <c r="A867" s="82"/>
      <c r="B867" s="62"/>
      <c r="C867" s="87"/>
      <c r="D867" s="62"/>
      <c r="F867" s="55"/>
      <c r="G867" s="56"/>
      <c r="H867" s="55"/>
      <c r="I867" s="57"/>
      <c r="J867" s="65"/>
      <c r="K867" s="66"/>
      <c r="L867" s="132"/>
      <c r="M867" s="43">
        <f t="shared" si="215"/>
        <v>0</v>
      </c>
      <c r="N867" s="49">
        <f t="shared" si="216"/>
        <v>37.78</v>
      </c>
      <c r="O867" s="42">
        <f t="shared" si="217"/>
        <v>0</v>
      </c>
      <c r="P867" s="48">
        <f t="shared" ca="1" si="218"/>
        <v>46274.525928000003</v>
      </c>
      <c r="Q867" s="41">
        <f t="shared" ca="1" si="219"/>
        <v>46289.525928000003</v>
      </c>
      <c r="R867" s="41" t="b">
        <f t="shared" ca="1" si="210"/>
        <v>1</v>
      </c>
      <c r="S867" s="44">
        <f t="shared" ca="1" si="211"/>
        <v>15</v>
      </c>
      <c r="T867" s="74">
        <f t="shared" ca="1" si="212"/>
        <v>46304.525928000003</v>
      </c>
      <c r="U867" s="75" t="s">
        <v>83</v>
      </c>
      <c r="V867" s="76">
        <f t="shared" si="220"/>
        <v>37.78</v>
      </c>
      <c r="W867" s="77" t="str">
        <f t="shared" si="213"/>
        <v/>
      </c>
      <c r="Y867" s="51">
        <f t="shared" ca="1" si="222"/>
        <v>239</v>
      </c>
      <c r="Z867" s="52">
        <f t="shared" ca="1" si="221"/>
        <v>0.34520547945205482</v>
      </c>
      <c r="AB867" s="46">
        <f t="shared" si="223"/>
        <v>7.3407609317918876</v>
      </c>
      <c r="AC867" s="83" t="str">
        <f t="shared" si="214"/>
        <v/>
      </c>
      <c r="AE867" s="55"/>
      <c r="AF867" s="72"/>
      <c r="AG867" s="72"/>
      <c r="AH867" s="66"/>
    </row>
    <row r="868" spans="1:34" ht="16" hidden="1" thickBot="1" x14ac:dyDescent="0.25">
      <c r="A868" s="82"/>
      <c r="B868" s="62"/>
      <c r="C868" s="87"/>
      <c r="D868" s="62"/>
      <c r="F868" s="55"/>
      <c r="G868" s="56"/>
      <c r="H868" s="55"/>
      <c r="I868" s="57"/>
      <c r="J868" s="65"/>
      <c r="K868" s="66"/>
      <c r="L868" s="132"/>
      <c r="M868" s="43">
        <f t="shared" si="215"/>
        <v>0</v>
      </c>
      <c r="N868" s="49">
        <f t="shared" si="216"/>
        <v>37.78</v>
      </c>
      <c r="O868" s="42">
        <f t="shared" si="217"/>
        <v>0</v>
      </c>
      <c r="P868" s="48">
        <f t="shared" ca="1" si="218"/>
        <v>46274.525928000003</v>
      </c>
      <c r="Q868" s="41">
        <f t="shared" ca="1" si="219"/>
        <v>46289.525928000003</v>
      </c>
      <c r="R868" s="41" t="b">
        <f t="shared" ca="1" si="210"/>
        <v>1</v>
      </c>
      <c r="S868" s="44">
        <f t="shared" ca="1" si="211"/>
        <v>15</v>
      </c>
      <c r="T868" s="74">
        <f t="shared" ca="1" si="212"/>
        <v>46304.525928000003</v>
      </c>
      <c r="U868" s="75" t="s">
        <v>83</v>
      </c>
      <c r="V868" s="76">
        <f t="shared" si="220"/>
        <v>37.78</v>
      </c>
      <c r="W868" s="77" t="str">
        <f t="shared" si="213"/>
        <v/>
      </c>
      <c r="Y868" s="51">
        <f t="shared" ca="1" si="222"/>
        <v>239</v>
      </c>
      <c r="Z868" s="52">
        <f t="shared" ca="1" si="221"/>
        <v>0.34520547945205482</v>
      </c>
      <c r="AB868" s="46">
        <f t="shared" si="223"/>
        <v>7.3407609317918876</v>
      </c>
      <c r="AC868" s="83" t="str">
        <f t="shared" si="214"/>
        <v/>
      </c>
      <c r="AE868" s="55"/>
      <c r="AF868" s="72"/>
      <c r="AG868" s="72"/>
      <c r="AH868" s="66"/>
    </row>
    <row r="869" spans="1:34" ht="16" hidden="1" thickBot="1" x14ac:dyDescent="0.25">
      <c r="A869" s="82"/>
      <c r="B869" s="62"/>
      <c r="C869" s="87"/>
      <c r="D869" s="62"/>
      <c r="F869" s="55"/>
      <c r="G869" s="56"/>
      <c r="H869" s="55"/>
      <c r="I869" s="57"/>
      <c r="J869" s="65"/>
      <c r="K869" s="66"/>
      <c r="L869" s="132"/>
      <c r="M869" s="43">
        <f t="shared" si="215"/>
        <v>0</v>
      </c>
      <c r="N869" s="49">
        <f t="shared" si="216"/>
        <v>37.78</v>
      </c>
      <c r="O869" s="42">
        <f t="shared" si="217"/>
        <v>0</v>
      </c>
      <c r="P869" s="48">
        <f t="shared" ca="1" si="218"/>
        <v>46274.525928000003</v>
      </c>
      <c r="Q869" s="41">
        <f t="shared" ca="1" si="219"/>
        <v>46289.525928000003</v>
      </c>
      <c r="R869" s="41" t="b">
        <f t="shared" ca="1" si="210"/>
        <v>1</v>
      </c>
      <c r="S869" s="44">
        <f t="shared" ca="1" si="211"/>
        <v>15</v>
      </c>
      <c r="T869" s="74">
        <f t="shared" ca="1" si="212"/>
        <v>46304.525928000003</v>
      </c>
      <c r="U869" s="75" t="s">
        <v>83</v>
      </c>
      <c r="V869" s="76">
        <f t="shared" si="220"/>
        <v>37.78</v>
      </c>
      <c r="W869" s="77" t="str">
        <f t="shared" si="213"/>
        <v/>
      </c>
      <c r="Y869" s="51">
        <f t="shared" ca="1" si="222"/>
        <v>239</v>
      </c>
      <c r="Z869" s="52">
        <f t="shared" ca="1" si="221"/>
        <v>0.34520547945205482</v>
      </c>
      <c r="AB869" s="46">
        <f t="shared" si="223"/>
        <v>7.3407609317918876</v>
      </c>
      <c r="AC869" s="83" t="str">
        <f t="shared" si="214"/>
        <v/>
      </c>
      <c r="AE869" s="55"/>
      <c r="AF869" s="72"/>
      <c r="AG869" s="72"/>
      <c r="AH869" s="66"/>
    </row>
    <row r="870" spans="1:34" ht="16" hidden="1" thickBot="1" x14ac:dyDescent="0.25">
      <c r="A870" s="82"/>
      <c r="B870" s="62"/>
      <c r="C870" s="87"/>
      <c r="D870" s="62"/>
      <c r="F870" s="55"/>
      <c r="G870" s="56"/>
      <c r="H870" s="55"/>
      <c r="I870" s="57"/>
      <c r="J870" s="65"/>
      <c r="K870" s="66"/>
      <c r="L870" s="132"/>
      <c r="M870" s="43">
        <f t="shared" si="215"/>
        <v>0</v>
      </c>
      <c r="N870" s="49">
        <f t="shared" si="216"/>
        <v>37.78</v>
      </c>
      <c r="O870" s="42">
        <f t="shared" si="217"/>
        <v>0</v>
      </c>
      <c r="P870" s="48">
        <f t="shared" ca="1" si="218"/>
        <v>46274.525928000003</v>
      </c>
      <c r="Q870" s="41">
        <f t="shared" ca="1" si="219"/>
        <v>46289.525928000003</v>
      </c>
      <c r="R870" s="41" t="b">
        <f t="shared" ca="1" si="210"/>
        <v>1</v>
      </c>
      <c r="S870" s="44">
        <f t="shared" ca="1" si="211"/>
        <v>15</v>
      </c>
      <c r="T870" s="74">
        <f t="shared" ca="1" si="212"/>
        <v>46304.525928000003</v>
      </c>
      <c r="U870" s="75" t="s">
        <v>83</v>
      </c>
      <c r="V870" s="76">
        <f t="shared" si="220"/>
        <v>37.78</v>
      </c>
      <c r="W870" s="77" t="str">
        <f t="shared" si="213"/>
        <v/>
      </c>
      <c r="Y870" s="51">
        <f t="shared" ca="1" si="222"/>
        <v>239</v>
      </c>
      <c r="Z870" s="52">
        <f t="shared" ca="1" si="221"/>
        <v>0.34520547945205482</v>
      </c>
      <c r="AB870" s="46">
        <f t="shared" si="223"/>
        <v>7.3407609317918876</v>
      </c>
      <c r="AC870" s="83" t="str">
        <f t="shared" si="214"/>
        <v/>
      </c>
      <c r="AE870" s="55"/>
      <c r="AF870" s="72"/>
      <c r="AG870" s="72"/>
      <c r="AH870" s="66"/>
    </row>
    <row r="871" spans="1:34" ht="16" hidden="1" thickBot="1" x14ac:dyDescent="0.25">
      <c r="A871" s="82"/>
      <c r="B871" s="62"/>
      <c r="C871" s="87"/>
      <c r="D871" s="62"/>
      <c r="F871" s="55"/>
      <c r="G871" s="56"/>
      <c r="H871" s="55"/>
      <c r="I871" s="57"/>
      <c r="J871" s="65"/>
      <c r="K871" s="66"/>
      <c r="L871" s="132"/>
      <c r="M871" s="43">
        <f t="shared" si="215"/>
        <v>0</v>
      </c>
      <c r="N871" s="49">
        <f t="shared" si="216"/>
        <v>37.78</v>
      </c>
      <c r="O871" s="42">
        <f t="shared" si="217"/>
        <v>0</v>
      </c>
      <c r="P871" s="48">
        <f t="shared" ca="1" si="218"/>
        <v>46274.525928000003</v>
      </c>
      <c r="Q871" s="41">
        <f t="shared" ca="1" si="219"/>
        <v>46289.525928000003</v>
      </c>
      <c r="R871" s="41" t="b">
        <f t="shared" ca="1" si="210"/>
        <v>1</v>
      </c>
      <c r="S871" s="44">
        <f t="shared" ca="1" si="211"/>
        <v>15</v>
      </c>
      <c r="T871" s="74">
        <f t="shared" ca="1" si="212"/>
        <v>46304.525928000003</v>
      </c>
      <c r="U871" s="75" t="s">
        <v>83</v>
      </c>
      <c r="V871" s="76">
        <f t="shared" si="220"/>
        <v>37.78</v>
      </c>
      <c r="W871" s="77" t="str">
        <f t="shared" si="213"/>
        <v/>
      </c>
      <c r="Y871" s="51">
        <f t="shared" ca="1" si="222"/>
        <v>239</v>
      </c>
      <c r="Z871" s="52">
        <f t="shared" ca="1" si="221"/>
        <v>0.34520547945205482</v>
      </c>
      <c r="AB871" s="46">
        <f t="shared" si="223"/>
        <v>7.3407609317918876</v>
      </c>
      <c r="AC871" s="83" t="str">
        <f t="shared" si="214"/>
        <v/>
      </c>
      <c r="AE871" s="55"/>
      <c r="AF871" s="72"/>
      <c r="AG871" s="72"/>
      <c r="AH871" s="66"/>
    </row>
    <row r="872" spans="1:34" ht="16" hidden="1" thickBot="1" x14ac:dyDescent="0.25">
      <c r="A872" s="82"/>
      <c r="B872" s="62"/>
      <c r="C872" s="87"/>
      <c r="D872" s="62"/>
      <c r="F872" s="55"/>
      <c r="G872" s="56"/>
      <c r="H872" s="55"/>
      <c r="I872" s="57"/>
      <c r="J872" s="65"/>
      <c r="K872" s="66"/>
      <c r="L872" s="132"/>
      <c r="M872" s="43">
        <f t="shared" si="215"/>
        <v>0</v>
      </c>
      <c r="N872" s="49">
        <f t="shared" si="216"/>
        <v>37.78</v>
      </c>
      <c r="O872" s="42">
        <f t="shared" si="217"/>
        <v>0</v>
      </c>
      <c r="P872" s="48">
        <f t="shared" ca="1" si="218"/>
        <v>46274.525928000003</v>
      </c>
      <c r="Q872" s="41">
        <f t="shared" ca="1" si="219"/>
        <v>46289.525928000003</v>
      </c>
      <c r="R872" s="41" t="b">
        <f t="shared" ca="1" si="210"/>
        <v>1</v>
      </c>
      <c r="S872" s="44">
        <f t="shared" ca="1" si="211"/>
        <v>15</v>
      </c>
      <c r="T872" s="74">
        <f t="shared" ca="1" si="212"/>
        <v>46304.525928000003</v>
      </c>
      <c r="U872" s="75" t="s">
        <v>83</v>
      </c>
      <c r="V872" s="76">
        <f t="shared" si="220"/>
        <v>37.78</v>
      </c>
      <c r="W872" s="77" t="str">
        <f t="shared" si="213"/>
        <v/>
      </c>
      <c r="Y872" s="51">
        <f t="shared" ca="1" si="222"/>
        <v>239</v>
      </c>
      <c r="Z872" s="52">
        <f t="shared" ca="1" si="221"/>
        <v>0.34520547945205482</v>
      </c>
      <c r="AB872" s="46">
        <f t="shared" si="223"/>
        <v>7.3407609317918876</v>
      </c>
      <c r="AC872" s="83" t="str">
        <f t="shared" si="214"/>
        <v/>
      </c>
      <c r="AE872" s="55"/>
      <c r="AF872" s="72"/>
      <c r="AG872" s="72"/>
      <c r="AH872" s="66"/>
    </row>
    <row r="873" spans="1:34" ht="16" hidden="1" thickBot="1" x14ac:dyDescent="0.25">
      <c r="A873" s="82"/>
      <c r="B873" s="62"/>
      <c r="C873" s="87"/>
      <c r="D873" s="62"/>
      <c r="F873" s="55"/>
      <c r="G873" s="56"/>
      <c r="H873" s="55"/>
      <c r="I873" s="57"/>
      <c r="J873" s="65"/>
      <c r="K873" s="66"/>
      <c r="L873" s="132"/>
      <c r="M873" s="43">
        <f t="shared" si="215"/>
        <v>0</v>
      </c>
      <c r="N873" s="49">
        <f t="shared" si="216"/>
        <v>37.78</v>
      </c>
      <c r="O873" s="42">
        <f t="shared" si="217"/>
        <v>0</v>
      </c>
      <c r="P873" s="48">
        <f t="shared" ca="1" si="218"/>
        <v>46274.525928000003</v>
      </c>
      <c r="Q873" s="41">
        <f t="shared" ca="1" si="219"/>
        <v>46289.525928000003</v>
      </c>
      <c r="R873" s="41" t="b">
        <f t="shared" ca="1" si="210"/>
        <v>1</v>
      </c>
      <c r="S873" s="44">
        <f t="shared" ca="1" si="211"/>
        <v>15</v>
      </c>
      <c r="T873" s="74">
        <f t="shared" ca="1" si="212"/>
        <v>46304.525928000003</v>
      </c>
      <c r="U873" s="75" t="s">
        <v>83</v>
      </c>
      <c r="V873" s="76">
        <f t="shared" si="220"/>
        <v>37.78</v>
      </c>
      <c r="W873" s="77" t="str">
        <f t="shared" si="213"/>
        <v/>
      </c>
      <c r="Y873" s="51">
        <f t="shared" ca="1" si="222"/>
        <v>239</v>
      </c>
      <c r="Z873" s="52">
        <f t="shared" ca="1" si="221"/>
        <v>0.34520547945205482</v>
      </c>
      <c r="AB873" s="46">
        <f t="shared" si="223"/>
        <v>7.3407609317918876</v>
      </c>
      <c r="AC873" s="83" t="str">
        <f t="shared" si="214"/>
        <v/>
      </c>
      <c r="AE873" s="55"/>
      <c r="AF873" s="72"/>
      <c r="AG873" s="72"/>
      <c r="AH873" s="66"/>
    </row>
    <row r="874" spans="1:34" ht="16" hidden="1" thickBot="1" x14ac:dyDescent="0.25">
      <c r="A874" s="82"/>
      <c r="B874" s="62"/>
      <c r="C874" s="87"/>
      <c r="D874" s="62"/>
      <c r="F874" s="55"/>
      <c r="G874" s="56"/>
      <c r="H874" s="55"/>
      <c r="I874" s="57"/>
      <c r="J874" s="65"/>
      <c r="K874" s="66"/>
      <c r="L874" s="132"/>
      <c r="M874" s="43">
        <f t="shared" si="215"/>
        <v>0</v>
      </c>
      <c r="N874" s="49">
        <f t="shared" si="216"/>
        <v>37.78</v>
      </c>
      <c r="O874" s="42">
        <f t="shared" si="217"/>
        <v>0</v>
      </c>
      <c r="P874" s="48">
        <f t="shared" ca="1" si="218"/>
        <v>46274.525928000003</v>
      </c>
      <c r="Q874" s="41">
        <f t="shared" ca="1" si="219"/>
        <v>46289.525928000003</v>
      </c>
      <c r="R874" s="41" t="b">
        <f t="shared" ca="1" si="210"/>
        <v>1</v>
      </c>
      <c r="S874" s="44">
        <f t="shared" ca="1" si="211"/>
        <v>15</v>
      </c>
      <c r="T874" s="74">
        <f t="shared" ca="1" si="212"/>
        <v>46304.525928000003</v>
      </c>
      <c r="U874" s="75" t="s">
        <v>83</v>
      </c>
      <c r="V874" s="76">
        <f t="shared" si="220"/>
        <v>37.78</v>
      </c>
      <c r="W874" s="77" t="str">
        <f t="shared" si="213"/>
        <v/>
      </c>
      <c r="Y874" s="51">
        <f t="shared" ca="1" si="222"/>
        <v>239</v>
      </c>
      <c r="Z874" s="52">
        <f t="shared" ca="1" si="221"/>
        <v>0.34520547945205482</v>
      </c>
      <c r="AB874" s="46">
        <f t="shared" si="223"/>
        <v>7.3407609317918876</v>
      </c>
      <c r="AC874" s="83" t="str">
        <f t="shared" si="214"/>
        <v/>
      </c>
      <c r="AE874" s="55"/>
      <c r="AF874" s="72"/>
      <c r="AG874" s="72"/>
      <c r="AH874" s="66"/>
    </row>
    <row r="875" spans="1:34" ht="16" hidden="1" thickBot="1" x14ac:dyDescent="0.25">
      <c r="A875" s="82"/>
      <c r="B875" s="62"/>
      <c r="C875" s="87"/>
      <c r="D875" s="62"/>
      <c r="F875" s="55"/>
      <c r="G875" s="56"/>
      <c r="H875" s="55"/>
      <c r="I875" s="57"/>
      <c r="J875" s="65"/>
      <c r="K875" s="66"/>
      <c r="L875" s="132"/>
      <c r="M875" s="43">
        <f t="shared" si="215"/>
        <v>0</v>
      </c>
      <c r="N875" s="49">
        <f t="shared" si="216"/>
        <v>37.78</v>
      </c>
      <c r="O875" s="42">
        <f t="shared" si="217"/>
        <v>0</v>
      </c>
      <c r="P875" s="48">
        <f t="shared" ca="1" si="218"/>
        <v>46274.525928000003</v>
      </c>
      <c r="Q875" s="41">
        <f t="shared" ca="1" si="219"/>
        <v>46289.525928000003</v>
      </c>
      <c r="R875" s="41" t="b">
        <f t="shared" ca="1" si="210"/>
        <v>1</v>
      </c>
      <c r="S875" s="44">
        <f t="shared" ca="1" si="211"/>
        <v>15</v>
      </c>
      <c r="T875" s="74">
        <f t="shared" ca="1" si="212"/>
        <v>46304.525928000003</v>
      </c>
      <c r="U875" s="75" t="s">
        <v>83</v>
      </c>
      <c r="V875" s="76">
        <f t="shared" si="220"/>
        <v>37.78</v>
      </c>
      <c r="W875" s="77" t="str">
        <f t="shared" si="213"/>
        <v/>
      </c>
      <c r="Y875" s="51">
        <f t="shared" ca="1" si="222"/>
        <v>239</v>
      </c>
      <c r="Z875" s="52">
        <f t="shared" ca="1" si="221"/>
        <v>0.34520547945205482</v>
      </c>
      <c r="AB875" s="46">
        <f t="shared" si="223"/>
        <v>7.3407609317918876</v>
      </c>
      <c r="AC875" s="83" t="str">
        <f t="shared" si="214"/>
        <v/>
      </c>
      <c r="AE875" s="55"/>
      <c r="AF875" s="72"/>
      <c r="AG875" s="72"/>
      <c r="AH875" s="66"/>
    </row>
    <row r="876" spans="1:34" ht="16" hidden="1" thickBot="1" x14ac:dyDescent="0.25">
      <c r="A876" s="82"/>
      <c r="B876" s="62"/>
      <c r="C876" s="87"/>
      <c r="D876" s="62"/>
      <c r="F876" s="55"/>
      <c r="G876" s="56"/>
      <c r="H876" s="55"/>
      <c r="I876" s="57"/>
      <c r="J876" s="65"/>
      <c r="K876" s="66"/>
      <c r="L876" s="132"/>
      <c r="M876" s="43">
        <f t="shared" si="215"/>
        <v>0</v>
      </c>
      <c r="N876" s="49">
        <f t="shared" si="216"/>
        <v>37.78</v>
      </c>
      <c r="O876" s="42">
        <f t="shared" si="217"/>
        <v>0</v>
      </c>
      <c r="P876" s="48">
        <f t="shared" ca="1" si="218"/>
        <v>46274.525928000003</v>
      </c>
      <c r="Q876" s="41">
        <f t="shared" ca="1" si="219"/>
        <v>46289.525928000003</v>
      </c>
      <c r="R876" s="41" t="b">
        <f t="shared" ca="1" si="210"/>
        <v>1</v>
      </c>
      <c r="S876" s="44">
        <f t="shared" ca="1" si="211"/>
        <v>15</v>
      </c>
      <c r="T876" s="74">
        <f t="shared" ca="1" si="212"/>
        <v>46304.525928000003</v>
      </c>
      <c r="U876" s="75" t="s">
        <v>83</v>
      </c>
      <c r="V876" s="76">
        <f t="shared" si="220"/>
        <v>37.78</v>
      </c>
      <c r="W876" s="77" t="str">
        <f t="shared" si="213"/>
        <v/>
      </c>
      <c r="Y876" s="51">
        <f t="shared" ca="1" si="222"/>
        <v>239</v>
      </c>
      <c r="Z876" s="52">
        <f t="shared" ca="1" si="221"/>
        <v>0.34520547945205482</v>
      </c>
      <c r="AB876" s="46">
        <f t="shared" si="223"/>
        <v>7.3407609317918876</v>
      </c>
      <c r="AC876" s="83" t="str">
        <f t="shared" si="214"/>
        <v/>
      </c>
      <c r="AE876" s="55"/>
      <c r="AF876" s="72"/>
      <c r="AG876" s="72"/>
      <c r="AH876" s="66"/>
    </row>
    <row r="877" spans="1:34" ht="16" hidden="1" thickBot="1" x14ac:dyDescent="0.25">
      <c r="A877" s="82"/>
      <c r="B877" s="62"/>
      <c r="C877" s="87"/>
      <c r="D877" s="62"/>
      <c r="F877" s="55"/>
      <c r="G877" s="56"/>
      <c r="H877" s="55"/>
      <c r="I877" s="57"/>
      <c r="J877" s="65"/>
      <c r="K877" s="66"/>
      <c r="L877" s="132"/>
      <c r="M877" s="43">
        <f t="shared" si="215"/>
        <v>0</v>
      </c>
      <c r="N877" s="49">
        <f t="shared" si="216"/>
        <v>37.78</v>
      </c>
      <c r="O877" s="42">
        <f t="shared" si="217"/>
        <v>0</v>
      </c>
      <c r="P877" s="48">
        <f t="shared" ca="1" si="218"/>
        <v>46274.525928000003</v>
      </c>
      <c r="Q877" s="41">
        <f t="shared" ca="1" si="219"/>
        <v>46289.525928000003</v>
      </c>
      <c r="R877" s="41" t="b">
        <f t="shared" ca="1" si="210"/>
        <v>1</v>
      </c>
      <c r="S877" s="44">
        <f t="shared" ca="1" si="211"/>
        <v>15</v>
      </c>
      <c r="T877" s="74">
        <f t="shared" ca="1" si="212"/>
        <v>46304.525928000003</v>
      </c>
      <c r="U877" s="75" t="s">
        <v>83</v>
      </c>
      <c r="V877" s="76">
        <f t="shared" si="220"/>
        <v>37.78</v>
      </c>
      <c r="W877" s="77" t="str">
        <f t="shared" si="213"/>
        <v/>
      </c>
      <c r="Y877" s="51">
        <f t="shared" ca="1" si="222"/>
        <v>239</v>
      </c>
      <c r="Z877" s="52">
        <f t="shared" ca="1" si="221"/>
        <v>0.34520547945205482</v>
      </c>
      <c r="AB877" s="46">
        <f t="shared" si="223"/>
        <v>7.3407609317918876</v>
      </c>
      <c r="AC877" s="83" t="str">
        <f t="shared" si="214"/>
        <v/>
      </c>
      <c r="AE877" s="55"/>
      <c r="AF877" s="72"/>
      <c r="AG877" s="72"/>
      <c r="AH877" s="66"/>
    </row>
    <row r="878" spans="1:34" ht="16" hidden="1" thickBot="1" x14ac:dyDescent="0.25">
      <c r="A878" s="82"/>
      <c r="B878" s="62"/>
      <c r="C878" s="87"/>
      <c r="D878" s="62"/>
      <c r="F878" s="55"/>
      <c r="G878" s="56"/>
      <c r="H878" s="55"/>
      <c r="I878" s="57"/>
      <c r="J878" s="65"/>
      <c r="K878" s="66"/>
      <c r="L878" s="132"/>
      <c r="M878" s="43">
        <f t="shared" si="215"/>
        <v>0</v>
      </c>
      <c r="N878" s="49">
        <f t="shared" si="216"/>
        <v>37.78</v>
      </c>
      <c r="O878" s="42">
        <f t="shared" si="217"/>
        <v>0</v>
      </c>
      <c r="P878" s="48">
        <f t="shared" ca="1" si="218"/>
        <v>46274.525928000003</v>
      </c>
      <c r="Q878" s="41">
        <f t="shared" ca="1" si="219"/>
        <v>46289.525928000003</v>
      </c>
      <c r="R878" s="41" t="b">
        <f t="shared" ca="1" si="210"/>
        <v>1</v>
      </c>
      <c r="S878" s="44">
        <f t="shared" ca="1" si="211"/>
        <v>15</v>
      </c>
      <c r="T878" s="74">
        <f t="shared" ca="1" si="212"/>
        <v>46304.525928000003</v>
      </c>
      <c r="U878" s="75" t="s">
        <v>83</v>
      </c>
      <c r="V878" s="76">
        <f t="shared" si="220"/>
        <v>37.78</v>
      </c>
      <c r="W878" s="77" t="str">
        <f t="shared" si="213"/>
        <v/>
      </c>
      <c r="Y878" s="51">
        <f t="shared" ca="1" si="222"/>
        <v>239</v>
      </c>
      <c r="Z878" s="52">
        <f t="shared" ca="1" si="221"/>
        <v>0.34520547945205482</v>
      </c>
      <c r="AB878" s="46">
        <f t="shared" si="223"/>
        <v>7.3407609317918876</v>
      </c>
      <c r="AC878" s="83" t="str">
        <f t="shared" si="214"/>
        <v/>
      </c>
      <c r="AE878" s="55"/>
      <c r="AF878" s="72"/>
      <c r="AG878" s="72"/>
      <c r="AH878" s="66"/>
    </row>
    <row r="879" spans="1:34" ht="16" hidden="1" thickBot="1" x14ac:dyDescent="0.25">
      <c r="A879" s="82"/>
      <c r="B879" s="62"/>
      <c r="C879" s="87"/>
      <c r="D879" s="62"/>
      <c r="F879" s="55"/>
      <c r="G879" s="56"/>
      <c r="H879" s="55"/>
      <c r="I879" s="57"/>
      <c r="J879" s="65"/>
      <c r="K879" s="66"/>
      <c r="L879" s="132"/>
      <c r="M879" s="43">
        <f t="shared" si="215"/>
        <v>0</v>
      </c>
      <c r="N879" s="49">
        <f t="shared" si="216"/>
        <v>37.78</v>
      </c>
      <c r="O879" s="42">
        <f t="shared" si="217"/>
        <v>0</v>
      </c>
      <c r="P879" s="48">
        <f t="shared" ca="1" si="218"/>
        <v>46274.525928000003</v>
      </c>
      <c r="Q879" s="41">
        <f t="shared" ca="1" si="219"/>
        <v>46289.525928000003</v>
      </c>
      <c r="R879" s="41" t="b">
        <f t="shared" ca="1" si="210"/>
        <v>1</v>
      </c>
      <c r="S879" s="44">
        <f t="shared" ca="1" si="211"/>
        <v>15</v>
      </c>
      <c r="T879" s="74">
        <f t="shared" ca="1" si="212"/>
        <v>46304.525928000003</v>
      </c>
      <c r="U879" s="75" t="s">
        <v>83</v>
      </c>
      <c r="V879" s="76">
        <f t="shared" si="220"/>
        <v>37.78</v>
      </c>
      <c r="W879" s="77" t="str">
        <f t="shared" si="213"/>
        <v/>
      </c>
      <c r="Y879" s="51">
        <f t="shared" ca="1" si="222"/>
        <v>239</v>
      </c>
      <c r="Z879" s="52">
        <f t="shared" ca="1" si="221"/>
        <v>0.34520547945205482</v>
      </c>
      <c r="AB879" s="46">
        <f t="shared" si="223"/>
        <v>7.3407609317918876</v>
      </c>
      <c r="AC879" s="83" t="str">
        <f t="shared" si="214"/>
        <v/>
      </c>
      <c r="AE879" s="55"/>
      <c r="AF879" s="72"/>
      <c r="AG879" s="72"/>
      <c r="AH879" s="66"/>
    </row>
    <row r="880" spans="1:34" ht="16" hidden="1" thickBot="1" x14ac:dyDescent="0.25">
      <c r="A880" s="82"/>
      <c r="B880" s="62"/>
      <c r="C880" s="87"/>
      <c r="D880" s="62"/>
      <c r="F880" s="55"/>
      <c r="G880" s="56"/>
      <c r="H880" s="55"/>
      <c r="I880" s="57"/>
      <c r="J880" s="65"/>
      <c r="K880" s="66"/>
      <c r="L880" s="132"/>
      <c r="M880" s="43">
        <f t="shared" si="215"/>
        <v>0</v>
      </c>
      <c r="N880" s="49">
        <f t="shared" si="216"/>
        <v>37.78</v>
      </c>
      <c r="O880" s="42">
        <f t="shared" si="217"/>
        <v>0</v>
      </c>
      <c r="P880" s="48">
        <f t="shared" ca="1" si="218"/>
        <v>46274.525928000003</v>
      </c>
      <c r="Q880" s="41">
        <f t="shared" ca="1" si="219"/>
        <v>46289.525928000003</v>
      </c>
      <c r="R880" s="41" t="b">
        <f t="shared" ca="1" si="210"/>
        <v>1</v>
      </c>
      <c r="S880" s="44">
        <f t="shared" ca="1" si="211"/>
        <v>15</v>
      </c>
      <c r="T880" s="74">
        <f t="shared" ca="1" si="212"/>
        <v>46304.525928000003</v>
      </c>
      <c r="U880" s="75" t="s">
        <v>83</v>
      </c>
      <c r="V880" s="76">
        <f t="shared" si="220"/>
        <v>37.78</v>
      </c>
      <c r="W880" s="77" t="str">
        <f t="shared" si="213"/>
        <v/>
      </c>
      <c r="Y880" s="51">
        <f t="shared" ca="1" si="222"/>
        <v>239</v>
      </c>
      <c r="Z880" s="52">
        <f t="shared" ca="1" si="221"/>
        <v>0.34520547945205482</v>
      </c>
      <c r="AB880" s="46">
        <f t="shared" si="223"/>
        <v>7.3407609317918876</v>
      </c>
      <c r="AC880" s="83" t="str">
        <f t="shared" si="214"/>
        <v/>
      </c>
      <c r="AE880" s="55"/>
      <c r="AF880" s="72"/>
      <c r="AG880" s="72"/>
      <c r="AH880" s="66"/>
    </row>
    <row r="881" spans="1:34" ht="16" hidden="1" thickBot="1" x14ac:dyDescent="0.25">
      <c r="A881" s="82"/>
      <c r="B881" s="62"/>
      <c r="C881" s="87"/>
      <c r="D881" s="62"/>
      <c r="F881" s="55"/>
      <c r="G881" s="56"/>
      <c r="H881" s="55"/>
      <c r="I881" s="57"/>
      <c r="J881" s="65"/>
      <c r="K881" s="66"/>
      <c r="L881" s="132"/>
      <c r="M881" s="43">
        <f t="shared" si="215"/>
        <v>0</v>
      </c>
      <c r="N881" s="49">
        <f t="shared" si="216"/>
        <v>37.78</v>
      </c>
      <c r="O881" s="42">
        <f t="shared" si="217"/>
        <v>0</v>
      </c>
      <c r="P881" s="48">
        <f t="shared" ca="1" si="218"/>
        <v>46274.525928000003</v>
      </c>
      <c r="Q881" s="41">
        <f t="shared" ca="1" si="219"/>
        <v>46289.525928000003</v>
      </c>
      <c r="R881" s="41" t="b">
        <f t="shared" ca="1" si="210"/>
        <v>1</v>
      </c>
      <c r="S881" s="44">
        <f t="shared" ca="1" si="211"/>
        <v>15</v>
      </c>
      <c r="T881" s="74">
        <f t="shared" ca="1" si="212"/>
        <v>46304.525928000003</v>
      </c>
      <c r="U881" s="75" t="s">
        <v>83</v>
      </c>
      <c r="V881" s="76">
        <f t="shared" si="220"/>
        <v>37.78</v>
      </c>
      <c r="W881" s="77" t="str">
        <f t="shared" si="213"/>
        <v/>
      </c>
      <c r="Y881" s="51">
        <f t="shared" ca="1" si="222"/>
        <v>239</v>
      </c>
      <c r="Z881" s="52">
        <f t="shared" ca="1" si="221"/>
        <v>0.34520547945205482</v>
      </c>
      <c r="AB881" s="46">
        <f t="shared" si="223"/>
        <v>7.3407609317918876</v>
      </c>
      <c r="AC881" s="83" t="str">
        <f t="shared" si="214"/>
        <v/>
      </c>
      <c r="AE881" s="55"/>
      <c r="AF881" s="72"/>
      <c r="AG881" s="72"/>
      <c r="AH881" s="66"/>
    </row>
    <row r="882" spans="1:34" ht="16" hidden="1" thickBot="1" x14ac:dyDescent="0.25">
      <c r="A882" s="82"/>
      <c r="B882" s="62"/>
      <c r="C882" s="87"/>
      <c r="D882" s="62"/>
      <c r="F882" s="55"/>
      <c r="G882" s="56"/>
      <c r="H882" s="55"/>
      <c r="I882" s="57"/>
      <c r="J882" s="65"/>
      <c r="K882" s="66"/>
      <c r="L882" s="132"/>
      <c r="M882" s="43">
        <f t="shared" si="215"/>
        <v>0</v>
      </c>
      <c r="N882" s="49">
        <f t="shared" si="216"/>
        <v>37.78</v>
      </c>
      <c r="O882" s="42">
        <f t="shared" si="217"/>
        <v>0</v>
      </c>
      <c r="P882" s="48">
        <f t="shared" ca="1" si="218"/>
        <v>46274.525928000003</v>
      </c>
      <c r="Q882" s="41">
        <f t="shared" ca="1" si="219"/>
        <v>46289.525928000003</v>
      </c>
      <c r="R882" s="41" t="b">
        <f t="shared" ca="1" si="210"/>
        <v>1</v>
      </c>
      <c r="S882" s="44">
        <f t="shared" ca="1" si="211"/>
        <v>15</v>
      </c>
      <c r="T882" s="74">
        <f t="shared" ca="1" si="212"/>
        <v>46304.525928000003</v>
      </c>
      <c r="U882" s="75" t="s">
        <v>83</v>
      </c>
      <c r="V882" s="76">
        <f t="shared" si="220"/>
        <v>37.78</v>
      </c>
      <c r="W882" s="77" t="str">
        <f t="shared" si="213"/>
        <v/>
      </c>
      <c r="Y882" s="51">
        <f t="shared" ca="1" si="222"/>
        <v>239</v>
      </c>
      <c r="Z882" s="52">
        <f t="shared" ca="1" si="221"/>
        <v>0.34520547945205482</v>
      </c>
      <c r="AB882" s="46">
        <f t="shared" si="223"/>
        <v>7.3407609317918876</v>
      </c>
      <c r="AC882" s="83" t="str">
        <f t="shared" si="214"/>
        <v/>
      </c>
      <c r="AE882" s="55"/>
      <c r="AF882" s="72"/>
      <c r="AG882" s="72"/>
      <c r="AH882" s="66"/>
    </row>
    <row r="883" spans="1:34" ht="16" hidden="1" thickBot="1" x14ac:dyDescent="0.25">
      <c r="A883" s="82"/>
      <c r="B883" s="62"/>
      <c r="C883" s="87"/>
      <c r="D883" s="62"/>
      <c r="F883" s="55"/>
      <c r="G883" s="56"/>
      <c r="H883" s="55"/>
      <c r="I883" s="57"/>
      <c r="J883" s="65"/>
      <c r="K883" s="66"/>
      <c r="L883" s="132"/>
      <c r="M883" s="43">
        <f t="shared" si="215"/>
        <v>0</v>
      </c>
      <c r="N883" s="49">
        <f t="shared" si="216"/>
        <v>37.78</v>
      </c>
      <c r="O883" s="42">
        <f t="shared" si="217"/>
        <v>0</v>
      </c>
      <c r="P883" s="48">
        <f t="shared" ca="1" si="218"/>
        <v>46274.525928000003</v>
      </c>
      <c r="Q883" s="41">
        <f t="shared" ca="1" si="219"/>
        <v>46289.525928000003</v>
      </c>
      <c r="R883" s="41" t="b">
        <f t="shared" ca="1" si="210"/>
        <v>1</v>
      </c>
      <c r="S883" s="44">
        <f t="shared" ca="1" si="211"/>
        <v>15</v>
      </c>
      <c r="T883" s="74">
        <f t="shared" ca="1" si="212"/>
        <v>46304.525928000003</v>
      </c>
      <c r="U883" s="75" t="s">
        <v>83</v>
      </c>
      <c r="V883" s="76">
        <f t="shared" si="220"/>
        <v>37.78</v>
      </c>
      <c r="W883" s="77" t="str">
        <f t="shared" si="213"/>
        <v/>
      </c>
      <c r="Y883" s="51">
        <f t="shared" ca="1" si="222"/>
        <v>239</v>
      </c>
      <c r="Z883" s="52">
        <f t="shared" ca="1" si="221"/>
        <v>0.34520547945205482</v>
      </c>
      <c r="AB883" s="46">
        <f t="shared" si="223"/>
        <v>7.3407609317918876</v>
      </c>
      <c r="AC883" s="83" t="str">
        <f t="shared" si="214"/>
        <v/>
      </c>
      <c r="AE883" s="55"/>
      <c r="AF883" s="72"/>
      <c r="AG883" s="72"/>
      <c r="AH883" s="66"/>
    </row>
    <row r="884" spans="1:34" ht="16" hidden="1" thickBot="1" x14ac:dyDescent="0.25">
      <c r="A884" s="82"/>
      <c r="B884" s="62"/>
      <c r="C884" s="87"/>
      <c r="D884" s="62"/>
      <c r="F884" s="55"/>
      <c r="G884" s="56"/>
      <c r="H884" s="55"/>
      <c r="I884" s="57"/>
      <c r="J884" s="65"/>
      <c r="K884" s="66"/>
      <c r="L884" s="132"/>
      <c r="M884" s="43">
        <f t="shared" si="215"/>
        <v>0</v>
      </c>
      <c r="N884" s="49">
        <f t="shared" si="216"/>
        <v>37.78</v>
      </c>
      <c r="O884" s="42">
        <f t="shared" si="217"/>
        <v>0</v>
      </c>
      <c r="P884" s="48">
        <f t="shared" ca="1" si="218"/>
        <v>46274.525928000003</v>
      </c>
      <c r="Q884" s="41">
        <f t="shared" ca="1" si="219"/>
        <v>46289.525928000003</v>
      </c>
      <c r="R884" s="41" t="b">
        <f t="shared" ca="1" si="210"/>
        <v>1</v>
      </c>
      <c r="S884" s="44">
        <f t="shared" ca="1" si="211"/>
        <v>15</v>
      </c>
      <c r="T884" s="74">
        <f t="shared" ca="1" si="212"/>
        <v>46304.525928000003</v>
      </c>
      <c r="U884" s="75" t="s">
        <v>83</v>
      </c>
      <c r="V884" s="76">
        <f t="shared" si="220"/>
        <v>37.78</v>
      </c>
      <c r="W884" s="77" t="str">
        <f t="shared" si="213"/>
        <v/>
      </c>
      <c r="Y884" s="51">
        <f t="shared" ca="1" si="222"/>
        <v>239</v>
      </c>
      <c r="Z884" s="52">
        <f t="shared" ca="1" si="221"/>
        <v>0.34520547945205482</v>
      </c>
      <c r="AB884" s="46">
        <f t="shared" si="223"/>
        <v>7.3407609317918876</v>
      </c>
      <c r="AC884" s="83" t="str">
        <f t="shared" si="214"/>
        <v/>
      </c>
      <c r="AE884" s="55"/>
      <c r="AF884" s="72"/>
      <c r="AG884" s="72"/>
      <c r="AH884" s="66"/>
    </row>
    <row r="885" spans="1:34" ht="16" hidden="1" thickBot="1" x14ac:dyDescent="0.25">
      <c r="A885" s="82"/>
      <c r="B885" s="62"/>
      <c r="C885" s="87"/>
      <c r="D885" s="62"/>
      <c r="F885" s="55"/>
      <c r="G885" s="56"/>
      <c r="H885" s="55"/>
      <c r="I885" s="57"/>
      <c r="J885" s="65"/>
      <c r="K885" s="66"/>
      <c r="L885" s="132"/>
      <c r="M885" s="43">
        <f t="shared" si="215"/>
        <v>0</v>
      </c>
      <c r="N885" s="49">
        <f t="shared" si="216"/>
        <v>37.78</v>
      </c>
      <c r="O885" s="42">
        <f t="shared" si="217"/>
        <v>0</v>
      </c>
      <c r="P885" s="48">
        <f t="shared" ca="1" si="218"/>
        <v>46274.525928000003</v>
      </c>
      <c r="Q885" s="41">
        <f t="shared" ca="1" si="219"/>
        <v>46289.525928000003</v>
      </c>
      <c r="R885" s="41" t="b">
        <f t="shared" ca="1" si="210"/>
        <v>1</v>
      </c>
      <c r="S885" s="44">
        <f t="shared" ca="1" si="211"/>
        <v>15</v>
      </c>
      <c r="T885" s="74">
        <f t="shared" ca="1" si="212"/>
        <v>46304.525928000003</v>
      </c>
      <c r="U885" s="75" t="s">
        <v>83</v>
      </c>
      <c r="V885" s="76">
        <f t="shared" si="220"/>
        <v>37.78</v>
      </c>
      <c r="W885" s="77" t="str">
        <f t="shared" si="213"/>
        <v/>
      </c>
      <c r="Y885" s="51">
        <f t="shared" ca="1" si="222"/>
        <v>239</v>
      </c>
      <c r="Z885" s="52">
        <f t="shared" ca="1" si="221"/>
        <v>0.34520547945205482</v>
      </c>
      <c r="AB885" s="46">
        <f t="shared" si="223"/>
        <v>7.3407609317918876</v>
      </c>
      <c r="AC885" s="83" t="str">
        <f t="shared" si="214"/>
        <v/>
      </c>
      <c r="AE885" s="55"/>
      <c r="AF885" s="72"/>
      <c r="AG885" s="72"/>
      <c r="AH885" s="66"/>
    </row>
    <row r="886" spans="1:34" ht="16" hidden="1" thickBot="1" x14ac:dyDescent="0.25">
      <c r="A886" s="82"/>
      <c r="B886" s="62"/>
      <c r="C886" s="87"/>
      <c r="D886" s="62"/>
      <c r="F886" s="55"/>
      <c r="G886" s="56"/>
      <c r="H886" s="55"/>
      <c r="I886" s="57"/>
      <c r="J886" s="65"/>
      <c r="K886" s="66"/>
      <c r="L886" s="132"/>
      <c r="M886" s="43">
        <f t="shared" si="215"/>
        <v>0</v>
      </c>
      <c r="N886" s="49">
        <f t="shared" si="216"/>
        <v>37.78</v>
      </c>
      <c r="O886" s="42">
        <f t="shared" si="217"/>
        <v>0</v>
      </c>
      <c r="P886" s="48">
        <f t="shared" ca="1" si="218"/>
        <v>46274.525928000003</v>
      </c>
      <c r="Q886" s="41">
        <f t="shared" ca="1" si="219"/>
        <v>46289.525928000003</v>
      </c>
      <c r="R886" s="41" t="b">
        <f t="shared" ca="1" si="210"/>
        <v>1</v>
      </c>
      <c r="S886" s="44">
        <f t="shared" ca="1" si="211"/>
        <v>15</v>
      </c>
      <c r="T886" s="74">
        <f t="shared" ca="1" si="212"/>
        <v>46304.525928000003</v>
      </c>
      <c r="U886" s="75" t="s">
        <v>83</v>
      </c>
      <c r="V886" s="76">
        <f t="shared" si="220"/>
        <v>37.78</v>
      </c>
      <c r="W886" s="77" t="str">
        <f t="shared" si="213"/>
        <v/>
      </c>
      <c r="Y886" s="51">
        <f t="shared" ca="1" si="222"/>
        <v>239</v>
      </c>
      <c r="Z886" s="52">
        <f t="shared" ca="1" si="221"/>
        <v>0.34520547945205482</v>
      </c>
      <c r="AB886" s="46">
        <f t="shared" si="223"/>
        <v>7.3407609317918876</v>
      </c>
      <c r="AC886" s="83" t="str">
        <f t="shared" si="214"/>
        <v/>
      </c>
      <c r="AE886" s="55"/>
      <c r="AF886" s="72"/>
      <c r="AG886" s="72"/>
      <c r="AH886" s="66"/>
    </row>
    <row r="887" spans="1:34" ht="16" hidden="1" thickBot="1" x14ac:dyDescent="0.25">
      <c r="A887" s="82"/>
      <c r="B887" s="62"/>
      <c r="C887" s="87"/>
      <c r="D887" s="62"/>
      <c r="F887" s="55"/>
      <c r="G887" s="56"/>
      <c r="H887" s="55"/>
      <c r="I887" s="57"/>
      <c r="J887" s="65"/>
      <c r="K887" s="66"/>
      <c r="L887" s="132"/>
      <c r="M887" s="43">
        <f t="shared" si="215"/>
        <v>0</v>
      </c>
      <c r="N887" s="49">
        <f t="shared" si="216"/>
        <v>37.78</v>
      </c>
      <c r="O887" s="42">
        <f t="shared" si="217"/>
        <v>0</v>
      </c>
      <c r="P887" s="48">
        <f t="shared" ca="1" si="218"/>
        <v>46274.525928000003</v>
      </c>
      <c r="Q887" s="41">
        <f t="shared" ca="1" si="219"/>
        <v>46289.525928000003</v>
      </c>
      <c r="R887" s="41" t="b">
        <f t="shared" ca="1" si="210"/>
        <v>1</v>
      </c>
      <c r="S887" s="44">
        <f t="shared" ca="1" si="211"/>
        <v>15</v>
      </c>
      <c r="T887" s="74">
        <f t="shared" ca="1" si="212"/>
        <v>46304.525928000003</v>
      </c>
      <c r="U887" s="75" t="s">
        <v>83</v>
      </c>
      <c r="V887" s="76">
        <f t="shared" si="220"/>
        <v>37.78</v>
      </c>
      <c r="W887" s="77" t="str">
        <f t="shared" si="213"/>
        <v/>
      </c>
      <c r="Y887" s="51">
        <f t="shared" ca="1" si="222"/>
        <v>239</v>
      </c>
      <c r="Z887" s="52">
        <f t="shared" ca="1" si="221"/>
        <v>0.34520547945205482</v>
      </c>
      <c r="AB887" s="46">
        <f t="shared" si="223"/>
        <v>7.3407609317918876</v>
      </c>
      <c r="AC887" s="83" t="str">
        <f t="shared" si="214"/>
        <v/>
      </c>
      <c r="AE887" s="55"/>
      <c r="AF887" s="72"/>
      <c r="AG887" s="72"/>
      <c r="AH887" s="66"/>
    </row>
    <row r="888" spans="1:34" ht="16" hidden="1" thickBot="1" x14ac:dyDescent="0.25">
      <c r="A888" s="82"/>
      <c r="B888" s="62"/>
      <c r="C888" s="87"/>
      <c r="D888" s="62"/>
      <c r="F888" s="55"/>
      <c r="G888" s="56"/>
      <c r="H888" s="55"/>
      <c r="I888" s="57"/>
      <c r="J888" s="65"/>
      <c r="K888" s="66"/>
      <c r="L888" s="132"/>
      <c r="M888" s="43">
        <f t="shared" si="215"/>
        <v>0</v>
      </c>
      <c r="N888" s="49">
        <f t="shared" si="216"/>
        <v>37.78</v>
      </c>
      <c r="O888" s="42">
        <f t="shared" si="217"/>
        <v>0</v>
      </c>
      <c r="P888" s="48">
        <f t="shared" ca="1" si="218"/>
        <v>46274.525928000003</v>
      </c>
      <c r="Q888" s="41">
        <f t="shared" ca="1" si="219"/>
        <v>46289.525928000003</v>
      </c>
      <c r="R888" s="41" t="b">
        <f t="shared" ca="1" si="210"/>
        <v>1</v>
      </c>
      <c r="S888" s="44">
        <f t="shared" ca="1" si="211"/>
        <v>15</v>
      </c>
      <c r="T888" s="74">
        <f t="shared" ca="1" si="212"/>
        <v>46304.525928000003</v>
      </c>
      <c r="U888" s="75" t="s">
        <v>83</v>
      </c>
      <c r="V888" s="76">
        <f t="shared" si="220"/>
        <v>37.78</v>
      </c>
      <c r="W888" s="77" t="str">
        <f t="shared" si="213"/>
        <v/>
      </c>
      <c r="Y888" s="51">
        <f t="shared" ca="1" si="222"/>
        <v>239</v>
      </c>
      <c r="Z888" s="52">
        <f t="shared" ca="1" si="221"/>
        <v>0.34520547945205482</v>
      </c>
      <c r="AB888" s="46">
        <f t="shared" si="223"/>
        <v>7.3407609317918876</v>
      </c>
      <c r="AC888" s="83" t="str">
        <f t="shared" si="214"/>
        <v/>
      </c>
      <c r="AE888" s="55"/>
      <c r="AF888" s="72"/>
      <c r="AG888" s="72"/>
      <c r="AH888" s="66"/>
    </row>
    <row r="889" spans="1:34" ht="16" hidden="1" thickBot="1" x14ac:dyDescent="0.25">
      <c r="A889" s="82"/>
      <c r="B889" s="62"/>
      <c r="C889" s="87"/>
      <c r="D889" s="62"/>
      <c r="F889" s="55"/>
      <c r="G889" s="56"/>
      <c r="H889" s="55"/>
      <c r="I889" s="57"/>
      <c r="J889" s="65"/>
      <c r="K889" s="66"/>
      <c r="L889" s="132"/>
      <c r="M889" s="43">
        <f t="shared" si="215"/>
        <v>0</v>
      </c>
      <c r="N889" s="49">
        <f t="shared" si="216"/>
        <v>37.78</v>
      </c>
      <c r="O889" s="42">
        <f t="shared" si="217"/>
        <v>0</v>
      </c>
      <c r="P889" s="48">
        <f t="shared" ca="1" si="218"/>
        <v>46274.525928000003</v>
      </c>
      <c r="Q889" s="41">
        <f t="shared" ca="1" si="219"/>
        <v>46289.525928000003</v>
      </c>
      <c r="R889" s="41" t="b">
        <f t="shared" ca="1" si="210"/>
        <v>1</v>
      </c>
      <c r="S889" s="44">
        <f t="shared" ca="1" si="211"/>
        <v>15</v>
      </c>
      <c r="T889" s="74">
        <f t="shared" ca="1" si="212"/>
        <v>46304.525928000003</v>
      </c>
      <c r="U889" s="75" t="s">
        <v>83</v>
      </c>
      <c r="V889" s="76">
        <f t="shared" si="220"/>
        <v>37.78</v>
      </c>
      <c r="W889" s="77" t="str">
        <f t="shared" si="213"/>
        <v/>
      </c>
      <c r="Y889" s="51">
        <f t="shared" ca="1" si="222"/>
        <v>239</v>
      </c>
      <c r="Z889" s="52">
        <f t="shared" ca="1" si="221"/>
        <v>0.34520547945205482</v>
      </c>
      <c r="AB889" s="46">
        <f t="shared" si="223"/>
        <v>7.3407609317918876</v>
      </c>
      <c r="AC889" s="83" t="str">
        <f t="shared" si="214"/>
        <v/>
      </c>
      <c r="AE889" s="55"/>
      <c r="AF889" s="72"/>
      <c r="AG889" s="72"/>
      <c r="AH889" s="66"/>
    </row>
    <row r="890" spans="1:34" ht="16" hidden="1" thickBot="1" x14ac:dyDescent="0.25">
      <c r="A890" s="82"/>
      <c r="B890" s="62"/>
      <c r="C890" s="87"/>
      <c r="D890" s="62"/>
      <c r="F890" s="55"/>
      <c r="G890" s="56"/>
      <c r="H890" s="55"/>
      <c r="I890" s="57"/>
      <c r="J890" s="65"/>
      <c r="K890" s="66"/>
      <c r="L890" s="132"/>
      <c r="M890" s="43">
        <f t="shared" si="215"/>
        <v>0</v>
      </c>
      <c r="N890" s="49">
        <f t="shared" si="216"/>
        <v>37.78</v>
      </c>
      <c r="O890" s="42">
        <f t="shared" si="217"/>
        <v>0</v>
      </c>
      <c r="P890" s="48">
        <f t="shared" ca="1" si="218"/>
        <v>46274.525928000003</v>
      </c>
      <c r="Q890" s="41">
        <f t="shared" ca="1" si="219"/>
        <v>46289.525928000003</v>
      </c>
      <c r="R890" s="41" t="b">
        <f t="shared" ca="1" si="210"/>
        <v>1</v>
      </c>
      <c r="S890" s="44">
        <f t="shared" ca="1" si="211"/>
        <v>15</v>
      </c>
      <c r="T890" s="74">
        <f t="shared" ca="1" si="212"/>
        <v>46304.525928000003</v>
      </c>
      <c r="U890" s="75" t="s">
        <v>83</v>
      </c>
      <c r="V890" s="76">
        <f t="shared" si="220"/>
        <v>37.78</v>
      </c>
      <c r="W890" s="77" t="str">
        <f t="shared" si="213"/>
        <v/>
      </c>
      <c r="Y890" s="51">
        <f t="shared" ca="1" si="222"/>
        <v>239</v>
      </c>
      <c r="Z890" s="52">
        <f t="shared" ca="1" si="221"/>
        <v>0.34520547945205482</v>
      </c>
      <c r="AB890" s="46">
        <f t="shared" si="223"/>
        <v>7.3407609317918876</v>
      </c>
      <c r="AC890" s="83" t="str">
        <f t="shared" si="214"/>
        <v/>
      </c>
      <c r="AE890" s="55"/>
      <c r="AF890" s="72"/>
      <c r="AG890" s="72"/>
      <c r="AH890" s="66"/>
    </row>
    <row r="891" spans="1:34" ht="16" hidden="1" thickBot="1" x14ac:dyDescent="0.25">
      <c r="A891" s="82"/>
      <c r="B891" s="62"/>
      <c r="C891" s="87"/>
      <c r="D891" s="62"/>
      <c r="F891" s="55"/>
      <c r="G891" s="56"/>
      <c r="H891" s="55"/>
      <c r="I891" s="57"/>
      <c r="J891" s="65"/>
      <c r="K891" s="66"/>
      <c r="L891" s="132"/>
      <c r="M891" s="43">
        <f t="shared" si="215"/>
        <v>0</v>
      </c>
      <c r="N891" s="49">
        <f t="shared" si="216"/>
        <v>37.78</v>
      </c>
      <c r="O891" s="42">
        <f t="shared" si="217"/>
        <v>0</v>
      </c>
      <c r="P891" s="48">
        <f t="shared" ca="1" si="218"/>
        <v>46274.525928000003</v>
      </c>
      <c r="Q891" s="41">
        <f t="shared" ca="1" si="219"/>
        <v>46289.525928000003</v>
      </c>
      <c r="R891" s="41" t="b">
        <f t="shared" ca="1" si="210"/>
        <v>1</v>
      </c>
      <c r="S891" s="44">
        <f t="shared" ca="1" si="211"/>
        <v>15</v>
      </c>
      <c r="T891" s="74">
        <f t="shared" ca="1" si="212"/>
        <v>46304.525928000003</v>
      </c>
      <c r="U891" s="75" t="s">
        <v>83</v>
      </c>
      <c r="V891" s="76">
        <f t="shared" si="220"/>
        <v>37.78</v>
      </c>
      <c r="W891" s="77" t="str">
        <f t="shared" si="213"/>
        <v/>
      </c>
      <c r="Y891" s="51">
        <f t="shared" ca="1" si="222"/>
        <v>239</v>
      </c>
      <c r="Z891" s="52">
        <f t="shared" ca="1" si="221"/>
        <v>0.34520547945205482</v>
      </c>
      <c r="AB891" s="46">
        <f t="shared" si="223"/>
        <v>7.3407609317918876</v>
      </c>
      <c r="AC891" s="83" t="str">
        <f t="shared" si="214"/>
        <v/>
      </c>
      <c r="AE891" s="55"/>
      <c r="AF891" s="72"/>
      <c r="AG891" s="72"/>
      <c r="AH891" s="66"/>
    </row>
    <row r="892" spans="1:34" ht="16" hidden="1" thickBot="1" x14ac:dyDescent="0.25">
      <c r="A892" s="82"/>
      <c r="B892" s="62"/>
      <c r="C892" s="87"/>
      <c r="D892" s="62"/>
      <c r="F892" s="55"/>
      <c r="G892" s="56"/>
      <c r="H892" s="55"/>
      <c r="I892" s="57"/>
      <c r="J892" s="65"/>
      <c r="K892" s="66"/>
      <c r="L892" s="132"/>
      <c r="M892" s="43">
        <f t="shared" si="215"/>
        <v>0</v>
      </c>
      <c r="N892" s="49">
        <f t="shared" si="216"/>
        <v>37.78</v>
      </c>
      <c r="O892" s="42">
        <f t="shared" si="217"/>
        <v>0</v>
      </c>
      <c r="P892" s="48">
        <f t="shared" ca="1" si="218"/>
        <v>46274.525928000003</v>
      </c>
      <c r="Q892" s="41">
        <f t="shared" ca="1" si="219"/>
        <v>46289.525928000003</v>
      </c>
      <c r="R892" s="41" t="b">
        <f t="shared" ca="1" si="210"/>
        <v>1</v>
      </c>
      <c r="S892" s="44">
        <f t="shared" ca="1" si="211"/>
        <v>15</v>
      </c>
      <c r="T892" s="74">
        <f t="shared" ca="1" si="212"/>
        <v>46304.525928000003</v>
      </c>
      <c r="U892" s="75" t="s">
        <v>83</v>
      </c>
      <c r="V892" s="76">
        <f t="shared" si="220"/>
        <v>37.78</v>
      </c>
      <c r="W892" s="77" t="str">
        <f t="shared" si="213"/>
        <v/>
      </c>
      <c r="Y892" s="51">
        <f t="shared" ca="1" si="222"/>
        <v>239</v>
      </c>
      <c r="Z892" s="52">
        <f t="shared" ca="1" si="221"/>
        <v>0.34520547945205482</v>
      </c>
      <c r="AB892" s="46">
        <f t="shared" si="223"/>
        <v>7.3407609317918876</v>
      </c>
      <c r="AC892" s="83" t="str">
        <f t="shared" si="214"/>
        <v/>
      </c>
      <c r="AE892" s="55"/>
      <c r="AF892" s="72"/>
      <c r="AG892" s="72"/>
      <c r="AH892" s="66"/>
    </row>
    <row r="893" spans="1:34" ht="16" hidden="1" thickBot="1" x14ac:dyDescent="0.25">
      <c r="A893" s="82"/>
      <c r="B893" s="62"/>
      <c r="C893" s="87"/>
      <c r="D893" s="62"/>
      <c r="F893" s="55"/>
      <c r="G893" s="56"/>
      <c r="H893" s="55"/>
      <c r="I893" s="57"/>
      <c r="J893" s="65"/>
      <c r="K893" s="66"/>
      <c r="L893" s="132"/>
      <c r="M893" s="43">
        <f t="shared" si="215"/>
        <v>0</v>
      </c>
      <c r="N893" s="49">
        <f t="shared" si="216"/>
        <v>37.78</v>
      </c>
      <c r="O893" s="42">
        <f t="shared" si="217"/>
        <v>0</v>
      </c>
      <c r="P893" s="48">
        <f t="shared" ca="1" si="218"/>
        <v>46274.525928000003</v>
      </c>
      <c r="Q893" s="41">
        <f t="shared" ca="1" si="219"/>
        <v>46289.525928000003</v>
      </c>
      <c r="R893" s="41" t="b">
        <f t="shared" ca="1" si="210"/>
        <v>1</v>
      </c>
      <c r="S893" s="44">
        <f t="shared" ca="1" si="211"/>
        <v>15</v>
      </c>
      <c r="T893" s="74">
        <f t="shared" ca="1" si="212"/>
        <v>46304.525928000003</v>
      </c>
      <c r="U893" s="75" t="s">
        <v>83</v>
      </c>
      <c r="V893" s="76">
        <f t="shared" si="220"/>
        <v>37.78</v>
      </c>
      <c r="W893" s="77" t="str">
        <f t="shared" si="213"/>
        <v/>
      </c>
      <c r="Y893" s="51">
        <f t="shared" ca="1" si="222"/>
        <v>239</v>
      </c>
      <c r="Z893" s="52">
        <f t="shared" ca="1" si="221"/>
        <v>0.34520547945205482</v>
      </c>
      <c r="AB893" s="46">
        <f t="shared" si="223"/>
        <v>7.3407609317918876</v>
      </c>
      <c r="AC893" s="83" t="str">
        <f t="shared" si="214"/>
        <v/>
      </c>
      <c r="AE893" s="55"/>
      <c r="AF893" s="72"/>
      <c r="AG893" s="72"/>
      <c r="AH893" s="66"/>
    </row>
    <row r="894" spans="1:34" ht="16" hidden="1" thickBot="1" x14ac:dyDescent="0.25">
      <c r="A894" s="82"/>
      <c r="B894" s="62"/>
      <c r="C894" s="87"/>
      <c r="D894" s="62"/>
      <c r="F894" s="55"/>
      <c r="G894" s="56"/>
      <c r="H894" s="55"/>
      <c r="I894" s="57"/>
      <c r="J894" s="65"/>
      <c r="K894" s="66"/>
      <c r="L894" s="132"/>
      <c r="M894" s="43">
        <f t="shared" si="215"/>
        <v>0</v>
      </c>
      <c r="N894" s="49">
        <f t="shared" si="216"/>
        <v>37.78</v>
      </c>
      <c r="O894" s="42">
        <f t="shared" si="217"/>
        <v>0</v>
      </c>
      <c r="P894" s="48">
        <f t="shared" ca="1" si="218"/>
        <v>46274.525928000003</v>
      </c>
      <c r="Q894" s="41">
        <f t="shared" ca="1" si="219"/>
        <v>46289.525928000003</v>
      </c>
      <c r="R894" s="41" t="b">
        <f t="shared" ca="1" si="210"/>
        <v>1</v>
      </c>
      <c r="S894" s="44">
        <f t="shared" ca="1" si="211"/>
        <v>15</v>
      </c>
      <c r="T894" s="74">
        <f t="shared" ca="1" si="212"/>
        <v>46304.525928000003</v>
      </c>
      <c r="U894" s="75" t="s">
        <v>83</v>
      </c>
      <c r="V894" s="76">
        <f t="shared" si="220"/>
        <v>37.78</v>
      </c>
      <c r="W894" s="77" t="str">
        <f t="shared" si="213"/>
        <v/>
      </c>
      <c r="Y894" s="51">
        <f t="shared" ca="1" si="222"/>
        <v>239</v>
      </c>
      <c r="Z894" s="52">
        <f t="shared" ca="1" si="221"/>
        <v>0.34520547945205482</v>
      </c>
      <c r="AB894" s="46">
        <f t="shared" si="223"/>
        <v>7.3407609317918876</v>
      </c>
      <c r="AC894" s="83" t="str">
        <f t="shared" si="214"/>
        <v/>
      </c>
      <c r="AE894" s="55"/>
      <c r="AF894" s="72"/>
      <c r="AG894" s="72"/>
      <c r="AH894" s="66"/>
    </row>
    <row r="895" spans="1:34" ht="16" hidden="1" thickBot="1" x14ac:dyDescent="0.25">
      <c r="A895" s="82"/>
      <c r="B895" s="62"/>
      <c r="C895" s="87"/>
      <c r="D895" s="62"/>
      <c r="F895" s="55"/>
      <c r="G895" s="56"/>
      <c r="H895" s="55"/>
      <c r="I895" s="57"/>
      <c r="J895" s="65"/>
      <c r="K895" s="66"/>
      <c r="L895" s="132"/>
      <c r="M895" s="43">
        <f t="shared" si="215"/>
        <v>0</v>
      </c>
      <c r="N895" s="49">
        <f t="shared" si="216"/>
        <v>37.78</v>
      </c>
      <c r="O895" s="42">
        <f t="shared" si="217"/>
        <v>0</v>
      </c>
      <c r="P895" s="48">
        <f t="shared" ca="1" si="218"/>
        <v>46274.525928000003</v>
      </c>
      <c r="Q895" s="41">
        <f t="shared" ca="1" si="219"/>
        <v>46289.525928000003</v>
      </c>
      <c r="R895" s="41" t="b">
        <f t="shared" ca="1" si="210"/>
        <v>1</v>
      </c>
      <c r="S895" s="44">
        <f t="shared" ca="1" si="211"/>
        <v>15</v>
      </c>
      <c r="T895" s="74">
        <f t="shared" ca="1" si="212"/>
        <v>46304.525928000003</v>
      </c>
      <c r="U895" s="75" t="s">
        <v>83</v>
      </c>
      <c r="V895" s="76">
        <f t="shared" si="220"/>
        <v>37.78</v>
      </c>
      <c r="W895" s="77" t="str">
        <f t="shared" si="213"/>
        <v/>
      </c>
      <c r="Y895" s="51">
        <f t="shared" ca="1" si="222"/>
        <v>239</v>
      </c>
      <c r="Z895" s="52">
        <f t="shared" ca="1" si="221"/>
        <v>0.34520547945205482</v>
      </c>
      <c r="AB895" s="46">
        <f t="shared" si="223"/>
        <v>7.3407609317918876</v>
      </c>
      <c r="AC895" s="83" t="str">
        <f t="shared" si="214"/>
        <v/>
      </c>
      <c r="AE895" s="55"/>
      <c r="AF895" s="72"/>
      <c r="AG895" s="72"/>
      <c r="AH895" s="66"/>
    </row>
    <row r="896" spans="1:34" ht="16" hidden="1" thickBot="1" x14ac:dyDescent="0.25">
      <c r="A896" s="82"/>
      <c r="B896" s="62"/>
      <c r="C896" s="87"/>
      <c r="D896" s="62"/>
      <c r="F896" s="55"/>
      <c r="G896" s="56"/>
      <c r="H896" s="55"/>
      <c r="I896" s="57"/>
      <c r="J896" s="65"/>
      <c r="K896" s="66"/>
      <c r="L896" s="132"/>
      <c r="M896" s="43">
        <f t="shared" si="215"/>
        <v>0</v>
      </c>
      <c r="N896" s="49">
        <f t="shared" si="216"/>
        <v>37.78</v>
      </c>
      <c r="O896" s="42">
        <f t="shared" si="217"/>
        <v>0</v>
      </c>
      <c r="P896" s="48">
        <f t="shared" ca="1" si="218"/>
        <v>46274.525928000003</v>
      </c>
      <c r="Q896" s="41">
        <f t="shared" ca="1" si="219"/>
        <v>46289.525928000003</v>
      </c>
      <c r="R896" s="41" t="b">
        <f t="shared" ref="R896:R907" ca="1" si="224">AND(Q896&gt;=DATE(YEAR(Q896),3,31)-WEEKDAY(DATE(YEAR(Q896),3,31),2),Q896&lt;DATE(YEAR(Q896),10,31)-WEEKDAY(DATE(YEAR(Q896),10,31),2))</f>
        <v>1</v>
      </c>
      <c r="S896" s="44">
        <f t="shared" ref="S896:S907" ca="1" si="225">IF(R896,15,0)</f>
        <v>15</v>
      </c>
      <c r="T896" s="74">
        <f t="shared" ref="T896:T907" ca="1" si="226">Q896+S896</f>
        <v>46304.525928000003</v>
      </c>
      <c r="U896" s="75" t="s">
        <v>83</v>
      </c>
      <c r="V896" s="76">
        <f t="shared" si="220"/>
        <v>37.78</v>
      </c>
      <c r="W896" s="77" t="str">
        <f t="shared" ref="W896:W907" si="227">IF(M896&gt;0,V896,"")</f>
        <v/>
      </c>
      <c r="Y896" s="51">
        <f t="shared" ca="1" si="222"/>
        <v>239</v>
      </c>
      <c r="Z896" s="52">
        <f t="shared" ca="1" si="221"/>
        <v>0.34520547945205482</v>
      </c>
      <c r="AB896" s="46">
        <f t="shared" si="223"/>
        <v>7.3407609317918876</v>
      </c>
      <c r="AC896" s="83" t="str">
        <f t="shared" ref="AC896:AC907" si="228">(IF(M896&gt;0,MOD(AB896+AB$11,24)/24,""))</f>
        <v/>
      </c>
      <c r="AE896" s="55"/>
      <c r="AF896" s="72"/>
      <c r="AG896" s="72"/>
      <c r="AH896" s="66"/>
    </row>
    <row r="897" spans="1:34" ht="16" hidden="1" thickBot="1" x14ac:dyDescent="0.25">
      <c r="A897" s="82"/>
      <c r="B897" s="62"/>
      <c r="C897" s="87"/>
      <c r="D897" s="62"/>
      <c r="F897" s="55"/>
      <c r="G897" s="56"/>
      <c r="H897" s="55"/>
      <c r="I897" s="57"/>
      <c r="J897" s="65"/>
      <c r="K897" s="66"/>
      <c r="L897" s="132"/>
      <c r="M897" s="43">
        <f t="shared" si="215"/>
        <v>0</v>
      </c>
      <c r="N897" s="49">
        <f t="shared" si="216"/>
        <v>37.78</v>
      </c>
      <c r="O897" s="42">
        <f t="shared" si="217"/>
        <v>0</v>
      </c>
      <c r="P897" s="48">
        <f t="shared" ca="1" si="218"/>
        <v>46274.525928000003</v>
      </c>
      <c r="Q897" s="41">
        <f t="shared" ca="1" si="219"/>
        <v>46289.525928000003</v>
      </c>
      <c r="R897" s="41" t="b">
        <f t="shared" ca="1" si="224"/>
        <v>1</v>
      </c>
      <c r="S897" s="44">
        <f t="shared" ca="1" si="225"/>
        <v>15</v>
      </c>
      <c r="T897" s="74">
        <f t="shared" ca="1" si="226"/>
        <v>46304.525928000003</v>
      </c>
      <c r="U897" s="75" t="s">
        <v>83</v>
      </c>
      <c r="V897" s="76">
        <f t="shared" si="220"/>
        <v>37.78</v>
      </c>
      <c r="W897" s="77" t="str">
        <f t="shared" si="227"/>
        <v/>
      </c>
      <c r="Y897" s="51">
        <f t="shared" ca="1" si="222"/>
        <v>239</v>
      </c>
      <c r="Z897" s="52">
        <f t="shared" ca="1" si="221"/>
        <v>0.34520547945205482</v>
      </c>
      <c r="AB897" s="46">
        <f t="shared" si="223"/>
        <v>7.3407609317918876</v>
      </c>
      <c r="AC897" s="83" t="str">
        <f t="shared" si="228"/>
        <v/>
      </c>
      <c r="AE897" s="55"/>
      <c r="AF897" s="72"/>
      <c r="AG897" s="72"/>
      <c r="AH897" s="66"/>
    </row>
    <row r="898" spans="1:34" ht="16" hidden="1" thickBot="1" x14ac:dyDescent="0.25">
      <c r="A898" s="82"/>
      <c r="B898" s="62"/>
      <c r="C898" s="87"/>
      <c r="D898" s="62"/>
      <c r="F898" s="55"/>
      <c r="G898" s="56"/>
      <c r="H898" s="55"/>
      <c r="I898" s="57"/>
      <c r="J898" s="65"/>
      <c r="K898" s="66"/>
      <c r="L898" s="132"/>
      <c r="M898" s="43">
        <f t="shared" si="215"/>
        <v>0</v>
      </c>
      <c r="N898" s="49">
        <f t="shared" si="216"/>
        <v>37.78</v>
      </c>
      <c r="O898" s="42">
        <f t="shared" si="217"/>
        <v>0</v>
      </c>
      <c r="P898" s="48">
        <f t="shared" ca="1" si="218"/>
        <v>46274.525928000003</v>
      </c>
      <c r="Q898" s="41">
        <f t="shared" ca="1" si="219"/>
        <v>46289.525928000003</v>
      </c>
      <c r="R898" s="41" t="b">
        <f t="shared" ca="1" si="224"/>
        <v>1</v>
      </c>
      <c r="S898" s="44">
        <f t="shared" ca="1" si="225"/>
        <v>15</v>
      </c>
      <c r="T898" s="74">
        <f t="shared" ca="1" si="226"/>
        <v>46304.525928000003</v>
      </c>
      <c r="U898" s="75" t="s">
        <v>83</v>
      </c>
      <c r="V898" s="76">
        <f t="shared" si="220"/>
        <v>37.78</v>
      </c>
      <c r="W898" s="77" t="str">
        <f t="shared" si="227"/>
        <v/>
      </c>
      <c r="Y898" s="51">
        <f t="shared" ca="1" si="222"/>
        <v>239</v>
      </c>
      <c r="Z898" s="52">
        <f t="shared" ca="1" si="221"/>
        <v>0.34520547945205482</v>
      </c>
      <c r="AB898" s="46">
        <f t="shared" si="223"/>
        <v>7.3407609317918876</v>
      </c>
      <c r="AC898" s="83" t="str">
        <f t="shared" si="228"/>
        <v/>
      </c>
      <c r="AE898" s="55"/>
      <c r="AF898" s="72"/>
      <c r="AG898" s="72"/>
      <c r="AH898" s="66"/>
    </row>
    <row r="899" spans="1:34" ht="16" hidden="1" thickBot="1" x14ac:dyDescent="0.25">
      <c r="A899" s="82"/>
      <c r="B899" s="62"/>
      <c r="C899" s="87"/>
      <c r="D899" s="62"/>
      <c r="F899" s="55"/>
      <c r="G899" s="56"/>
      <c r="H899" s="55"/>
      <c r="I899" s="57"/>
      <c r="J899" s="65"/>
      <c r="K899" s="66"/>
      <c r="L899" s="132"/>
      <c r="M899" s="43">
        <f t="shared" si="215"/>
        <v>0</v>
      </c>
      <c r="N899" s="49">
        <f t="shared" si="216"/>
        <v>37.78</v>
      </c>
      <c r="O899" s="42">
        <f t="shared" si="217"/>
        <v>0</v>
      </c>
      <c r="P899" s="48">
        <f t="shared" ca="1" si="218"/>
        <v>46274.525928000003</v>
      </c>
      <c r="Q899" s="41">
        <f t="shared" ca="1" si="219"/>
        <v>46289.525928000003</v>
      </c>
      <c r="R899" s="41" t="b">
        <f t="shared" ca="1" si="224"/>
        <v>1</v>
      </c>
      <c r="S899" s="44">
        <f t="shared" ca="1" si="225"/>
        <v>15</v>
      </c>
      <c r="T899" s="74">
        <f t="shared" ca="1" si="226"/>
        <v>46304.525928000003</v>
      </c>
      <c r="U899" s="75" t="s">
        <v>83</v>
      </c>
      <c r="V899" s="76">
        <f t="shared" si="220"/>
        <v>37.78</v>
      </c>
      <c r="W899" s="77" t="str">
        <f t="shared" si="227"/>
        <v/>
      </c>
      <c r="Y899" s="51">
        <f t="shared" ca="1" si="222"/>
        <v>239</v>
      </c>
      <c r="Z899" s="52">
        <f t="shared" ca="1" si="221"/>
        <v>0.34520547945205482</v>
      </c>
      <c r="AB899" s="46">
        <f t="shared" si="223"/>
        <v>7.3407609317918876</v>
      </c>
      <c r="AC899" s="83" t="str">
        <f t="shared" si="228"/>
        <v/>
      </c>
      <c r="AE899" s="55"/>
      <c r="AF899" s="72"/>
      <c r="AG899" s="72"/>
      <c r="AH899" s="66"/>
    </row>
    <row r="900" spans="1:34" ht="16" hidden="1" thickBot="1" x14ac:dyDescent="0.25">
      <c r="A900" s="82"/>
      <c r="B900" s="62"/>
      <c r="C900" s="87"/>
      <c r="D900" s="62"/>
      <c r="F900" s="55"/>
      <c r="G900" s="56"/>
      <c r="H900" s="55"/>
      <c r="I900" s="57"/>
      <c r="J900" s="65"/>
      <c r="K900" s="66"/>
      <c r="L900" s="132"/>
      <c r="M900" s="43">
        <f t="shared" si="215"/>
        <v>0</v>
      </c>
      <c r="N900" s="49">
        <f t="shared" si="216"/>
        <v>37.78</v>
      </c>
      <c r="O900" s="42">
        <f t="shared" si="217"/>
        <v>0</v>
      </c>
      <c r="P900" s="48">
        <f t="shared" ca="1" si="218"/>
        <v>46274.525928000003</v>
      </c>
      <c r="Q900" s="41">
        <f t="shared" ca="1" si="219"/>
        <v>46289.525928000003</v>
      </c>
      <c r="R900" s="41" t="b">
        <f t="shared" ca="1" si="224"/>
        <v>1</v>
      </c>
      <c r="S900" s="44">
        <f t="shared" ca="1" si="225"/>
        <v>15</v>
      </c>
      <c r="T900" s="74">
        <f t="shared" ca="1" si="226"/>
        <v>46304.525928000003</v>
      </c>
      <c r="U900" s="75" t="s">
        <v>83</v>
      </c>
      <c r="V900" s="76">
        <f t="shared" si="220"/>
        <v>37.78</v>
      </c>
      <c r="W900" s="77" t="str">
        <f t="shared" si="227"/>
        <v/>
      </c>
      <c r="Y900" s="51">
        <f t="shared" ca="1" si="222"/>
        <v>239</v>
      </c>
      <c r="Z900" s="52">
        <f t="shared" ca="1" si="221"/>
        <v>0.34520547945205482</v>
      </c>
      <c r="AB900" s="46">
        <f t="shared" si="223"/>
        <v>7.3407609317918876</v>
      </c>
      <c r="AC900" s="83" t="str">
        <f t="shared" si="228"/>
        <v/>
      </c>
      <c r="AE900" s="55"/>
      <c r="AF900" s="72"/>
      <c r="AG900" s="72"/>
      <c r="AH900" s="66"/>
    </row>
    <row r="901" spans="1:34" ht="16" hidden="1" thickBot="1" x14ac:dyDescent="0.25">
      <c r="A901" s="82"/>
      <c r="B901" s="62"/>
      <c r="C901" s="87"/>
      <c r="D901" s="62"/>
      <c r="F901" s="55"/>
      <c r="G901" s="56"/>
      <c r="H901" s="55"/>
      <c r="I901" s="57"/>
      <c r="J901" s="65"/>
      <c r="K901" s="66"/>
      <c r="L901" s="132"/>
      <c r="M901" s="43">
        <f t="shared" si="215"/>
        <v>0</v>
      </c>
      <c r="N901" s="49">
        <f t="shared" si="216"/>
        <v>37.78</v>
      </c>
      <c r="O901" s="42">
        <f t="shared" si="217"/>
        <v>0</v>
      </c>
      <c r="P901" s="48">
        <f t="shared" ca="1" si="218"/>
        <v>46274.525928000003</v>
      </c>
      <c r="Q901" s="41">
        <f t="shared" ca="1" si="219"/>
        <v>46289.525928000003</v>
      </c>
      <c r="R901" s="41" t="b">
        <f t="shared" ca="1" si="224"/>
        <v>1</v>
      </c>
      <c r="S901" s="44">
        <f t="shared" ca="1" si="225"/>
        <v>15</v>
      </c>
      <c r="T901" s="74">
        <f t="shared" ca="1" si="226"/>
        <v>46304.525928000003</v>
      </c>
      <c r="U901" s="75" t="s">
        <v>83</v>
      </c>
      <c r="V901" s="76">
        <f t="shared" si="220"/>
        <v>37.78</v>
      </c>
      <c r="W901" s="77" t="str">
        <f t="shared" si="227"/>
        <v/>
      </c>
      <c r="Y901" s="51">
        <f t="shared" ca="1" si="222"/>
        <v>239</v>
      </c>
      <c r="Z901" s="52">
        <f t="shared" ca="1" si="221"/>
        <v>0.34520547945205482</v>
      </c>
      <c r="AB901" s="46">
        <f t="shared" si="223"/>
        <v>7.3407609317918876</v>
      </c>
      <c r="AC901" s="83" t="str">
        <f t="shared" si="228"/>
        <v/>
      </c>
      <c r="AE901" s="55"/>
      <c r="AF901" s="72"/>
      <c r="AG901" s="72"/>
      <c r="AH901" s="66"/>
    </row>
    <row r="902" spans="1:34" ht="16" hidden="1" thickBot="1" x14ac:dyDescent="0.25">
      <c r="A902" s="82"/>
      <c r="B902" s="62"/>
      <c r="C902" s="87"/>
      <c r="D902" s="62"/>
      <c r="F902" s="55"/>
      <c r="G902" s="56"/>
      <c r="H902" s="55"/>
      <c r="I902" s="57"/>
      <c r="J902" s="65"/>
      <c r="K902" s="66"/>
      <c r="L902" s="132"/>
      <c r="M902" s="43">
        <f t="shared" si="215"/>
        <v>0</v>
      </c>
      <c r="N902" s="49">
        <f t="shared" si="216"/>
        <v>37.78</v>
      </c>
      <c r="O902" s="42">
        <f t="shared" si="217"/>
        <v>0</v>
      </c>
      <c r="P902" s="48">
        <f t="shared" ca="1" si="218"/>
        <v>46274.525928000003</v>
      </c>
      <c r="Q902" s="41">
        <f t="shared" ca="1" si="219"/>
        <v>46289.525928000003</v>
      </c>
      <c r="R902" s="41" t="b">
        <f t="shared" ca="1" si="224"/>
        <v>1</v>
      </c>
      <c r="S902" s="44">
        <f t="shared" ca="1" si="225"/>
        <v>15</v>
      </c>
      <c r="T902" s="74">
        <f t="shared" ca="1" si="226"/>
        <v>46304.525928000003</v>
      </c>
      <c r="U902" s="75" t="s">
        <v>83</v>
      </c>
      <c r="V902" s="76">
        <f t="shared" si="220"/>
        <v>37.78</v>
      </c>
      <c r="W902" s="77" t="str">
        <f t="shared" si="227"/>
        <v/>
      </c>
      <c r="Y902" s="51">
        <f t="shared" ca="1" si="222"/>
        <v>239</v>
      </c>
      <c r="Z902" s="52">
        <f t="shared" ca="1" si="221"/>
        <v>0.34520547945205482</v>
      </c>
      <c r="AB902" s="46">
        <f t="shared" si="223"/>
        <v>7.3407609317918876</v>
      </c>
      <c r="AC902" s="83" t="str">
        <f t="shared" si="228"/>
        <v/>
      </c>
      <c r="AE902" s="55"/>
      <c r="AF902" s="72"/>
      <c r="AG902" s="72"/>
      <c r="AH902" s="66"/>
    </row>
    <row r="903" spans="1:34" ht="16" hidden="1" thickBot="1" x14ac:dyDescent="0.25">
      <c r="A903" s="82"/>
      <c r="B903" s="62"/>
      <c r="C903" s="87"/>
      <c r="D903" s="62"/>
      <c r="F903" s="55"/>
      <c r="G903" s="56"/>
      <c r="H903" s="55"/>
      <c r="I903" s="57"/>
      <c r="J903" s="65"/>
      <c r="K903" s="66"/>
      <c r="L903" s="132"/>
      <c r="M903" s="43">
        <f t="shared" si="215"/>
        <v>0</v>
      </c>
      <c r="N903" s="49">
        <f t="shared" si="216"/>
        <v>37.78</v>
      </c>
      <c r="O903" s="42">
        <f t="shared" si="217"/>
        <v>0</v>
      </c>
      <c r="P903" s="48">
        <f t="shared" ca="1" si="218"/>
        <v>46274.525928000003</v>
      </c>
      <c r="Q903" s="41">
        <f t="shared" ca="1" si="219"/>
        <v>46289.525928000003</v>
      </c>
      <c r="R903" s="41" t="b">
        <f t="shared" ca="1" si="224"/>
        <v>1</v>
      </c>
      <c r="S903" s="44">
        <f t="shared" ca="1" si="225"/>
        <v>15</v>
      </c>
      <c r="T903" s="74">
        <f t="shared" ca="1" si="226"/>
        <v>46304.525928000003</v>
      </c>
      <c r="U903" s="75" t="s">
        <v>83</v>
      </c>
      <c r="V903" s="76">
        <f t="shared" si="220"/>
        <v>37.78</v>
      </c>
      <c r="W903" s="77" t="str">
        <f t="shared" si="227"/>
        <v/>
      </c>
      <c r="Y903" s="51">
        <f t="shared" ca="1" si="222"/>
        <v>239</v>
      </c>
      <c r="Z903" s="52">
        <f t="shared" ca="1" si="221"/>
        <v>0.34520547945205482</v>
      </c>
      <c r="AB903" s="46">
        <f t="shared" si="223"/>
        <v>7.3407609317918876</v>
      </c>
      <c r="AC903" s="83" t="str">
        <f t="shared" si="228"/>
        <v/>
      </c>
      <c r="AE903" s="55"/>
      <c r="AF903" s="72"/>
      <c r="AG903" s="72"/>
      <c r="AH903" s="66"/>
    </row>
    <row r="904" spans="1:34" ht="16" hidden="1" thickBot="1" x14ac:dyDescent="0.25">
      <c r="A904" s="82"/>
      <c r="B904" s="62"/>
      <c r="C904" s="87"/>
      <c r="D904" s="62"/>
      <c r="F904" s="55"/>
      <c r="G904" s="56"/>
      <c r="H904" s="55"/>
      <c r="I904" s="57"/>
      <c r="J904" s="65"/>
      <c r="K904" s="66"/>
      <c r="L904" s="132"/>
      <c r="M904" s="43">
        <f t="shared" si="215"/>
        <v>0</v>
      </c>
      <c r="N904" s="49">
        <f t="shared" si="216"/>
        <v>37.78</v>
      </c>
      <c r="O904" s="42">
        <f t="shared" si="217"/>
        <v>0</v>
      </c>
      <c r="P904" s="48">
        <f t="shared" ca="1" si="218"/>
        <v>46274.525928000003</v>
      </c>
      <c r="Q904" s="41">
        <f t="shared" ca="1" si="219"/>
        <v>46289.525928000003</v>
      </c>
      <c r="R904" s="41" t="b">
        <f t="shared" ca="1" si="224"/>
        <v>1</v>
      </c>
      <c r="S904" s="44">
        <f t="shared" ca="1" si="225"/>
        <v>15</v>
      </c>
      <c r="T904" s="74">
        <f t="shared" ca="1" si="226"/>
        <v>46304.525928000003</v>
      </c>
      <c r="U904" s="75" t="s">
        <v>83</v>
      </c>
      <c r="V904" s="76">
        <f t="shared" si="220"/>
        <v>37.78</v>
      </c>
      <c r="W904" s="77" t="str">
        <f t="shared" si="227"/>
        <v/>
      </c>
      <c r="Y904" s="51">
        <f t="shared" ca="1" si="222"/>
        <v>239</v>
      </c>
      <c r="Z904" s="52">
        <f t="shared" ca="1" si="221"/>
        <v>0.34520547945205482</v>
      </c>
      <c r="AB904" s="46">
        <f t="shared" si="223"/>
        <v>7.3407609317918876</v>
      </c>
      <c r="AC904" s="83" t="str">
        <f t="shared" si="228"/>
        <v/>
      </c>
      <c r="AE904" s="55"/>
      <c r="AF904" s="72"/>
      <c r="AG904" s="72"/>
      <c r="AH904" s="66"/>
    </row>
    <row r="905" spans="1:34" ht="16" hidden="1" thickBot="1" x14ac:dyDescent="0.25">
      <c r="A905" s="82"/>
      <c r="B905" s="62"/>
      <c r="C905" s="87"/>
      <c r="D905" s="62"/>
      <c r="F905" s="55"/>
      <c r="G905" s="56"/>
      <c r="H905" s="55"/>
      <c r="I905" s="57"/>
      <c r="J905" s="65"/>
      <c r="K905" s="66"/>
      <c r="L905" s="132"/>
      <c r="M905" s="43">
        <f t="shared" si="215"/>
        <v>0</v>
      </c>
      <c r="N905" s="49">
        <f t="shared" si="216"/>
        <v>37.78</v>
      </c>
      <c r="O905" s="42">
        <f t="shared" si="217"/>
        <v>0</v>
      </c>
      <c r="P905" s="48">
        <f t="shared" ca="1" si="218"/>
        <v>46274.525928000003</v>
      </c>
      <c r="Q905" s="41">
        <f t="shared" ca="1" si="219"/>
        <v>46289.525928000003</v>
      </c>
      <c r="R905" s="41" t="b">
        <f t="shared" ca="1" si="224"/>
        <v>1</v>
      </c>
      <c r="S905" s="44">
        <f t="shared" ca="1" si="225"/>
        <v>15</v>
      </c>
      <c r="T905" s="74">
        <f t="shared" ca="1" si="226"/>
        <v>46304.525928000003</v>
      </c>
      <c r="U905" s="75" t="s">
        <v>83</v>
      </c>
      <c r="V905" s="76">
        <f t="shared" si="220"/>
        <v>37.78</v>
      </c>
      <c r="W905" s="77" t="str">
        <f t="shared" si="227"/>
        <v/>
      </c>
      <c r="Y905" s="51">
        <f t="shared" ca="1" si="222"/>
        <v>239</v>
      </c>
      <c r="Z905" s="52">
        <f t="shared" ca="1" si="221"/>
        <v>0.34520547945205482</v>
      </c>
      <c r="AB905" s="46">
        <f t="shared" si="223"/>
        <v>7.3407609317918876</v>
      </c>
      <c r="AC905" s="83" t="str">
        <f t="shared" si="228"/>
        <v/>
      </c>
      <c r="AE905" s="55"/>
      <c r="AF905" s="72"/>
      <c r="AG905" s="72"/>
      <c r="AH905" s="66"/>
    </row>
    <row r="906" spans="1:34" ht="16" hidden="1" thickBot="1" x14ac:dyDescent="0.25">
      <c r="A906" s="82"/>
      <c r="B906" s="62"/>
      <c r="C906" s="87"/>
      <c r="D906" s="62"/>
      <c r="F906" s="55"/>
      <c r="G906" s="56"/>
      <c r="H906" s="55"/>
      <c r="I906" s="57"/>
      <c r="J906" s="65"/>
      <c r="K906" s="66"/>
      <c r="L906" s="132"/>
      <c r="M906" s="43">
        <f t="shared" si="215"/>
        <v>0</v>
      </c>
      <c r="N906" s="49">
        <f t="shared" si="216"/>
        <v>37.78</v>
      </c>
      <c r="O906" s="42">
        <f t="shared" si="217"/>
        <v>0</v>
      </c>
      <c r="P906" s="48">
        <f t="shared" ca="1" si="218"/>
        <v>46274.525928000003</v>
      </c>
      <c r="Q906" s="41">
        <f t="shared" ca="1" si="219"/>
        <v>46289.525928000003</v>
      </c>
      <c r="R906" s="41" t="b">
        <f t="shared" ca="1" si="224"/>
        <v>1</v>
      </c>
      <c r="S906" s="44">
        <f t="shared" ca="1" si="225"/>
        <v>15</v>
      </c>
      <c r="T906" s="74">
        <f t="shared" ca="1" si="226"/>
        <v>46304.525928000003</v>
      </c>
      <c r="U906" s="75" t="s">
        <v>83</v>
      </c>
      <c r="V906" s="76">
        <f t="shared" si="220"/>
        <v>37.78</v>
      </c>
      <c r="W906" s="77" t="str">
        <f t="shared" si="227"/>
        <v/>
      </c>
      <c r="Y906" s="51">
        <f t="shared" ca="1" si="222"/>
        <v>239</v>
      </c>
      <c r="Z906" s="52">
        <f t="shared" ca="1" si="221"/>
        <v>0.34520547945205482</v>
      </c>
      <c r="AB906" s="46">
        <f t="shared" si="223"/>
        <v>7.3407609317918876</v>
      </c>
      <c r="AC906" s="83" t="str">
        <f t="shared" si="228"/>
        <v/>
      </c>
      <c r="AE906" s="55"/>
      <c r="AF906" s="72"/>
      <c r="AG906" s="72"/>
      <c r="AH906" s="66"/>
    </row>
    <row r="907" spans="1:34" ht="18.75" hidden="1" customHeight="1" thickBot="1" x14ac:dyDescent="0.25">
      <c r="A907" s="82"/>
      <c r="B907" s="62"/>
      <c r="C907" s="90"/>
      <c r="D907" s="62"/>
      <c r="F907" s="55"/>
      <c r="G907" s="56"/>
      <c r="H907" s="55"/>
      <c r="I907" s="57"/>
      <c r="J907" s="65"/>
      <c r="K907" s="66"/>
      <c r="L907" s="132"/>
      <c r="M907" s="43">
        <f t="shared" si="215"/>
        <v>0</v>
      </c>
      <c r="N907" s="49">
        <f t="shared" si="216"/>
        <v>37.78</v>
      </c>
      <c r="O907" s="42">
        <f t="shared" si="217"/>
        <v>0</v>
      </c>
      <c r="P907" s="48">
        <f t="shared" ca="1" si="218"/>
        <v>46274.525928000003</v>
      </c>
      <c r="Q907" s="41">
        <f t="shared" ca="1" si="219"/>
        <v>46289.525928000003</v>
      </c>
      <c r="R907" s="41" t="b">
        <f t="shared" ca="1" si="224"/>
        <v>1</v>
      </c>
      <c r="S907" s="44">
        <f t="shared" ca="1" si="225"/>
        <v>15</v>
      </c>
      <c r="T907" s="74">
        <f t="shared" ca="1" si="226"/>
        <v>46304.525928000003</v>
      </c>
      <c r="U907" s="75" t="s">
        <v>83</v>
      </c>
      <c r="V907" s="76">
        <f t="shared" si="220"/>
        <v>37.78</v>
      </c>
      <c r="W907" s="77" t="str">
        <f t="shared" si="227"/>
        <v/>
      </c>
      <c r="Y907" s="51">
        <f t="shared" ca="1" si="222"/>
        <v>239</v>
      </c>
      <c r="Z907" s="52">
        <f t="shared" ca="1" si="221"/>
        <v>0.34520547945205482</v>
      </c>
      <c r="AB907" s="46">
        <f t="shared" si="223"/>
        <v>7.3407609317918876</v>
      </c>
      <c r="AC907" s="83" t="str">
        <f t="shared" si="228"/>
        <v/>
      </c>
      <c r="AE907" s="55"/>
      <c r="AF907" s="72"/>
      <c r="AG907" s="72"/>
      <c r="AH907" s="66"/>
    </row>
    <row r="908" spans="1:34" ht="21" hidden="1" customHeight="1" thickBot="1" x14ac:dyDescent="0.25">
      <c r="A908" s="82"/>
      <c r="B908" s="63"/>
      <c r="C908" s="89"/>
      <c r="D908" s="84"/>
      <c r="F908" s="58"/>
      <c r="G908" s="59"/>
      <c r="H908" s="58"/>
      <c r="I908" s="60"/>
      <c r="J908" s="67"/>
      <c r="K908" s="68"/>
      <c r="L908" s="132"/>
      <c r="M908" s="43">
        <f t="shared" si="215"/>
        <v>0</v>
      </c>
      <c r="N908" s="49">
        <f t="shared" ref="N908" si="229">90-$B$6+M908</f>
        <v>37.78</v>
      </c>
      <c r="O908" s="42">
        <f t="shared" si="217"/>
        <v>0</v>
      </c>
      <c r="P908" s="48">
        <f t="shared" ref="P908" ca="1" si="230">DATE(YEAR(TODAY()),3,21)+MOD(O908-12-$B$7/15,24)*15.2184</f>
        <v>46274.525928000003</v>
      </c>
      <c r="Q908" s="41">
        <f t="shared" ca="1" si="219"/>
        <v>46289.525928000003</v>
      </c>
      <c r="R908" s="41" t="b">
        <f t="shared" ref="R908" ca="1" si="231">AND(Q908&gt;=DATE(YEAR(Q908),3,31)-WEEKDAY(DATE(YEAR(Q908),3,31),2),Q908&lt;DATE(YEAR(Q908),10,31)-WEEKDAY(DATE(YEAR(Q908),10,31),2))</f>
        <v>1</v>
      </c>
      <c r="S908" s="44">
        <f t="shared" ref="S908" ca="1" si="232">IF(R908,15,0)</f>
        <v>15</v>
      </c>
      <c r="T908" s="78">
        <f t="shared" ref="T908" ca="1" si="233">Q908+S908</f>
        <v>46304.525928000003</v>
      </c>
      <c r="U908" s="79" t="s">
        <v>83</v>
      </c>
      <c r="V908" s="80">
        <f t="shared" si="220"/>
        <v>37.78</v>
      </c>
      <c r="W908" s="81" t="str">
        <f t="shared" ref="W908" si="234">IF(M908&gt;0,V908,"")</f>
        <v/>
      </c>
      <c r="Y908" s="51">
        <f t="shared" ref="Y908" ca="1" si="235">INT(IF(AC$7&gt;T908,AC$7-T908,AC$7+365-T908)+0.5)+S908</f>
        <v>239</v>
      </c>
      <c r="Z908" s="52">
        <f ca="1">$AB$5-Y908/365</f>
        <v>0.34520547945205482</v>
      </c>
      <c r="AB908" s="46">
        <f t="shared" ref="AB908" si="236">MOD(O908-AB$10,24)/1.00273790935</f>
        <v>7.3407609317918876</v>
      </c>
      <c r="AC908" s="83" t="str">
        <f t="shared" ref="AC908" si="237">(IF(M908&gt;0,MOD(AB908+AB$11,24)/24,""))</f>
        <v/>
      </c>
      <c r="AE908" s="58"/>
      <c r="AF908" s="73"/>
      <c r="AG908" s="73"/>
      <c r="AH908" s="68"/>
    </row>
    <row r="909" spans="1:34" ht="15" customHeight="1" x14ac:dyDescent="0.2">
      <c r="C909" s="92"/>
    </row>
    <row r="910" spans="1:34" ht="15" customHeight="1" x14ac:dyDescent="0.2">
      <c r="C910" s="91"/>
    </row>
    <row r="911" spans="1:34" ht="18.75" customHeight="1" x14ac:dyDescent="0.2">
      <c r="C911" s="91"/>
    </row>
    <row r="912" spans="1:34" x14ac:dyDescent="0.2">
      <c r="C912" s="91"/>
    </row>
  </sheetData>
  <autoFilter ref="A1:AI3" xr:uid="{586ED464-070F-4846-A720-3A5D1C514B3C}"/>
  <sortState xmlns:xlrd2="http://schemas.microsoft.com/office/spreadsheetml/2017/richdata2" ref="A12:AH654">
    <sortCondition ref="T12:T654"/>
  </sortState>
  <mergeCells count="17">
    <mergeCell ref="A8:B8"/>
    <mergeCell ref="A9:B9"/>
    <mergeCell ref="A5:B5"/>
    <mergeCell ref="AE8:AH9"/>
    <mergeCell ref="F10:G10"/>
    <mergeCell ref="H10:I10"/>
    <mergeCell ref="A10:B10"/>
    <mergeCell ref="C9:K9"/>
    <mergeCell ref="T10:W10"/>
    <mergeCell ref="F8:K8"/>
    <mergeCell ref="A2:AH2"/>
    <mergeCell ref="F4:K4"/>
    <mergeCell ref="G5:J5"/>
    <mergeCell ref="G7:J7"/>
    <mergeCell ref="G6:J6"/>
    <mergeCell ref="A4:B4"/>
    <mergeCell ref="AC4:AC5"/>
  </mergeCells>
  <conditionalFormatting sqref="W655:W908">
    <cfRule type="cellIs" dxfId="3" priority="1" operator="between">
      <formula>50</formula>
      <formula>70</formula>
    </cfRule>
    <cfRule type="cellIs" dxfId="2" priority="2" operator="between">
      <formula>50</formula>
      <formula>70</formula>
    </cfRule>
    <cfRule type="cellIs" dxfId="1" priority="3" operator="greaterThan">
      <formula>70</formula>
    </cfRule>
    <cfRule type="cellIs" dxfId="0" priority="4" operator="lessThan">
      <formula>20</formula>
    </cfRule>
  </conditionalFormatting>
  <pageMargins left="0.70866141732283472" right="0.31496062992125984" top="0.78740157480314965" bottom="0.39370078740157483"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abelle2.FilterZeilenNachK5K6">
                <anchor moveWithCells="1">
                  <from>
                    <xdr:col>12</xdr:col>
                    <xdr:colOff>0</xdr:colOff>
                    <xdr:row>3</xdr:row>
                    <xdr:rowOff>0</xdr:rowOff>
                  </from>
                  <to>
                    <xdr:col>22</xdr:col>
                    <xdr:colOff>0</xdr:colOff>
                    <xdr:row>4</xdr:row>
                    <xdr:rowOff>165100</xdr:rowOff>
                  </to>
                </anchor>
              </controlPr>
            </control>
          </mc:Choice>
        </mc:AlternateContent>
        <mc:AlternateContent xmlns:mc="http://schemas.openxmlformats.org/markup-compatibility/2006">
          <mc:Choice Requires="x14">
            <control shapeId="1028" r:id="rId5" name="Button 4">
              <controlPr defaultSize="0" print="0" autoFill="0" autoPict="0" macro="[0]!Tabelle2.AlleZeilenEinblenden">
                <anchor moveWithCells="1">
                  <from>
                    <xdr:col>19</xdr:col>
                    <xdr:colOff>12700</xdr:colOff>
                    <xdr:row>5</xdr:row>
                    <xdr:rowOff>50800</xdr:rowOff>
                  </from>
                  <to>
                    <xdr:col>22</xdr:col>
                    <xdr:colOff>12700</xdr:colOff>
                    <xdr:row>6</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6B77-6029-4C0A-BC85-25E40BF160D3}">
  <sheetPr codeName="Tabelle4">
    <tabColor rgb="FF92D050"/>
  </sheetPr>
  <dimension ref="A4:A24"/>
  <sheetViews>
    <sheetView workbookViewId="0">
      <selection activeCell="A2" sqref="A2"/>
    </sheetView>
  </sheetViews>
  <sheetFormatPr baseColWidth="10" defaultRowHeight="15" x14ac:dyDescent="0.2"/>
  <cols>
    <col min="1" max="1" width="236" customWidth="1"/>
  </cols>
  <sheetData>
    <row r="4" spans="1:1" ht="19" x14ac:dyDescent="0.25">
      <c r="A4" s="104" t="s">
        <v>2095</v>
      </c>
    </row>
    <row r="6" spans="1:1" x14ac:dyDescent="0.2">
      <c r="A6" t="s">
        <v>2096</v>
      </c>
    </row>
    <row r="7" spans="1:1" x14ac:dyDescent="0.2">
      <c r="A7" t="s">
        <v>2097</v>
      </c>
    </row>
    <row r="8" spans="1:1" x14ac:dyDescent="0.2">
      <c r="A8" t="s">
        <v>2098</v>
      </c>
    </row>
    <row r="9" spans="1:1" x14ac:dyDescent="0.2">
      <c r="A9" t="s">
        <v>2099</v>
      </c>
    </row>
    <row r="11" spans="1:1" x14ac:dyDescent="0.2">
      <c r="A11" t="s">
        <v>2100</v>
      </c>
    </row>
    <row r="12" spans="1:1" x14ac:dyDescent="0.2">
      <c r="A12" t="s">
        <v>2101</v>
      </c>
    </row>
    <row r="13" spans="1:1" x14ac:dyDescent="0.2">
      <c r="A13" t="s">
        <v>2102</v>
      </c>
    </row>
    <row r="14" spans="1:1" x14ac:dyDescent="0.2">
      <c r="A14" t="s">
        <v>2103</v>
      </c>
    </row>
    <row r="16" spans="1:1" x14ac:dyDescent="0.2">
      <c r="A16" t="s">
        <v>2104</v>
      </c>
    </row>
    <row r="18" spans="1:1" x14ac:dyDescent="0.2">
      <c r="A18" t="s">
        <v>2117</v>
      </c>
    </row>
    <row r="20" spans="1:1" x14ac:dyDescent="0.2">
      <c r="A20" t="s">
        <v>2105</v>
      </c>
    </row>
    <row r="24" spans="1:1" x14ac:dyDescent="0.2">
      <c r="A24" t="s">
        <v>2120</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AAC08-C586-42E2-96A4-F0B05E36FD94}">
  <sheetPr codeName="Tabelle1"/>
  <dimension ref="B1:N11"/>
  <sheetViews>
    <sheetView workbookViewId="0">
      <selection activeCell="H31" sqref="H31"/>
    </sheetView>
  </sheetViews>
  <sheetFormatPr baseColWidth="10" defaultRowHeight="15" x14ac:dyDescent="0.2"/>
  <cols>
    <col min="1" max="1" width="2.5" customWidth="1"/>
    <col min="2" max="2" width="8.6640625" customWidth="1"/>
    <col min="3" max="3" width="1.5" customWidth="1"/>
    <col min="5" max="5" width="2" customWidth="1"/>
    <col min="6" max="8" width="12.33203125" customWidth="1"/>
    <col min="9" max="9" width="2.1640625" customWidth="1"/>
    <col min="10" max="11" width="12.5" customWidth="1"/>
    <col min="12" max="12" width="2.33203125" customWidth="1"/>
    <col min="13" max="14" width="12.1640625" customWidth="1"/>
  </cols>
  <sheetData>
    <row r="1" spans="2:14" ht="16" thickBot="1" x14ac:dyDescent="0.25">
      <c r="D1" s="20" t="s">
        <v>8</v>
      </c>
      <c r="F1" s="194" t="s">
        <v>22</v>
      </c>
      <c r="G1" s="188"/>
      <c r="H1" s="195"/>
      <c r="J1" s="194" t="s">
        <v>23</v>
      </c>
      <c r="K1" s="195"/>
      <c r="M1" s="194" t="s">
        <v>24</v>
      </c>
      <c r="N1" s="195"/>
    </row>
    <row r="2" spans="2:14" x14ac:dyDescent="0.2">
      <c r="D2" s="21" t="s">
        <v>26</v>
      </c>
      <c r="E2" s="1"/>
      <c r="F2" s="2" t="s">
        <v>5</v>
      </c>
      <c r="G2" s="3" t="s">
        <v>0</v>
      </c>
      <c r="H2" s="3" t="s">
        <v>25</v>
      </c>
      <c r="I2" s="1"/>
      <c r="J2" s="4" t="s">
        <v>2</v>
      </c>
      <c r="K2" s="5" t="s">
        <v>1</v>
      </c>
      <c r="L2" s="1"/>
      <c r="M2" s="6" t="s">
        <v>3</v>
      </c>
      <c r="N2" s="7">
        <v>106</v>
      </c>
    </row>
    <row r="3" spans="2:14" x14ac:dyDescent="0.2">
      <c r="B3" s="25"/>
      <c r="D3" s="22"/>
      <c r="E3" s="1"/>
      <c r="F3" s="8"/>
      <c r="G3" s="9"/>
      <c r="H3" s="9"/>
      <c r="I3" s="1"/>
      <c r="J3" s="10"/>
      <c r="K3" s="11"/>
      <c r="L3" s="1"/>
      <c r="M3" s="12"/>
      <c r="N3" s="13"/>
    </row>
    <row r="4" spans="2:14" x14ac:dyDescent="0.2">
      <c r="B4" s="25" t="s">
        <v>4</v>
      </c>
      <c r="D4" s="23" t="s">
        <v>27</v>
      </c>
      <c r="E4" s="1"/>
      <c r="F4" s="8" t="s">
        <v>28</v>
      </c>
      <c r="G4" s="9" t="s">
        <v>29</v>
      </c>
      <c r="H4" s="9" t="s">
        <v>30</v>
      </c>
      <c r="I4" s="1"/>
      <c r="J4" s="10" t="s">
        <v>31</v>
      </c>
      <c r="K4" s="11" t="s">
        <v>32</v>
      </c>
      <c r="L4" s="1"/>
      <c r="M4" s="12" t="s">
        <v>33</v>
      </c>
      <c r="N4" s="13" t="s">
        <v>32</v>
      </c>
    </row>
    <row r="5" spans="2:14" x14ac:dyDescent="0.2">
      <c r="B5" s="25" t="s">
        <v>6</v>
      </c>
      <c r="D5" s="26">
        <v>4.4000000000000004</v>
      </c>
      <c r="E5" s="27"/>
      <c r="F5" s="28">
        <v>4.8</v>
      </c>
      <c r="G5" s="29">
        <f>4.8/0.8</f>
        <v>5.9999999999999991</v>
      </c>
      <c r="H5" s="29">
        <f>G5*1.5</f>
        <v>8.9999999999999982</v>
      </c>
      <c r="I5" s="27"/>
      <c r="J5" s="30">
        <f>K5*0.6</f>
        <v>4.08</v>
      </c>
      <c r="K5" s="31">
        <v>6.8</v>
      </c>
      <c r="L5" s="27"/>
      <c r="M5" s="32">
        <f>N5*0.75</f>
        <v>4.9499999999999993</v>
      </c>
      <c r="N5" s="33">
        <v>6.6</v>
      </c>
    </row>
    <row r="6" spans="2:14" x14ac:dyDescent="0.2">
      <c r="B6" s="25" t="s">
        <v>7</v>
      </c>
      <c r="D6" s="23" t="s">
        <v>34</v>
      </c>
      <c r="E6" s="1"/>
      <c r="F6" s="8" t="s">
        <v>35</v>
      </c>
      <c r="G6" s="9" t="s">
        <v>36</v>
      </c>
      <c r="H6" s="9" t="s">
        <v>37</v>
      </c>
      <c r="I6" s="1"/>
      <c r="J6" s="10" t="s">
        <v>38</v>
      </c>
      <c r="K6" s="11" t="s">
        <v>39</v>
      </c>
      <c r="L6" s="1"/>
      <c r="M6" s="12" t="s">
        <v>40</v>
      </c>
      <c r="N6" s="13" t="s">
        <v>41</v>
      </c>
    </row>
    <row r="7" spans="2:14" x14ac:dyDescent="0.2">
      <c r="B7" s="25"/>
      <c r="D7" s="23"/>
      <c r="E7" s="1"/>
      <c r="F7" s="8"/>
      <c r="G7" s="9"/>
      <c r="H7" s="9"/>
      <c r="I7" s="1"/>
      <c r="J7" s="10"/>
      <c r="K7" s="11"/>
      <c r="L7" s="1"/>
      <c r="M7" s="12"/>
      <c r="N7" s="13"/>
    </row>
    <row r="8" spans="2:14" x14ac:dyDescent="0.2">
      <c r="B8" s="25"/>
      <c r="D8" s="23"/>
      <c r="E8" s="1"/>
      <c r="F8" s="8"/>
      <c r="G8" s="9"/>
      <c r="H8" s="9"/>
      <c r="I8" s="1"/>
      <c r="J8" s="10"/>
      <c r="K8" s="11"/>
      <c r="L8" s="1"/>
      <c r="M8" s="12"/>
      <c r="N8" s="13"/>
    </row>
    <row r="9" spans="2:14" x14ac:dyDescent="0.2">
      <c r="B9" s="25"/>
      <c r="D9" s="23"/>
      <c r="E9" s="1"/>
      <c r="F9" s="8"/>
      <c r="G9" s="9"/>
      <c r="H9" s="9"/>
      <c r="I9" s="1"/>
      <c r="J9" s="10"/>
      <c r="K9" s="11"/>
      <c r="L9" s="1"/>
      <c r="M9" s="12"/>
      <c r="N9" s="13"/>
    </row>
    <row r="10" spans="2:14" x14ac:dyDescent="0.2">
      <c r="B10" s="25" t="s">
        <v>9</v>
      </c>
      <c r="D10" s="23" t="s">
        <v>42</v>
      </c>
      <c r="E10" s="1"/>
      <c r="F10" s="8" t="s">
        <v>13</v>
      </c>
      <c r="G10" s="9" t="s">
        <v>14</v>
      </c>
      <c r="H10" s="9" t="s">
        <v>14</v>
      </c>
      <c r="I10" s="1"/>
      <c r="J10" s="10" t="s">
        <v>15</v>
      </c>
      <c r="K10" s="11" t="s">
        <v>18</v>
      </c>
      <c r="L10" s="1"/>
      <c r="M10" s="12" t="s">
        <v>19</v>
      </c>
      <c r="N10" s="13" t="s">
        <v>18</v>
      </c>
    </row>
    <row r="11" spans="2:14" ht="16" thickBot="1" x14ac:dyDescent="0.25">
      <c r="B11" s="25" t="s">
        <v>10</v>
      </c>
      <c r="D11" s="24" t="s">
        <v>43</v>
      </c>
      <c r="E11" s="1"/>
      <c r="F11" s="14" t="s">
        <v>12</v>
      </c>
      <c r="G11" s="15" t="s">
        <v>11</v>
      </c>
      <c r="H11" s="15" t="s">
        <v>11</v>
      </c>
      <c r="I11" s="1"/>
      <c r="J11" s="16" t="s">
        <v>16</v>
      </c>
      <c r="K11" s="17" t="s">
        <v>17</v>
      </c>
      <c r="L11" s="1"/>
      <c r="M11" s="18" t="s">
        <v>20</v>
      </c>
      <c r="N11" s="19" t="s">
        <v>21</v>
      </c>
    </row>
  </sheetData>
  <mergeCells count="3">
    <mergeCell ref="F1:H1"/>
    <mergeCell ref="J1:K1"/>
    <mergeCell ref="M1:N1"/>
  </mergeCells>
  <pageMargins left="0.70866141732283472" right="0.70866141732283472" top="0.78740157480314965" bottom="0.78740157480314965" header="0.31496062992125984" footer="0.31496062992125984"/>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69272-E72B-45EF-8144-CA764AD43564}">
  <sheetPr codeName="Tabelle3"/>
  <dimension ref="A1:AC655"/>
  <sheetViews>
    <sheetView workbookViewId="0">
      <selection activeCell="C11" sqref="C11"/>
    </sheetView>
  </sheetViews>
  <sheetFormatPr baseColWidth="10" defaultRowHeight="15" x14ac:dyDescent="0.2"/>
  <cols>
    <col min="1" max="1" width="4.83203125" customWidth="1"/>
    <col min="2" max="2" width="11.5" style="143"/>
    <col min="3" max="3" width="205.5" customWidth="1"/>
  </cols>
  <sheetData>
    <row r="1" spans="2:3" x14ac:dyDescent="0.2">
      <c r="B1" s="143" t="s">
        <v>2125</v>
      </c>
      <c r="C1" t="s">
        <v>2124</v>
      </c>
    </row>
    <row r="6" spans="2:3" x14ac:dyDescent="0.2">
      <c r="B6" s="143" t="s">
        <v>2121</v>
      </c>
      <c r="C6" t="s">
        <v>2122</v>
      </c>
    </row>
    <row r="7" spans="2:3" x14ac:dyDescent="0.2">
      <c r="B7" s="143" t="s">
        <v>2123</v>
      </c>
      <c r="C7" t="s">
        <v>2126</v>
      </c>
    </row>
    <row r="8" spans="2:3" x14ac:dyDescent="0.2">
      <c r="B8" s="143" t="s">
        <v>2131</v>
      </c>
      <c r="C8" t="s">
        <v>2132</v>
      </c>
    </row>
    <row r="9" spans="2:3" x14ac:dyDescent="0.2">
      <c r="B9" s="143" t="s">
        <v>2134</v>
      </c>
      <c r="C9" t="s">
        <v>2133</v>
      </c>
    </row>
    <row r="11" spans="2:3" x14ac:dyDescent="0.2">
      <c r="B11" s="143" t="s">
        <v>2138</v>
      </c>
      <c r="C11" t="s">
        <v>2139</v>
      </c>
    </row>
    <row r="30" spans="1:29" x14ac:dyDescent="0.2">
      <c r="A30" s="144"/>
      <c r="B30" s="145"/>
      <c r="C30" s="144"/>
      <c r="D30" s="144"/>
      <c r="E30" s="144"/>
      <c r="F30" s="144"/>
      <c r="G30" s="144"/>
      <c r="H30" s="144"/>
      <c r="I30" s="144"/>
      <c r="J30" s="144"/>
      <c r="K30" s="144"/>
      <c r="M30" s="144"/>
      <c r="N30" s="144"/>
      <c r="O30" s="144"/>
      <c r="P30" s="144"/>
      <c r="Q30" s="144"/>
      <c r="R30" s="144"/>
      <c r="S30" s="144"/>
      <c r="T30" s="144"/>
      <c r="U30" s="144"/>
      <c r="V30" s="144"/>
      <c r="W30" s="144"/>
      <c r="Y30" s="144"/>
      <c r="Z30" s="144"/>
      <c r="AA30" s="144"/>
      <c r="AB30" s="144"/>
      <c r="AC30" s="144"/>
    </row>
    <row r="31" spans="1:29" x14ac:dyDescent="0.2">
      <c r="A31" s="144"/>
      <c r="B31" s="145"/>
      <c r="C31" s="144"/>
      <c r="D31" s="144"/>
      <c r="E31" s="144"/>
      <c r="F31" s="144"/>
      <c r="G31" s="144"/>
      <c r="H31" s="144"/>
      <c r="I31" s="144"/>
      <c r="J31" s="144"/>
      <c r="K31" s="144"/>
      <c r="M31" s="144"/>
      <c r="N31" s="144"/>
      <c r="O31" s="144"/>
      <c r="P31" s="144"/>
      <c r="Q31" s="144"/>
      <c r="R31" s="144"/>
      <c r="S31" s="144"/>
      <c r="T31" s="144"/>
      <c r="U31" s="144"/>
      <c r="V31" s="144"/>
      <c r="W31" s="144"/>
      <c r="Y31" s="144"/>
      <c r="Z31" s="144"/>
      <c r="AA31" s="144"/>
      <c r="AB31" s="144"/>
      <c r="AC31" s="144"/>
    </row>
    <row r="32" spans="1:29" x14ac:dyDescent="0.2">
      <c r="A32" s="144"/>
      <c r="B32" s="145"/>
      <c r="C32" s="144"/>
      <c r="D32" s="144"/>
      <c r="E32" s="144"/>
      <c r="F32" s="144"/>
      <c r="G32" s="144"/>
      <c r="H32" s="144"/>
      <c r="I32" s="144"/>
      <c r="J32" s="144"/>
      <c r="K32" s="144"/>
      <c r="M32" s="144"/>
      <c r="N32" s="144"/>
      <c r="O32" s="144"/>
      <c r="P32" s="144"/>
      <c r="Q32" s="144"/>
      <c r="R32" s="144"/>
      <c r="S32" s="144"/>
      <c r="T32" s="144"/>
      <c r="U32" s="144"/>
      <c r="V32" s="144"/>
      <c r="W32" s="144"/>
      <c r="Y32" s="144"/>
      <c r="Z32" s="144"/>
      <c r="AA32" s="144"/>
      <c r="AB32" s="144"/>
      <c r="AC32" s="144"/>
    </row>
    <row r="33" spans="1:29" x14ac:dyDescent="0.2">
      <c r="A33" s="144"/>
      <c r="B33" s="145"/>
      <c r="C33" s="144"/>
      <c r="D33" s="144"/>
      <c r="E33" s="144"/>
      <c r="F33" s="144"/>
      <c r="G33" s="144"/>
      <c r="H33" s="144"/>
      <c r="I33" s="144"/>
      <c r="J33" s="144"/>
      <c r="K33" s="144"/>
      <c r="M33" s="144"/>
      <c r="N33" s="144"/>
      <c r="O33" s="144"/>
      <c r="P33" s="144"/>
      <c r="Q33" s="144"/>
      <c r="R33" s="144"/>
      <c r="S33" s="144"/>
      <c r="T33" s="144"/>
      <c r="U33" s="144"/>
      <c r="V33" s="144"/>
      <c r="W33" s="144"/>
      <c r="Y33" s="144"/>
      <c r="Z33" s="144"/>
      <c r="AA33" s="144"/>
      <c r="AB33" s="144"/>
      <c r="AC33" s="144"/>
    </row>
    <row r="34" spans="1:29" x14ac:dyDescent="0.2">
      <c r="A34" s="144"/>
      <c r="B34" s="145"/>
      <c r="C34" s="144"/>
      <c r="D34" s="144"/>
      <c r="E34" s="144"/>
      <c r="F34" s="144"/>
      <c r="G34" s="144"/>
      <c r="H34" s="144"/>
      <c r="I34" s="144"/>
      <c r="J34" s="144"/>
      <c r="K34" s="144"/>
      <c r="M34" s="144"/>
      <c r="N34" s="144"/>
      <c r="O34" s="144"/>
      <c r="P34" s="144"/>
      <c r="Q34" s="144"/>
      <c r="R34" s="144"/>
      <c r="S34" s="144"/>
      <c r="T34" s="144"/>
      <c r="U34" s="144"/>
      <c r="V34" s="144"/>
      <c r="W34" s="144"/>
      <c r="Y34" s="144"/>
      <c r="Z34" s="144"/>
      <c r="AA34" s="144"/>
      <c r="AB34" s="144"/>
      <c r="AC34" s="144"/>
    </row>
    <row r="35" spans="1:29" x14ac:dyDescent="0.2">
      <c r="A35" s="144"/>
      <c r="B35" s="145"/>
      <c r="C35" s="144"/>
      <c r="D35" s="144"/>
      <c r="E35" s="144"/>
      <c r="F35" s="144"/>
      <c r="G35" s="144"/>
      <c r="H35" s="144"/>
      <c r="I35" s="144"/>
      <c r="J35" s="144"/>
      <c r="K35" s="144"/>
      <c r="M35" s="144"/>
      <c r="N35" s="144"/>
      <c r="O35" s="144"/>
      <c r="P35" s="144"/>
      <c r="Q35" s="144"/>
      <c r="R35" s="144"/>
      <c r="S35" s="144"/>
      <c r="T35" s="144"/>
      <c r="U35" s="144"/>
      <c r="V35" s="144"/>
      <c r="W35" s="144"/>
      <c r="Y35" s="144"/>
      <c r="Z35" s="144"/>
      <c r="AA35" s="144"/>
      <c r="AB35" s="144"/>
      <c r="AC35" s="144"/>
    </row>
    <row r="36" spans="1:29" x14ac:dyDescent="0.2">
      <c r="A36" s="144"/>
      <c r="B36" s="145"/>
      <c r="C36" s="144"/>
      <c r="D36" s="144"/>
      <c r="E36" s="144"/>
      <c r="F36" s="144"/>
      <c r="G36" s="144"/>
      <c r="H36" s="144"/>
      <c r="I36" s="144"/>
      <c r="J36" s="144"/>
      <c r="K36" s="144"/>
      <c r="M36" s="144"/>
      <c r="N36" s="144"/>
      <c r="O36" s="144"/>
      <c r="P36" s="144"/>
      <c r="Q36" s="144"/>
      <c r="R36" s="144"/>
      <c r="S36" s="144"/>
      <c r="T36" s="144"/>
      <c r="U36" s="144"/>
      <c r="V36" s="144"/>
      <c r="W36" s="144"/>
      <c r="Y36" s="144"/>
      <c r="Z36" s="144"/>
      <c r="AA36" s="144"/>
      <c r="AB36" s="144"/>
      <c r="AC36" s="144"/>
    </row>
    <row r="37" spans="1:29" x14ac:dyDescent="0.2">
      <c r="A37" s="144"/>
      <c r="B37" s="145"/>
      <c r="C37" s="144"/>
      <c r="D37" s="144"/>
      <c r="E37" s="144"/>
      <c r="F37" s="144"/>
      <c r="G37" s="144"/>
      <c r="H37" s="144"/>
      <c r="I37" s="144"/>
      <c r="J37" s="144"/>
      <c r="K37" s="144"/>
      <c r="M37" s="144"/>
      <c r="N37" s="144"/>
      <c r="O37" s="144"/>
      <c r="P37" s="144"/>
      <c r="Q37" s="144"/>
      <c r="R37" s="144"/>
      <c r="S37" s="144"/>
      <c r="T37" s="144"/>
      <c r="U37" s="144"/>
      <c r="V37" s="144"/>
      <c r="W37" s="144"/>
      <c r="Y37" s="144"/>
      <c r="Z37" s="144"/>
      <c r="AA37" s="144"/>
      <c r="AB37" s="144"/>
      <c r="AC37" s="144"/>
    </row>
    <row r="38" spans="1:29" x14ac:dyDescent="0.2">
      <c r="A38" s="144"/>
      <c r="B38" s="145"/>
      <c r="C38" s="144"/>
      <c r="D38" s="144"/>
      <c r="E38" s="144"/>
      <c r="F38" s="144"/>
      <c r="G38" s="144"/>
      <c r="H38" s="144"/>
      <c r="I38" s="144"/>
      <c r="J38" s="144"/>
      <c r="K38" s="144"/>
      <c r="M38" s="144"/>
      <c r="N38" s="144"/>
      <c r="O38" s="144"/>
      <c r="P38" s="144"/>
      <c r="Q38" s="144"/>
      <c r="R38" s="144"/>
      <c r="S38" s="144"/>
      <c r="T38" s="144"/>
      <c r="U38" s="144"/>
      <c r="V38" s="144"/>
      <c r="W38" s="144"/>
      <c r="Y38" s="144"/>
      <c r="Z38" s="144"/>
      <c r="AA38" s="144"/>
      <c r="AB38" s="144"/>
      <c r="AC38" s="144"/>
    </row>
    <row r="39" spans="1:29" x14ac:dyDescent="0.2">
      <c r="A39" s="144"/>
      <c r="B39" s="145"/>
      <c r="C39" s="144"/>
      <c r="D39" s="144"/>
      <c r="E39" s="144"/>
      <c r="F39" s="144"/>
      <c r="G39" s="144"/>
      <c r="H39" s="144"/>
      <c r="I39" s="144"/>
      <c r="J39" s="144"/>
      <c r="K39" s="144"/>
      <c r="M39" s="144"/>
      <c r="N39" s="144"/>
      <c r="O39" s="144"/>
      <c r="P39" s="144"/>
      <c r="Q39" s="144"/>
      <c r="R39" s="144"/>
      <c r="S39" s="144"/>
      <c r="T39" s="144"/>
      <c r="U39" s="144"/>
      <c r="V39" s="144"/>
      <c r="W39" s="144"/>
      <c r="Y39" s="144"/>
      <c r="Z39" s="144"/>
      <c r="AA39" s="144"/>
      <c r="AB39" s="144"/>
      <c r="AC39" s="144"/>
    </row>
    <row r="40" spans="1:29" x14ac:dyDescent="0.2">
      <c r="A40" s="144"/>
      <c r="B40" s="145"/>
      <c r="C40" s="144"/>
      <c r="D40" s="144"/>
      <c r="E40" s="144"/>
      <c r="F40" s="144"/>
      <c r="G40" s="144"/>
      <c r="H40" s="144"/>
      <c r="I40" s="144"/>
      <c r="J40" s="144"/>
      <c r="K40" s="144"/>
      <c r="M40" s="144"/>
      <c r="N40" s="144"/>
      <c r="O40" s="144"/>
      <c r="P40" s="144"/>
      <c r="Q40" s="144"/>
      <c r="R40" s="144"/>
      <c r="S40" s="144"/>
      <c r="T40" s="144"/>
      <c r="U40" s="144"/>
      <c r="V40" s="144"/>
      <c r="W40" s="144"/>
      <c r="Y40" s="144"/>
      <c r="Z40" s="144"/>
      <c r="AA40" s="144"/>
      <c r="AB40" s="144"/>
      <c r="AC40" s="144"/>
    </row>
    <row r="41" spans="1:29" x14ac:dyDescent="0.2">
      <c r="A41" s="144"/>
      <c r="B41" s="145"/>
      <c r="C41" s="144"/>
      <c r="D41" s="144"/>
      <c r="E41" s="144"/>
      <c r="F41" s="144"/>
      <c r="G41" s="144"/>
      <c r="H41" s="144"/>
      <c r="I41" s="144"/>
      <c r="J41" s="144"/>
      <c r="K41" s="144"/>
      <c r="M41" s="144"/>
      <c r="N41" s="144"/>
      <c r="O41" s="144"/>
      <c r="P41" s="144"/>
      <c r="Q41" s="144"/>
      <c r="R41" s="144"/>
      <c r="S41" s="144"/>
      <c r="T41" s="144"/>
      <c r="U41" s="144"/>
      <c r="V41" s="144"/>
      <c r="W41" s="144"/>
      <c r="Y41" s="144"/>
      <c r="Z41" s="144"/>
      <c r="AA41" s="144"/>
      <c r="AB41" s="144"/>
      <c r="AC41" s="144"/>
    </row>
    <row r="42" spans="1:29" x14ac:dyDescent="0.2">
      <c r="A42" s="144"/>
      <c r="B42" s="145"/>
      <c r="C42" s="144"/>
      <c r="D42" s="144"/>
      <c r="E42" s="144"/>
      <c r="F42" s="144"/>
      <c r="G42" s="144"/>
      <c r="H42" s="144"/>
      <c r="I42" s="144"/>
      <c r="J42" s="144"/>
      <c r="K42" s="144"/>
      <c r="M42" s="144"/>
      <c r="N42" s="144"/>
      <c r="O42" s="144"/>
      <c r="P42" s="144"/>
      <c r="Q42" s="144"/>
      <c r="R42" s="144"/>
      <c r="S42" s="144"/>
      <c r="T42" s="144"/>
      <c r="U42" s="144"/>
      <c r="V42" s="144"/>
      <c r="W42" s="144"/>
      <c r="Y42" s="144"/>
      <c r="Z42" s="144"/>
      <c r="AA42" s="144"/>
      <c r="AB42" s="144"/>
      <c r="AC42" s="144"/>
    </row>
    <row r="43" spans="1:29" x14ac:dyDescent="0.2">
      <c r="A43" s="144"/>
      <c r="B43" s="145"/>
      <c r="C43" s="144"/>
      <c r="D43" s="144"/>
      <c r="E43" s="144"/>
      <c r="F43" s="144"/>
      <c r="G43" s="144"/>
      <c r="H43" s="144"/>
      <c r="I43" s="144"/>
      <c r="J43" s="144"/>
      <c r="K43" s="144"/>
      <c r="M43" s="144"/>
      <c r="N43" s="144"/>
      <c r="O43" s="144"/>
      <c r="P43" s="144"/>
      <c r="Q43" s="144"/>
      <c r="R43" s="144"/>
      <c r="S43" s="144"/>
      <c r="T43" s="144"/>
      <c r="U43" s="144"/>
      <c r="V43" s="144"/>
      <c r="W43" s="144"/>
      <c r="Y43" s="144"/>
      <c r="Z43" s="144"/>
      <c r="AA43" s="144"/>
      <c r="AB43" s="144"/>
      <c r="AC43" s="144"/>
    </row>
    <row r="44" spans="1:29" x14ac:dyDescent="0.2">
      <c r="A44" s="144"/>
      <c r="B44" s="145"/>
      <c r="C44" s="144"/>
      <c r="D44" s="144"/>
      <c r="E44" s="144"/>
      <c r="F44" s="144"/>
      <c r="G44" s="144"/>
      <c r="H44" s="144"/>
      <c r="I44" s="144"/>
      <c r="J44" s="144"/>
      <c r="K44" s="144"/>
      <c r="M44" s="144"/>
      <c r="N44" s="144"/>
      <c r="O44" s="144"/>
      <c r="P44" s="144"/>
      <c r="Q44" s="144"/>
      <c r="R44" s="144"/>
      <c r="S44" s="144"/>
      <c r="T44" s="144"/>
      <c r="U44" s="144"/>
      <c r="V44" s="144"/>
      <c r="W44" s="144"/>
      <c r="Y44" s="144"/>
      <c r="Z44" s="144"/>
      <c r="AA44" s="144"/>
      <c r="AB44" s="144"/>
      <c r="AC44" s="144"/>
    </row>
    <row r="45" spans="1:29" x14ac:dyDescent="0.2">
      <c r="A45" s="144"/>
      <c r="B45" s="145"/>
      <c r="C45" s="144"/>
      <c r="D45" s="144"/>
      <c r="E45" s="144"/>
      <c r="F45" s="144"/>
      <c r="G45" s="144"/>
      <c r="H45" s="144"/>
      <c r="I45" s="144"/>
      <c r="J45" s="144"/>
      <c r="K45" s="144"/>
      <c r="M45" s="144"/>
      <c r="N45" s="144"/>
      <c r="O45" s="144"/>
      <c r="P45" s="144"/>
      <c r="Q45" s="144"/>
      <c r="R45" s="144"/>
      <c r="S45" s="144"/>
      <c r="T45" s="144"/>
      <c r="U45" s="144"/>
      <c r="V45" s="144"/>
      <c r="W45" s="144"/>
      <c r="Y45" s="144"/>
      <c r="Z45" s="144"/>
      <c r="AA45" s="144"/>
      <c r="AB45" s="144"/>
      <c r="AC45" s="144"/>
    </row>
    <row r="46" spans="1:29" x14ac:dyDescent="0.2">
      <c r="A46" s="144"/>
      <c r="B46" s="145"/>
      <c r="C46" s="144"/>
      <c r="D46" s="144"/>
      <c r="E46" s="144"/>
      <c r="F46" s="144"/>
      <c r="G46" s="144"/>
      <c r="H46" s="144"/>
      <c r="I46" s="144"/>
      <c r="J46" s="144"/>
      <c r="K46" s="144"/>
      <c r="M46" s="144"/>
      <c r="N46" s="144"/>
      <c r="O46" s="144"/>
      <c r="P46" s="144"/>
      <c r="Q46" s="144"/>
      <c r="R46" s="144"/>
      <c r="S46" s="144"/>
      <c r="T46" s="144"/>
      <c r="U46" s="144"/>
      <c r="V46" s="144"/>
      <c r="W46" s="144"/>
      <c r="Y46" s="144"/>
      <c r="Z46" s="144"/>
      <c r="AA46" s="144"/>
      <c r="AB46" s="144"/>
      <c r="AC46" s="144"/>
    </row>
    <row r="47" spans="1:29" x14ac:dyDescent="0.2">
      <c r="A47" s="144"/>
      <c r="B47" s="145"/>
      <c r="C47" s="144"/>
      <c r="D47" s="144"/>
      <c r="E47" s="144"/>
      <c r="F47" s="144"/>
      <c r="G47" s="144"/>
      <c r="H47" s="144"/>
      <c r="I47" s="144"/>
      <c r="J47" s="144"/>
      <c r="K47" s="144"/>
      <c r="M47" s="144"/>
      <c r="N47" s="144"/>
      <c r="O47" s="144"/>
      <c r="P47" s="144"/>
      <c r="Q47" s="144"/>
      <c r="R47" s="144"/>
      <c r="S47" s="144"/>
      <c r="T47" s="144"/>
      <c r="U47" s="144"/>
      <c r="V47" s="144"/>
      <c r="W47" s="144"/>
      <c r="Y47" s="144"/>
      <c r="Z47" s="144"/>
      <c r="AA47" s="144"/>
      <c r="AB47" s="144"/>
      <c r="AC47" s="144"/>
    </row>
    <row r="48" spans="1:29" x14ac:dyDescent="0.2">
      <c r="A48" s="144"/>
      <c r="B48" s="145"/>
      <c r="C48" s="144"/>
      <c r="D48" s="144"/>
      <c r="E48" s="144"/>
      <c r="F48" s="144"/>
      <c r="G48" s="144"/>
      <c r="H48" s="144"/>
      <c r="I48" s="144"/>
      <c r="J48" s="144"/>
      <c r="K48" s="144"/>
      <c r="M48" s="144"/>
      <c r="N48" s="144"/>
      <c r="O48" s="144"/>
      <c r="P48" s="144"/>
      <c r="Q48" s="144"/>
      <c r="R48" s="144"/>
      <c r="S48" s="144"/>
      <c r="T48" s="144"/>
      <c r="U48" s="144"/>
      <c r="V48" s="144"/>
      <c r="W48" s="144"/>
      <c r="Y48" s="144"/>
      <c r="Z48" s="144"/>
      <c r="AA48" s="144"/>
      <c r="AB48" s="144"/>
      <c r="AC48" s="144"/>
    </row>
    <row r="49" spans="1:29" x14ac:dyDescent="0.2">
      <c r="A49" s="144"/>
      <c r="B49" s="145"/>
      <c r="C49" s="144"/>
      <c r="D49" s="144"/>
      <c r="E49" s="144"/>
      <c r="F49" s="144"/>
      <c r="G49" s="144"/>
      <c r="H49" s="144"/>
      <c r="I49" s="144"/>
      <c r="J49" s="144"/>
      <c r="K49" s="144"/>
      <c r="M49" s="144"/>
      <c r="N49" s="144"/>
      <c r="O49" s="144"/>
      <c r="P49" s="144"/>
      <c r="Q49" s="144"/>
      <c r="R49" s="144"/>
      <c r="S49" s="144"/>
      <c r="T49" s="144"/>
      <c r="U49" s="144"/>
      <c r="V49" s="144"/>
      <c r="W49" s="144"/>
      <c r="Y49" s="144"/>
      <c r="Z49" s="144"/>
      <c r="AA49" s="144"/>
      <c r="AB49" s="144"/>
      <c r="AC49" s="144"/>
    </row>
    <row r="50" spans="1:29" x14ac:dyDescent="0.2">
      <c r="A50" s="144"/>
      <c r="B50" s="145"/>
      <c r="C50" s="144"/>
      <c r="D50" s="144"/>
      <c r="E50" s="144"/>
      <c r="F50" s="144"/>
      <c r="G50" s="144"/>
      <c r="H50" s="144"/>
      <c r="I50" s="144"/>
      <c r="J50" s="144"/>
      <c r="K50" s="144"/>
      <c r="M50" s="144"/>
      <c r="N50" s="144"/>
      <c r="O50" s="144"/>
      <c r="P50" s="144"/>
      <c r="Q50" s="144"/>
      <c r="R50" s="144"/>
      <c r="S50" s="144"/>
      <c r="T50" s="144"/>
      <c r="U50" s="144"/>
      <c r="V50" s="144"/>
      <c r="W50" s="144"/>
      <c r="Y50" s="144"/>
      <c r="Z50" s="144"/>
      <c r="AA50" s="144"/>
      <c r="AB50" s="144"/>
      <c r="AC50" s="144"/>
    </row>
    <row r="51" spans="1:29" x14ac:dyDescent="0.2">
      <c r="A51" s="144"/>
      <c r="B51" s="145"/>
      <c r="C51" s="144"/>
      <c r="D51" s="144"/>
      <c r="E51" s="144"/>
      <c r="F51" s="144"/>
      <c r="G51" s="144"/>
      <c r="H51" s="144"/>
      <c r="I51" s="144"/>
      <c r="J51" s="144"/>
      <c r="K51" s="144"/>
      <c r="M51" s="144"/>
      <c r="N51" s="144"/>
      <c r="O51" s="144"/>
      <c r="P51" s="144"/>
      <c r="Q51" s="144"/>
      <c r="R51" s="144"/>
      <c r="S51" s="144"/>
      <c r="T51" s="144"/>
      <c r="U51" s="144"/>
      <c r="V51" s="144"/>
      <c r="W51" s="144"/>
      <c r="Y51" s="144"/>
      <c r="Z51" s="144"/>
      <c r="AA51" s="144"/>
      <c r="AB51" s="144"/>
      <c r="AC51" s="144"/>
    </row>
    <row r="52" spans="1:29" x14ac:dyDescent="0.2">
      <c r="A52" s="144"/>
      <c r="B52" s="145"/>
      <c r="C52" s="144"/>
      <c r="D52" s="144"/>
      <c r="E52" s="144"/>
      <c r="F52" s="144"/>
      <c r="G52" s="144"/>
      <c r="H52" s="144"/>
      <c r="I52" s="144"/>
      <c r="J52" s="144"/>
      <c r="K52" s="144"/>
      <c r="M52" s="144"/>
      <c r="N52" s="144"/>
      <c r="O52" s="144"/>
      <c r="P52" s="144"/>
      <c r="Q52" s="144"/>
      <c r="R52" s="144"/>
      <c r="S52" s="144"/>
      <c r="T52" s="144"/>
      <c r="U52" s="144"/>
      <c r="V52" s="144"/>
      <c r="W52" s="144"/>
      <c r="Y52" s="144"/>
      <c r="Z52" s="144"/>
      <c r="AA52" s="144"/>
      <c r="AB52" s="144"/>
      <c r="AC52" s="144"/>
    </row>
    <row r="53" spans="1:29" x14ac:dyDescent="0.2">
      <c r="A53" s="144"/>
      <c r="B53" s="145"/>
      <c r="C53" s="144"/>
      <c r="D53" s="144"/>
      <c r="E53" s="144"/>
      <c r="F53" s="144"/>
      <c r="G53" s="144"/>
      <c r="H53" s="144"/>
      <c r="I53" s="144"/>
      <c r="J53" s="144"/>
      <c r="K53" s="144"/>
      <c r="M53" s="144"/>
      <c r="N53" s="144"/>
      <c r="O53" s="144"/>
      <c r="P53" s="144"/>
      <c r="Q53" s="144"/>
      <c r="R53" s="144"/>
      <c r="S53" s="144"/>
      <c r="T53" s="144"/>
      <c r="U53" s="144"/>
      <c r="V53" s="144"/>
      <c r="W53" s="144"/>
      <c r="Y53" s="144"/>
      <c r="Z53" s="144"/>
      <c r="AA53" s="144"/>
      <c r="AB53" s="144"/>
      <c r="AC53" s="144"/>
    </row>
    <row r="54" spans="1:29" x14ac:dyDescent="0.2">
      <c r="A54" s="144"/>
      <c r="B54" s="145"/>
      <c r="C54" s="144"/>
      <c r="D54" s="144"/>
      <c r="E54" s="144"/>
      <c r="F54" s="144"/>
      <c r="G54" s="144"/>
      <c r="H54" s="144"/>
      <c r="I54" s="144"/>
      <c r="J54" s="144"/>
      <c r="K54" s="144"/>
      <c r="M54" s="144"/>
      <c r="N54" s="144"/>
      <c r="O54" s="144"/>
      <c r="P54" s="144"/>
      <c r="Q54" s="144"/>
      <c r="R54" s="144"/>
      <c r="S54" s="144"/>
      <c r="T54" s="144"/>
      <c r="U54" s="144"/>
      <c r="V54" s="144"/>
      <c r="W54" s="144"/>
      <c r="Y54" s="144"/>
      <c r="Z54" s="144"/>
      <c r="AA54" s="144"/>
      <c r="AB54" s="144"/>
      <c r="AC54" s="144"/>
    </row>
    <row r="55" spans="1:29" x14ac:dyDescent="0.2">
      <c r="A55" s="144"/>
      <c r="B55" s="145"/>
      <c r="C55" s="144"/>
      <c r="D55" s="144"/>
      <c r="E55" s="144"/>
      <c r="F55" s="144"/>
      <c r="G55" s="144"/>
      <c r="H55" s="144"/>
      <c r="I55" s="144"/>
      <c r="J55" s="144"/>
      <c r="K55" s="144"/>
      <c r="M55" s="144"/>
      <c r="N55" s="144"/>
      <c r="O55" s="144"/>
      <c r="P55" s="144"/>
      <c r="Q55" s="144"/>
      <c r="R55" s="144"/>
      <c r="S55" s="144"/>
      <c r="T55" s="144"/>
      <c r="U55" s="144"/>
      <c r="V55" s="144"/>
      <c r="W55" s="144"/>
      <c r="Y55" s="144"/>
      <c r="Z55" s="144"/>
      <c r="AA55" s="144"/>
      <c r="AB55" s="144"/>
      <c r="AC55" s="144"/>
    </row>
    <row r="56" spans="1:29" x14ac:dyDescent="0.2">
      <c r="A56" s="144"/>
      <c r="B56" s="145"/>
      <c r="C56" s="144"/>
      <c r="D56" s="144"/>
      <c r="E56" s="144"/>
      <c r="F56" s="144"/>
      <c r="G56" s="144"/>
      <c r="H56" s="144"/>
      <c r="I56" s="144"/>
      <c r="J56" s="144"/>
      <c r="K56" s="144"/>
      <c r="M56" s="144"/>
      <c r="N56" s="144"/>
      <c r="O56" s="144"/>
      <c r="P56" s="144"/>
      <c r="Q56" s="144"/>
      <c r="R56" s="144"/>
      <c r="S56" s="144"/>
      <c r="T56" s="144"/>
      <c r="U56" s="144"/>
      <c r="V56" s="144"/>
      <c r="W56" s="144"/>
      <c r="Y56" s="144"/>
      <c r="Z56" s="144"/>
      <c r="AA56" s="144"/>
      <c r="AB56" s="144"/>
      <c r="AC56" s="144"/>
    </row>
    <row r="57" spans="1:29" x14ac:dyDescent="0.2">
      <c r="A57" s="144"/>
      <c r="B57" s="145"/>
      <c r="C57" s="144"/>
      <c r="D57" s="144"/>
      <c r="E57" s="144"/>
      <c r="F57" s="144"/>
      <c r="G57" s="144"/>
      <c r="H57" s="144"/>
      <c r="I57" s="144"/>
      <c r="J57" s="144"/>
      <c r="K57" s="144"/>
      <c r="M57" s="144"/>
      <c r="N57" s="144"/>
      <c r="O57" s="144"/>
      <c r="P57" s="144"/>
      <c r="Q57" s="144"/>
      <c r="R57" s="144"/>
      <c r="S57" s="144"/>
      <c r="T57" s="144"/>
      <c r="U57" s="144"/>
      <c r="V57" s="144"/>
      <c r="W57" s="144"/>
      <c r="Y57" s="144"/>
      <c r="Z57" s="144"/>
      <c r="AA57" s="144"/>
      <c r="AB57" s="144"/>
      <c r="AC57" s="144"/>
    </row>
    <row r="58" spans="1:29" x14ac:dyDescent="0.2">
      <c r="A58" s="144"/>
      <c r="B58" s="145"/>
      <c r="C58" s="144"/>
      <c r="D58" s="144"/>
      <c r="E58" s="144"/>
      <c r="F58" s="144"/>
      <c r="G58" s="144"/>
      <c r="H58" s="144"/>
      <c r="I58" s="144"/>
      <c r="J58" s="144"/>
      <c r="K58" s="144"/>
      <c r="M58" s="144"/>
      <c r="N58" s="144"/>
      <c r="O58" s="144"/>
      <c r="P58" s="144"/>
      <c r="Q58" s="144"/>
      <c r="R58" s="144"/>
      <c r="S58" s="144"/>
      <c r="T58" s="144"/>
      <c r="U58" s="144"/>
      <c r="V58" s="144"/>
      <c r="W58" s="144"/>
      <c r="Y58" s="144"/>
      <c r="Z58" s="144"/>
      <c r="AA58" s="144"/>
      <c r="AB58" s="144"/>
      <c r="AC58" s="144"/>
    </row>
    <row r="59" spans="1:29" x14ac:dyDescent="0.2">
      <c r="A59" s="144"/>
      <c r="B59" s="145"/>
      <c r="C59" s="144"/>
      <c r="D59" s="144"/>
      <c r="E59" s="144"/>
      <c r="F59" s="144"/>
      <c r="G59" s="144"/>
      <c r="H59" s="144"/>
      <c r="I59" s="144"/>
      <c r="J59" s="144"/>
      <c r="K59" s="144"/>
      <c r="M59" s="144"/>
      <c r="N59" s="144"/>
      <c r="O59" s="144"/>
      <c r="P59" s="144"/>
      <c r="Q59" s="144"/>
      <c r="R59" s="144"/>
      <c r="S59" s="144"/>
      <c r="T59" s="144"/>
      <c r="U59" s="144"/>
      <c r="V59" s="144"/>
      <c r="W59" s="144"/>
      <c r="Y59" s="144"/>
      <c r="Z59" s="144"/>
      <c r="AA59" s="144"/>
      <c r="AB59" s="144"/>
      <c r="AC59" s="144"/>
    </row>
    <row r="60" spans="1:29" x14ac:dyDescent="0.2">
      <c r="A60" s="144"/>
      <c r="B60" s="145"/>
      <c r="C60" s="144"/>
      <c r="D60" s="144"/>
      <c r="E60" s="144"/>
      <c r="F60" s="144"/>
      <c r="G60" s="144"/>
      <c r="H60" s="144"/>
      <c r="I60" s="144"/>
      <c r="J60" s="144"/>
      <c r="K60" s="144"/>
      <c r="M60" s="144"/>
      <c r="N60" s="144"/>
      <c r="O60" s="144"/>
      <c r="P60" s="144"/>
      <c r="Q60" s="144"/>
      <c r="R60" s="144"/>
      <c r="S60" s="144"/>
      <c r="T60" s="144"/>
      <c r="U60" s="144"/>
      <c r="V60" s="144"/>
      <c r="W60" s="144"/>
      <c r="Y60" s="144"/>
      <c r="Z60" s="144"/>
      <c r="AA60" s="144"/>
      <c r="AB60" s="144"/>
      <c r="AC60" s="144"/>
    </row>
    <row r="61" spans="1:29" x14ac:dyDescent="0.2">
      <c r="A61" s="144"/>
      <c r="B61" s="145"/>
      <c r="C61" s="144"/>
      <c r="D61" s="144"/>
      <c r="E61" s="144"/>
      <c r="F61" s="144"/>
      <c r="G61" s="144"/>
      <c r="H61" s="144"/>
      <c r="I61" s="144"/>
      <c r="J61" s="144"/>
      <c r="K61" s="144"/>
      <c r="M61" s="144"/>
      <c r="N61" s="144"/>
      <c r="O61" s="144"/>
      <c r="P61" s="144"/>
      <c r="Q61" s="144"/>
      <c r="R61" s="144"/>
      <c r="S61" s="144"/>
      <c r="T61" s="144"/>
      <c r="U61" s="144"/>
      <c r="V61" s="144"/>
      <c r="W61" s="144"/>
      <c r="Y61" s="144"/>
      <c r="Z61" s="144"/>
      <c r="AA61" s="144"/>
      <c r="AB61" s="144"/>
      <c r="AC61" s="144"/>
    </row>
    <row r="62" spans="1:29" x14ac:dyDescent="0.2">
      <c r="A62" s="144"/>
      <c r="B62" s="145"/>
      <c r="C62" s="144"/>
      <c r="D62" s="144"/>
      <c r="E62" s="144"/>
      <c r="F62" s="144"/>
      <c r="G62" s="144"/>
      <c r="H62" s="144"/>
      <c r="I62" s="144"/>
      <c r="J62" s="144"/>
      <c r="K62" s="144"/>
      <c r="M62" s="144"/>
      <c r="N62" s="144"/>
      <c r="O62" s="144"/>
      <c r="P62" s="144"/>
      <c r="Q62" s="144"/>
      <c r="R62" s="144"/>
      <c r="S62" s="144"/>
      <c r="T62" s="144"/>
      <c r="U62" s="144"/>
      <c r="V62" s="144"/>
      <c r="W62" s="144"/>
      <c r="Y62" s="144"/>
      <c r="Z62" s="144"/>
      <c r="AA62" s="144"/>
      <c r="AB62" s="144"/>
      <c r="AC62" s="144"/>
    </row>
    <row r="63" spans="1:29" x14ac:dyDescent="0.2">
      <c r="A63" s="144"/>
      <c r="B63" s="145"/>
      <c r="C63" s="144"/>
      <c r="D63" s="144"/>
      <c r="E63" s="144"/>
      <c r="F63" s="144"/>
      <c r="G63" s="144"/>
      <c r="H63" s="144"/>
      <c r="I63" s="144"/>
      <c r="J63" s="144"/>
      <c r="K63" s="144"/>
      <c r="M63" s="144"/>
      <c r="N63" s="144"/>
      <c r="O63" s="144"/>
      <c r="P63" s="144"/>
      <c r="Q63" s="144"/>
      <c r="R63" s="144"/>
      <c r="S63" s="144"/>
      <c r="T63" s="144"/>
      <c r="U63" s="144"/>
      <c r="V63" s="144"/>
      <c r="W63" s="144"/>
      <c r="Y63" s="144"/>
      <c r="Z63" s="144"/>
      <c r="AA63" s="144"/>
      <c r="AB63" s="144"/>
      <c r="AC63" s="144"/>
    </row>
    <row r="64" spans="1:29" x14ac:dyDescent="0.2">
      <c r="A64" s="144"/>
      <c r="B64" s="145"/>
      <c r="C64" s="144"/>
      <c r="D64" s="144"/>
      <c r="E64" s="144"/>
      <c r="F64" s="144"/>
      <c r="G64" s="144"/>
      <c r="H64" s="144"/>
      <c r="I64" s="144"/>
      <c r="J64" s="144"/>
      <c r="K64" s="144"/>
      <c r="M64" s="144"/>
      <c r="N64" s="144"/>
      <c r="O64" s="144"/>
      <c r="P64" s="144"/>
      <c r="Q64" s="144"/>
      <c r="R64" s="144"/>
      <c r="S64" s="144"/>
      <c r="T64" s="144"/>
      <c r="U64" s="144"/>
      <c r="V64" s="144"/>
      <c r="W64" s="144"/>
      <c r="Y64" s="144"/>
      <c r="Z64" s="144"/>
      <c r="AA64" s="144"/>
      <c r="AB64" s="144"/>
      <c r="AC64" s="144"/>
    </row>
    <row r="65" spans="1:29" x14ac:dyDescent="0.2">
      <c r="A65" s="144"/>
      <c r="B65" s="145"/>
      <c r="C65" s="144"/>
      <c r="D65" s="144"/>
      <c r="E65" s="144"/>
      <c r="F65" s="144"/>
      <c r="G65" s="144"/>
      <c r="H65" s="144"/>
      <c r="I65" s="144"/>
      <c r="J65" s="144"/>
      <c r="K65" s="144"/>
      <c r="M65" s="144"/>
      <c r="N65" s="144"/>
      <c r="O65" s="144"/>
      <c r="P65" s="144"/>
      <c r="Q65" s="144"/>
      <c r="R65" s="144"/>
      <c r="S65" s="144"/>
      <c r="T65" s="144"/>
      <c r="U65" s="144"/>
      <c r="V65" s="144"/>
      <c r="W65" s="144"/>
      <c r="Y65" s="144"/>
      <c r="Z65" s="144"/>
      <c r="AA65" s="144"/>
      <c r="AB65" s="144"/>
      <c r="AC65" s="144"/>
    </row>
    <row r="66" spans="1:29" x14ac:dyDescent="0.2">
      <c r="A66" s="144"/>
      <c r="B66" s="145"/>
      <c r="C66" s="144"/>
      <c r="D66" s="144"/>
      <c r="E66" s="144"/>
      <c r="F66" s="144"/>
      <c r="G66" s="144"/>
      <c r="H66" s="144"/>
      <c r="I66" s="144"/>
      <c r="J66" s="144"/>
      <c r="K66" s="144"/>
      <c r="M66" s="144"/>
      <c r="N66" s="144"/>
      <c r="O66" s="144"/>
      <c r="P66" s="144"/>
      <c r="Q66" s="144"/>
      <c r="R66" s="144"/>
      <c r="S66" s="144"/>
      <c r="T66" s="144"/>
      <c r="U66" s="144"/>
      <c r="V66" s="144"/>
      <c r="W66" s="144"/>
      <c r="Y66" s="144"/>
      <c r="Z66" s="144"/>
      <c r="AA66" s="144"/>
      <c r="AB66" s="144"/>
      <c r="AC66" s="144"/>
    </row>
    <row r="67" spans="1:29" x14ac:dyDescent="0.2">
      <c r="A67" s="144"/>
      <c r="B67" s="145"/>
      <c r="C67" s="144"/>
      <c r="D67" s="144"/>
      <c r="E67" s="144"/>
      <c r="F67" s="144"/>
      <c r="G67" s="144"/>
      <c r="H67" s="144"/>
      <c r="I67" s="144"/>
      <c r="J67" s="144"/>
      <c r="K67" s="144"/>
      <c r="M67" s="144"/>
      <c r="N67" s="144"/>
      <c r="O67" s="144"/>
      <c r="P67" s="144"/>
      <c r="Q67" s="144"/>
      <c r="R67" s="144"/>
      <c r="S67" s="144"/>
      <c r="T67" s="144"/>
      <c r="U67" s="144"/>
      <c r="V67" s="144"/>
      <c r="W67" s="144"/>
      <c r="Y67" s="144"/>
      <c r="Z67" s="144"/>
      <c r="AA67" s="144"/>
      <c r="AB67" s="144"/>
      <c r="AC67" s="144"/>
    </row>
    <row r="68" spans="1:29" x14ac:dyDescent="0.2">
      <c r="A68" s="144"/>
      <c r="B68" s="145"/>
      <c r="C68" s="144"/>
      <c r="D68" s="144"/>
      <c r="E68" s="144"/>
      <c r="F68" s="144"/>
      <c r="G68" s="144"/>
      <c r="H68" s="144"/>
      <c r="I68" s="144"/>
      <c r="J68" s="144"/>
      <c r="K68" s="144"/>
      <c r="M68" s="144"/>
      <c r="N68" s="144"/>
      <c r="O68" s="144"/>
      <c r="P68" s="144"/>
      <c r="Q68" s="144"/>
      <c r="R68" s="144"/>
      <c r="S68" s="144"/>
      <c r="T68" s="144"/>
      <c r="U68" s="144"/>
      <c r="V68" s="144"/>
      <c r="W68" s="144"/>
      <c r="Y68" s="144"/>
      <c r="Z68" s="144"/>
      <c r="AA68" s="144"/>
      <c r="AB68" s="144"/>
      <c r="AC68" s="144"/>
    </row>
    <row r="69" spans="1:29" x14ac:dyDescent="0.2">
      <c r="A69" s="144"/>
      <c r="B69" s="145"/>
      <c r="C69" s="144"/>
      <c r="D69" s="144"/>
      <c r="E69" s="144"/>
      <c r="F69" s="144"/>
      <c r="G69" s="144"/>
      <c r="H69" s="144"/>
      <c r="I69" s="144"/>
      <c r="J69" s="144"/>
      <c r="K69" s="144"/>
      <c r="M69" s="144"/>
      <c r="N69" s="144"/>
      <c r="O69" s="144"/>
      <c r="P69" s="144"/>
      <c r="Q69" s="144"/>
      <c r="R69" s="144"/>
      <c r="S69" s="144"/>
      <c r="T69" s="144"/>
      <c r="U69" s="144"/>
      <c r="V69" s="144"/>
      <c r="W69" s="144"/>
      <c r="Y69" s="144"/>
      <c r="Z69" s="144"/>
      <c r="AA69" s="144"/>
      <c r="AB69" s="144"/>
      <c r="AC69" s="144"/>
    </row>
    <row r="70" spans="1:29" x14ac:dyDescent="0.2">
      <c r="A70" s="144"/>
      <c r="B70" s="145"/>
      <c r="C70" s="144"/>
      <c r="D70" s="144"/>
      <c r="E70" s="144"/>
      <c r="F70" s="144"/>
      <c r="G70" s="144"/>
      <c r="H70" s="144"/>
      <c r="I70" s="144"/>
      <c r="J70" s="144"/>
      <c r="K70" s="144"/>
      <c r="M70" s="144"/>
      <c r="N70" s="144"/>
      <c r="O70" s="144"/>
      <c r="P70" s="144"/>
      <c r="Q70" s="144"/>
      <c r="R70" s="144"/>
      <c r="S70" s="144"/>
      <c r="T70" s="144"/>
      <c r="U70" s="144"/>
      <c r="V70" s="144"/>
      <c r="W70" s="144"/>
      <c r="Y70" s="144"/>
      <c r="Z70" s="144"/>
      <c r="AA70" s="144"/>
      <c r="AB70" s="144"/>
      <c r="AC70" s="144"/>
    </row>
    <row r="71" spans="1:29" x14ac:dyDescent="0.2">
      <c r="A71" s="144"/>
      <c r="B71" s="145"/>
      <c r="C71" s="144"/>
      <c r="D71" s="144"/>
      <c r="E71" s="144"/>
      <c r="F71" s="144"/>
      <c r="G71" s="144"/>
      <c r="H71" s="144"/>
      <c r="I71" s="144"/>
      <c r="J71" s="144"/>
      <c r="K71" s="144"/>
      <c r="M71" s="144"/>
      <c r="N71" s="144"/>
      <c r="O71" s="144"/>
      <c r="P71" s="144"/>
      <c r="Q71" s="144"/>
      <c r="R71" s="144"/>
      <c r="S71" s="144"/>
      <c r="T71" s="144"/>
      <c r="U71" s="144"/>
      <c r="V71" s="144"/>
      <c r="W71" s="144"/>
      <c r="Y71" s="144"/>
      <c r="Z71" s="144"/>
      <c r="AA71" s="144"/>
      <c r="AB71" s="144"/>
      <c r="AC71" s="144"/>
    </row>
    <row r="72" spans="1:29" x14ac:dyDescent="0.2">
      <c r="A72" s="144"/>
      <c r="B72" s="145"/>
      <c r="C72" s="144"/>
      <c r="D72" s="144"/>
      <c r="E72" s="144"/>
      <c r="F72" s="144"/>
      <c r="G72" s="144"/>
      <c r="H72" s="144"/>
      <c r="I72" s="144"/>
      <c r="J72" s="144"/>
      <c r="K72" s="144"/>
      <c r="M72" s="144"/>
      <c r="N72" s="144"/>
      <c r="O72" s="144"/>
      <c r="P72" s="144"/>
      <c r="Q72" s="144"/>
      <c r="R72" s="144"/>
      <c r="S72" s="144"/>
      <c r="T72" s="144"/>
      <c r="U72" s="144"/>
      <c r="V72" s="144"/>
      <c r="W72" s="144"/>
      <c r="Y72" s="144"/>
      <c r="Z72" s="144"/>
      <c r="AA72" s="144"/>
      <c r="AB72" s="144"/>
      <c r="AC72" s="144"/>
    </row>
    <row r="73" spans="1:29" x14ac:dyDescent="0.2">
      <c r="A73" s="144"/>
      <c r="B73" s="145"/>
      <c r="C73" s="144"/>
      <c r="D73" s="144"/>
      <c r="E73" s="144"/>
      <c r="F73" s="144"/>
      <c r="G73" s="144"/>
      <c r="H73" s="144"/>
      <c r="I73" s="144"/>
      <c r="J73" s="144"/>
      <c r="K73" s="144"/>
      <c r="M73" s="144"/>
      <c r="N73" s="144"/>
      <c r="O73" s="144"/>
      <c r="P73" s="144"/>
      <c r="Q73" s="144"/>
      <c r="R73" s="144"/>
      <c r="S73" s="144"/>
      <c r="T73" s="144"/>
      <c r="U73" s="144"/>
      <c r="V73" s="144"/>
      <c r="W73" s="144"/>
      <c r="Y73" s="144"/>
      <c r="Z73" s="144"/>
      <c r="AA73" s="144"/>
      <c r="AB73" s="144"/>
      <c r="AC73" s="144"/>
    </row>
    <row r="74" spans="1:29" x14ac:dyDescent="0.2">
      <c r="A74" s="144"/>
      <c r="B74" s="145"/>
      <c r="C74" s="144"/>
      <c r="D74" s="144"/>
      <c r="E74" s="144"/>
      <c r="F74" s="144"/>
      <c r="G74" s="144"/>
      <c r="H74" s="144"/>
      <c r="I74" s="144"/>
      <c r="J74" s="144"/>
      <c r="K74" s="144"/>
      <c r="M74" s="144"/>
      <c r="N74" s="144"/>
      <c r="O74" s="144"/>
      <c r="P74" s="144"/>
      <c r="Q74" s="144"/>
      <c r="R74" s="144"/>
      <c r="S74" s="144"/>
      <c r="T74" s="144"/>
      <c r="U74" s="144"/>
      <c r="V74" s="144"/>
      <c r="W74" s="144"/>
      <c r="Y74" s="144"/>
      <c r="Z74" s="144"/>
      <c r="AA74" s="144"/>
      <c r="AB74" s="144"/>
      <c r="AC74" s="144"/>
    </row>
    <row r="75" spans="1:29" x14ac:dyDescent="0.2">
      <c r="A75" s="144"/>
      <c r="B75" s="145"/>
      <c r="C75" s="144"/>
      <c r="D75" s="144"/>
      <c r="E75" s="144"/>
      <c r="F75" s="144"/>
      <c r="G75" s="144"/>
      <c r="H75" s="144"/>
      <c r="I75" s="144"/>
      <c r="J75" s="144"/>
      <c r="K75" s="144"/>
      <c r="M75" s="144"/>
      <c r="N75" s="144"/>
      <c r="O75" s="144"/>
      <c r="P75" s="144"/>
      <c r="Q75" s="144"/>
      <c r="R75" s="144"/>
      <c r="S75" s="144"/>
      <c r="T75" s="144"/>
      <c r="U75" s="144"/>
      <c r="V75" s="144"/>
      <c r="W75" s="144"/>
      <c r="Y75" s="144"/>
      <c r="Z75" s="144"/>
      <c r="AA75" s="144"/>
      <c r="AB75" s="144"/>
      <c r="AC75" s="144"/>
    </row>
    <row r="76" spans="1:29" x14ac:dyDescent="0.2">
      <c r="A76" s="144"/>
      <c r="B76" s="145"/>
      <c r="C76" s="144"/>
      <c r="D76" s="144"/>
      <c r="E76" s="144"/>
      <c r="F76" s="144"/>
      <c r="G76" s="144"/>
      <c r="H76" s="144"/>
      <c r="I76" s="144"/>
      <c r="J76" s="144"/>
      <c r="K76" s="144"/>
      <c r="M76" s="144"/>
      <c r="N76" s="144"/>
      <c r="O76" s="144"/>
      <c r="P76" s="144"/>
      <c r="Q76" s="144"/>
      <c r="R76" s="144"/>
      <c r="S76" s="144"/>
      <c r="T76" s="144"/>
      <c r="U76" s="144"/>
      <c r="V76" s="144"/>
      <c r="W76" s="144"/>
      <c r="Y76" s="144"/>
      <c r="Z76" s="144"/>
      <c r="AA76" s="144"/>
      <c r="AB76" s="144"/>
      <c r="AC76" s="144"/>
    </row>
    <row r="77" spans="1:29" x14ac:dyDescent="0.2">
      <c r="A77" s="144"/>
      <c r="B77" s="145"/>
      <c r="C77" s="144"/>
      <c r="D77" s="144"/>
      <c r="E77" s="144"/>
      <c r="F77" s="144"/>
      <c r="G77" s="144"/>
      <c r="H77" s="144"/>
      <c r="I77" s="144"/>
      <c r="J77" s="144"/>
      <c r="K77" s="144"/>
      <c r="M77" s="144"/>
      <c r="N77" s="144"/>
      <c r="O77" s="144"/>
      <c r="P77" s="144"/>
      <c r="Q77" s="144"/>
      <c r="R77" s="144"/>
      <c r="S77" s="144"/>
      <c r="T77" s="144"/>
      <c r="U77" s="144"/>
      <c r="V77" s="144"/>
      <c r="W77" s="144"/>
      <c r="Y77" s="144"/>
      <c r="Z77" s="144"/>
      <c r="AA77" s="144"/>
      <c r="AB77" s="144"/>
      <c r="AC77" s="144"/>
    </row>
    <row r="78" spans="1:29" x14ac:dyDescent="0.2">
      <c r="A78" s="144"/>
      <c r="B78" s="145"/>
      <c r="C78" s="144"/>
      <c r="D78" s="144"/>
      <c r="E78" s="144"/>
      <c r="F78" s="144"/>
      <c r="G78" s="144"/>
      <c r="H78" s="144"/>
      <c r="I78" s="144"/>
      <c r="J78" s="144"/>
      <c r="K78" s="144"/>
      <c r="M78" s="144"/>
      <c r="N78" s="144"/>
      <c r="O78" s="144"/>
      <c r="P78" s="144"/>
      <c r="Q78" s="144"/>
      <c r="R78" s="144"/>
      <c r="S78" s="144"/>
      <c r="T78" s="144"/>
      <c r="U78" s="144"/>
      <c r="V78" s="144"/>
      <c r="W78" s="144"/>
      <c r="Y78" s="144"/>
      <c r="Z78" s="144"/>
      <c r="AA78" s="144"/>
      <c r="AB78" s="144"/>
      <c r="AC78" s="144"/>
    </row>
    <row r="79" spans="1:29" x14ac:dyDescent="0.2">
      <c r="A79" s="144"/>
      <c r="B79" s="145"/>
      <c r="C79" s="144"/>
      <c r="D79" s="144"/>
      <c r="E79" s="144"/>
      <c r="F79" s="144"/>
      <c r="G79" s="144"/>
      <c r="H79" s="144"/>
      <c r="I79" s="144"/>
      <c r="J79" s="144"/>
      <c r="K79" s="144"/>
      <c r="M79" s="144"/>
      <c r="N79" s="144"/>
      <c r="O79" s="144"/>
      <c r="P79" s="144"/>
      <c r="Q79" s="144"/>
      <c r="R79" s="144"/>
      <c r="S79" s="144"/>
      <c r="T79" s="144"/>
      <c r="U79" s="144"/>
      <c r="V79" s="144"/>
      <c r="W79" s="144"/>
      <c r="Y79" s="144"/>
      <c r="Z79" s="144"/>
      <c r="AA79" s="144"/>
      <c r="AB79" s="144"/>
      <c r="AC79" s="144"/>
    </row>
    <row r="80" spans="1:29" x14ac:dyDescent="0.2">
      <c r="A80" s="144"/>
      <c r="B80" s="145"/>
      <c r="C80" s="144"/>
      <c r="D80" s="144"/>
      <c r="E80" s="144"/>
      <c r="F80" s="144"/>
      <c r="G80" s="144"/>
      <c r="H80" s="144"/>
      <c r="I80" s="144"/>
      <c r="J80" s="144"/>
      <c r="K80" s="144"/>
      <c r="M80" s="144"/>
      <c r="N80" s="144"/>
      <c r="O80" s="144"/>
      <c r="P80" s="144"/>
      <c r="Q80" s="144"/>
      <c r="R80" s="144"/>
      <c r="S80" s="144"/>
      <c r="T80" s="144"/>
      <c r="U80" s="144"/>
      <c r="V80" s="144"/>
      <c r="W80" s="144"/>
      <c r="Y80" s="144"/>
      <c r="Z80" s="144"/>
      <c r="AA80" s="144"/>
      <c r="AB80" s="144"/>
      <c r="AC80" s="144"/>
    </row>
    <row r="81" spans="1:29" x14ac:dyDescent="0.2">
      <c r="A81" s="144"/>
      <c r="B81" s="145"/>
      <c r="C81" s="144"/>
      <c r="D81" s="144"/>
      <c r="E81" s="144"/>
      <c r="F81" s="144"/>
      <c r="G81" s="144"/>
      <c r="H81" s="144"/>
      <c r="I81" s="144"/>
      <c r="J81" s="144"/>
      <c r="K81" s="144"/>
      <c r="M81" s="144"/>
      <c r="N81" s="144"/>
      <c r="O81" s="144"/>
      <c r="P81" s="144"/>
      <c r="Q81" s="144"/>
      <c r="R81" s="144"/>
      <c r="S81" s="144"/>
      <c r="T81" s="144"/>
      <c r="U81" s="144"/>
      <c r="V81" s="144"/>
      <c r="W81" s="144"/>
      <c r="Y81" s="144"/>
      <c r="Z81" s="144"/>
      <c r="AA81" s="144"/>
      <c r="AB81" s="144"/>
      <c r="AC81" s="144"/>
    </row>
    <row r="82" spans="1:29" x14ac:dyDescent="0.2">
      <c r="A82" s="144"/>
      <c r="B82" s="145"/>
      <c r="C82" s="144"/>
      <c r="D82" s="144"/>
      <c r="E82" s="144"/>
      <c r="F82" s="144"/>
      <c r="G82" s="144"/>
      <c r="H82" s="144"/>
      <c r="I82" s="144"/>
      <c r="J82" s="144"/>
      <c r="K82" s="144"/>
      <c r="M82" s="144"/>
      <c r="N82" s="144"/>
      <c r="O82" s="144"/>
      <c r="P82" s="144"/>
      <c r="Q82" s="144"/>
      <c r="R82" s="144"/>
      <c r="S82" s="144"/>
      <c r="T82" s="144"/>
      <c r="U82" s="144"/>
      <c r="V82" s="144"/>
      <c r="W82" s="144"/>
      <c r="Y82" s="144"/>
      <c r="Z82" s="144"/>
      <c r="AA82" s="144"/>
      <c r="AB82" s="144"/>
      <c r="AC82" s="144"/>
    </row>
    <row r="83" spans="1:29" x14ac:dyDescent="0.2">
      <c r="A83" s="144"/>
      <c r="B83" s="145"/>
      <c r="C83" s="144"/>
      <c r="D83" s="144"/>
      <c r="E83" s="144"/>
      <c r="F83" s="144"/>
      <c r="G83" s="144"/>
      <c r="H83" s="144"/>
      <c r="I83" s="144"/>
      <c r="J83" s="144"/>
      <c r="K83" s="144"/>
      <c r="M83" s="144"/>
      <c r="N83" s="144"/>
      <c r="O83" s="144"/>
      <c r="P83" s="144"/>
      <c r="Q83" s="144"/>
      <c r="R83" s="144"/>
      <c r="S83" s="144"/>
      <c r="T83" s="144"/>
      <c r="U83" s="144"/>
      <c r="V83" s="144"/>
      <c r="W83" s="144"/>
      <c r="Y83" s="144"/>
      <c r="Z83" s="144"/>
      <c r="AA83" s="144"/>
      <c r="AB83" s="144"/>
      <c r="AC83" s="144"/>
    </row>
    <row r="84" spans="1:29" x14ac:dyDescent="0.2">
      <c r="A84" s="144"/>
      <c r="B84" s="145"/>
      <c r="C84" s="144"/>
      <c r="D84" s="144"/>
      <c r="E84" s="144"/>
      <c r="F84" s="144"/>
      <c r="G84" s="144"/>
      <c r="H84" s="144"/>
      <c r="I84" s="144"/>
      <c r="J84" s="144"/>
      <c r="K84" s="144"/>
      <c r="M84" s="144"/>
      <c r="N84" s="144"/>
      <c r="O84" s="144"/>
      <c r="P84" s="144"/>
      <c r="Q84" s="144"/>
      <c r="R84" s="144"/>
      <c r="S84" s="144"/>
      <c r="T84" s="144"/>
      <c r="U84" s="144"/>
      <c r="V84" s="144"/>
      <c r="W84" s="144"/>
      <c r="Y84" s="144"/>
      <c r="Z84" s="144"/>
      <c r="AA84" s="144"/>
      <c r="AB84" s="144"/>
      <c r="AC84" s="144"/>
    </row>
    <row r="85" spans="1:29" x14ac:dyDescent="0.2">
      <c r="A85" s="144"/>
      <c r="B85" s="145"/>
      <c r="C85" s="144"/>
      <c r="D85" s="144"/>
      <c r="E85" s="144"/>
      <c r="F85" s="144"/>
      <c r="G85" s="144"/>
      <c r="H85" s="144"/>
      <c r="I85" s="144"/>
      <c r="J85" s="144"/>
      <c r="K85" s="144"/>
      <c r="M85" s="144"/>
      <c r="N85" s="144"/>
      <c r="O85" s="144"/>
      <c r="P85" s="144"/>
      <c r="Q85" s="144"/>
      <c r="R85" s="144"/>
      <c r="S85" s="144"/>
      <c r="T85" s="144"/>
      <c r="U85" s="144"/>
      <c r="V85" s="144"/>
      <c r="W85" s="144"/>
      <c r="Y85" s="144"/>
      <c r="Z85" s="144"/>
      <c r="AA85" s="144"/>
      <c r="AB85" s="144"/>
      <c r="AC85" s="144"/>
    </row>
    <row r="86" spans="1:29" x14ac:dyDescent="0.2">
      <c r="A86" s="144"/>
      <c r="B86" s="145"/>
      <c r="C86" s="144"/>
      <c r="D86" s="144"/>
      <c r="E86" s="144"/>
      <c r="F86" s="144"/>
      <c r="G86" s="144"/>
      <c r="H86" s="144"/>
      <c r="I86" s="144"/>
      <c r="J86" s="144"/>
      <c r="K86" s="144"/>
      <c r="M86" s="144"/>
      <c r="N86" s="144"/>
      <c r="O86" s="144"/>
      <c r="P86" s="144"/>
      <c r="Q86" s="144"/>
      <c r="R86" s="144"/>
      <c r="S86" s="144"/>
      <c r="T86" s="144"/>
      <c r="U86" s="144"/>
      <c r="V86" s="144"/>
      <c r="W86" s="144"/>
      <c r="Y86" s="144"/>
      <c r="Z86" s="144"/>
      <c r="AA86" s="144"/>
      <c r="AB86" s="144"/>
      <c r="AC86" s="144"/>
    </row>
    <row r="87" spans="1:29" x14ac:dyDescent="0.2">
      <c r="A87" s="144"/>
      <c r="B87" s="145"/>
      <c r="C87" s="144"/>
      <c r="D87" s="144"/>
      <c r="E87" s="144"/>
      <c r="F87" s="144"/>
      <c r="G87" s="144"/>
      <c r="H87" s="144"/>
      <c r="I87" s="144"/>
      <c r="J87" s="144"/>
      <c r="K87" s="144"/>
      <c r="M87" s="144"/>
      <c r="N87" s="144"/>
      <c r="O87" s="144"/>
      <c r="P87" s="144"/>
      <c r="Q87" s="144"/>
      <c r="R87" s="144"/>
      <c r="S87" s="144"/>
      <c r="T87" s="144"/>
      <c r="U87" s="144"/>
      <c r="V87" s="144"/>
      <c r="W87" s="144"/>
      <c r="Y87" s="144"/>
      <c r="Z87" s="144"/>
      <c r="AA87" s="144"/>
      <c r="AB87" s="144"/>
      <c r="AC87" s="144"/>
    </row>
    <row r="88" spans="1:29" x14ac:dyDescent="0.2">
      <c r="A88" s="144"/>
      <c r="B88" s="145"/>
      <c r="C88" s="144"/>
      <c r="D88" s="144"/>
      <c r="E88" s="144"/>
      <c r="F88" s="144"/>
      <c r="G88" s="144"/>
      <c r="H88" s="144"/>
      <c r="I88" s="144"/>
      <c r="J88" s="144"/>
      <c r="K88" s="144"/>
      <c r="M88" s="144"/>
      <c r="N88" s="144"/>
      <c r="O88" s="144"/>
      <c r="P88" s="144"/>
      <c r="Q88" s="144"/>
      <c r="R88" s="144"/>
      <c r="S88" s="144"/>
      <c r="T88" s="144"/>
      <c r="U88" s="144"/>
      <c r="V88" s="144"/>
      <c r="W88" s="144"/>
      <c r="Y88" s="144"/>
      <c r="Z88" s="144"/>
      <c r="AA88" s="144"/>
      <c r="AB88" s="144"/>
      <c r="AC88" s="144"/>
    </row>
    <row r="89" spans="1:29" x14ac:dyDescent="0.2">
      <c r="A89" s="144"/>
      <c r="B89" s="145"/>
      <c r="C89" s="144"/>
      <c r="D89" s="144"/>
      <c r="E89" s="144"/>
      <c r="F89" s="144"/>
      <c r="G89" s="144"/>
      <c r="H89" s="144"/>
      <c r="I89" s="144"/>
      <c r="J89" s="144"/>
      <c r="K89" s="144"/>
      <c r="M89" s="144"/>
      <c r="N89" s="144"/>
      <c r="O89" s="144"/>
      <c r="P89" s="144"/>
      <c r="Q89" s="144"/>
      <c r="R89" s="144"/>
      <c r="S89" s="144"/>
      <c r="T89" s="144"/>
      <c r="U89" s="144"/>
      <c r="V89" s="144"/>
      <c r="W89" s="144"/>
      <c r="Y89" s="144"/>
      <c r="Z89" s="144"/>
      <c r="AA89" s="144"/>
      <c r="AB89" s="144"/>
      <c r="AC89" s="144"/>
    </row>
    <row r="90" spans="1:29" x14ac:dyDescent="0.2">
      <c r="A90" s="144"/>
      <c r="B90" s="145"/>
      <c r="C90" s="144"/>
      <c r="D90" s="144"/>
      <c r="E90" s="144"/>
      <c r="F90" s="144"/>
      <c r="G90" s="144"/>
      <c r="H90" s="144"/>
      <c r="I90" s="144"/>
      <c r="J90" s="144"/>
      <c r="K90" s="144"/>
      <c r="M90" s="144"/>
      <c r="N90" s="144"/>
      <c r="O90" s="144"/>
      <c r="P90" s="144"/>
      <c r="Q90" s="144"/>
      <c r="R90" s="144"/>
      <c r="S90" s="144"/>
      <c r="T90" s="144"/>
      <c r="U90" s="144"/>
      <c r="V90" s="144"/>
      <c r="W90" s="144"/>
      <c r="Y90" s="144"/>
      <c r="Z90" s="144"/>
      <c r="AA90" s="144"/>
      <c r="AB90" s="144"/>
      <c r="AC90" s="144"/>
    </row>
    <row r="91" spans="1:29" x14ac:dyDescent="0.2">
      <c r="A91" s="144"/>
      <c r="B91" s="145"/>
      <c r="C91" s="144"/>
      <c r="D91" s="144"/>
      <c r="E91" s="144"/>
      <c r="F91" s="144"/>
      <c r="G91" s="144"/>
      <c r="H91" s="144"/>
      <c r="I91" s="144"/>
      <c r="J91" s="144"/>
      <c r="K91" s="144"/>
      <c r="M91" s="144"/>
      <c r="N91" s="144"/>
      <c r="O91" s="144"/>
      <c r="P91" s="144"/>
      <c r="Q91" s="144"/>
      <c r="R91" s="144"/>
      <c r="S91" s="144"/>
      <c r="T91" s="144"/>
      <c r="U91" s="144"/>
      <c r="V91" s="144"/>
      <c r="W91" s="144"/>
      <c r="Y91" s="144"/>
      <c r="Z91" s="144"/>
      <c r="AA91" s="144"/>
      <c r="AB91" s="144"/>
      <c r="AC91" s="144"/>
    </row>
    <row r="92" spans="1:29" x14ac:dyDescent="0.2">
      <c r="A92" s="144"/>
      <c r="B92" s="145"/>
      <c r="C92" s="144"/>
      <c r="D92" s="144"/>
      <c r="E92" s="144"/>
      <c r="F92" s="144"/>
      <c r="G92" s="144"/>
      <c r="H92" s="144"/>
      <c r="I92" s="144"/>
      <c r="J92" s="144"/>
      <c r="K92" s="144"/>
      <c r="M92" s="144"/>
      <c r="N92" s="144"/>
      <c r="O92" s="144"/>
      <c r="P92" s="144"/>
      <c r="Q92" s="144"/>
      <c r="R92" s="144"/>
      <c r="S92" s="144"/>
      <c r="T92" s="144"/>
      <c r="U92" s="144"/>
      <c r="V92" s="144"/>
      <c r="W92" s="144"/>
      <c r="Y92" s="144"/>
      <c r="Z92" s="144"/>
      <c r="AA92" s="144"/>
      <c r="AB92" s="144"/>
      <c r="AC92" s="144"/>
    </row>
    <row r="93" spans="1:29" x14ac:dyDescent="0.2">
      <c r="A93" s="144"/>
      <c r="B93" s="145"/>
      <c r="C93" s="144"/>
      <c r="D93" s="144"/>
      <c r="E93" s="144"/>
      <c r="F93" s="144"/>
      <c r="G93" s="144"/>
      <c r="H93" s="144"/>
      <c r="I93" s="144"/>
      <c r="J93" s="144"/>
      <c r="K93" s="144"/>
      <c r="M93" s="144"/>
      <c r="N93" s="144"/>
      <c r="O93" s="144"/>
      <c r="P93" s="144"/>
      <c r="Q93" s="144"/>
      <c r="R93" s="144"/>
      <c r="S93" s="144"/>
      <c r="T93" s="144"/>
      <c r="U93" s="144"/>
      <c r="V93" s="144"/>
      <c r="W93" s="144"/>
      <c r="Y93" s="144"/>
      <c r="Z93" s="144"/>
      <c r="AA93" s="144"/>
      <c r="AB93" s="144"/>
      <c r="AC93" s="144"/>
    </row>
    <row r="94" spans="1:29" x14ac:dyDescent="0.2">
      <c r="A94" s="144"/>
      <c r="B94" s="145"/>
      <c r="C94" s="144"/>
      <c r="D94" s="144"/>
      <c r="E94" s="144"/>
      <c r="F94" s="144"/>
      <c r="G94" s="144"/>
      <c r="H94" s="144"/>
      <c r="I94" s="144"/>
      <c r="J94" s="144"/>
      <c r="K94" s="144"/>
      <c r="M94" s="144"/>
      <c r="N94" s="144"/>
      <c r="O94" s="144"/>
      <c r="P94" s="144"/>
      <c r="Q94" s="144"/>
      <c r="R94" s="144"/>
      <c r="S94" s="144"/>
      <c r="T94" s="144"/>
      <c r="U94" s="144"/>
      <c r="V94" s="144"/>
      <c r="W94" s="144"/>
      <c r="Y94" s="144"/>
      <c r="Z94" s="144"/>
      <c r="AA94" s="144"/>
      <c r="AB94" s="144"/>
      <c r="AC94" s="144"/>
    </row>
    <row r="95" spans="1:29" x14ac:dyDescent="0.2">
      <c r="A95" s="144"/>
      <c r="B95" s="145"/>
      <c r="C95" s="144"/>
      <c r="D95" s="144"/>
      <c r="E95" s="144"/>
      <c r="F95" s="144"/>
      <c r="G95" s="144"/>
      <c r="H95" s="144"/>
      <c r="I95" s="144"/>
      <c r="J95" s="144"/>
      <c r="K95" s="144"/>
      <c r="M95" s="144"/>
      <c r="N95" s="144"/>
      <c r="O95" s="144"/>
      <c r="P95" s="144"/>
      <c r="Q95" s="144"/>
      <c r="R95" s="144"/>
      <c r="S95" s="144"/>
      <c r="T95" s="144"/>
      <c r="U95" s="144"/>
      <c r="V95" s="144"/>
      <c r="W95" s="144"/>
      <c r="Y95" s="144"/>
      <c r="Z95" s="144"/>
      <c r="AA95" s="144"/>
      <c r="AB95" s="144"/>
      <c r="AC95" s="144"/>
    </row>
    <row r="96" spans="1:29" x14ac:dyDescent="0.2">
      <c r="A96" s="144"/>
      <c r="B96" s="145"/>
      <c r="C96" s="144"/>
      <c r="D96" s="144"/>
      <c r="E96" s="144"/>
      <c r="F96" s="144"/>
      <c r="G96" s="144"/>
      <c r="H96" s="144"/>
      <c r="I96" s="144"/>
      <c r="J96" s="144"/>
      <c r="K96" s="144"/>
      <c r="M96" s="144"/>
      <c r="N96" s="144"/>
      <c r="O96" s="144"/>
      <c r="P96" s="144"/>
      <c r="Q96" s="144"/>
      <c r="R96" s="144"/>
      <c r="S96" s="144"/>
      <c r="T96" s="144"/>
      <c r="U96" s="144"/>
      <c r="V96" s="144"/>
      <c r="W96" s="144"/>
      <c r="Y96" s="144"/>
      <c r="Z96" s="144"/>
      <c r="AA96" s="144"/>
      <c r="AB96" s="144"/>
      <c r="AC96" s="144"/>
    </row>
    <row r="97" spans="1:29" x14ac:dyDescent="0.2">
      <c r="A97" s="144"/>
      <c r="B97" s="145"/>
      <c r="C97" s="144"/>
      <c r="D97" s="144"/>
      <c r="E97" s="144"/>
      <c r="F97" s="144"/>
      <c r="G97" s="144"/>
      <c r="H97" s="144"/>
      <c r="I97" s="144"/>
      <c r="J97" s="144"/>
      <c r="K97" s="144"/>
      <c r="M97" s="144"/>
      <c r="N97" s="144"/>
      <c r="O97" s="144"/>
      <c r="P97" s="144"/>
      <c r="Q97" s="144"/>
      <c r="R97" s="144"/>
      <c r="S97" s="144"/>
      <c r="T97" s="144"/>
      <c r="U97" s="144"/>
      <c r="V97" s="144"/>
      <c r="W97" s="144"/>
      <c r="Y97" s="144"/>
      <c r="Z97" s="144"/>
      <c r="AA97" s="144"/>
      <c r="AB97" s="144"/>
      <c r="AC97" s="144"/>
    </row>
    <row r="98" spans="1:29" x14ac:dyDescent="0.2">
      <c r="A98" s="144"/>
      <c r="B98" s="145"/>
      <c r="C98" s="144"/>
      <c r="D98" s="144"/>
      <c r="E98" s="144"/>
      <c r="F98" s="144"/>
      <c r="G98" s="144"/>
      <c r="H98" s="144"/>
      <c r="I98" s="144"/>
      <c r="J98" s="144"/>
      <c r="K98" s="144"/>
      <c r="M98" s="144"/>
      <c r="N98" s="144"/>
      <c r="O98" s="144"/>
      <c r="P98" s="144"/>
      <c r="Q98" s="144"/>
      <c r="R98" s="144"/>
      <c r="S98" s="144"/>
      <c r="T98" s="144"/>
      <c r="U98" s="144"/>
      <c r="V98" s="144"/>
      <c r="W98" s="144"/>
      <c r="Y98" s="144"/>
      <c r="Z98" s="144"/>
      <c r="AA98" s="144"/>
      <c r="AB98" s="144"/>
      <c r="AC98" s="144"/>
    </row>
    <row r="99" spans="1:29" x14ac:dyDescent="0.2">
      <c r="A99" s="144"/>
      <c r="B99" s="145"/>
      <c r="C99" s="144"/>
      <c r="D99" s="144"/>
      <c r="E99" s="144"/>
      <c r="F99" s="144"/>
      <c r="G99" s="144"/>
      <c r="H99" s="144"/>
      <c r="I99" s="144"/>
      <c r="J99" s="144"/>
      <c r="K99" s="144"/>
      <c r="M99" s="144"/>
      <c r="N99" s="144"/>
      <c r="O99" s="144"/>
      <c r="P99" s="144"/>
      <c r="Q99" s="144"/>
      <c r="R99" s="144"/>
      <c r="S99" s="144"/>
      <c r="T99" s="144"/>
      <c r="U99" s="144"/>
      <c r="V99" s="144"/>
      <c r="W99" s="144"/>
      <c r="Y99" s="144"/>
      <c r="Z99" s="144"/>
      <c r="AA99" s="144"/>
      <c r="AB99" s="144"/>
      <c r="AC99" s="144"/>
    </row>
    <row r="100" spans="1:29" x14ac:dyDescent="0.2">
      <c r="A100" s="144"/>
      <c r="B100" s="145"/>
      <c r="C100" s="144"/>
      <c r="D100" s="144"/>
      <c r="E100" s="144"/>
      <c r="F100" s="144"/>
      <c r="G100" s="144"/>
      <c r="H100" s="144"/>
      <c r="I100" s="144"/>
      <c r="J100" s="144"/>
      <c r="K100" s="144"/>
      <c r="M100" s="144"/>
      <c r="N100" s="144"/>
      <c r="O100" s="144"/>
      <c r="P100" s="144"/>
      <c r="Q100" s="144"/>
      <c r="R100" s="144"/>
      <c r="S100" s="144"/>
      <c r="T100" s="144"/>
      <c r="U100" s="144"/>
      <c r="V100" s="144"/>
      <c r="W100" s="144"/>
      <c r="Y100" s="144"/>
      <c r="Z100" s="144"/>
      <c r="AA100" s="144"/>
      <c r="AB100" s="144"/>
      <c r="AC100" s="144"/>
    </row>
    <row r="101" spans="1:29" x14ac:dyDescent="0.2">
      <c r="A101" s="144"/>
      <c r="B101" s="145"/>
      <c r="C101" s="144"/>
      <c r="D101" s="144"/>
      <c r="E101" s="144"/>
      <c r="F101" s="144"/>
      <c r="G101" s="144"/>
      <c r="H101" s="144"/>
      <c r="I101" s="144"/>
      <c r="J101" s="144"/>
      <c r="K101" s="144"/>
      <c r="M101" s="144"/>
      <c r="N101" s="144"/>
      <c r="O101" s="144"/>
      <c r="P101" s="144"/>
      <c r="Q101" s="144"/>
      <c r="R101" s="144"/>
      <c r="S101" s="144"/>
      <c r="T101" s="144"/>
      <c r="U101" s="144"/>
      <c r="V101" s="144"/>
      <c r="W101" s="144"/>
      <c r="Y101" s="144"/>
      <c r="Z101" s="144"/>
      <c r="AA101" s="144"/>
      <c r="AB101" s="144"/>
      <c r="AC101" s="144"/>
    </row>
    <row r="102" spans="1:29" x14ac:dyDescent="0.2">
      <c r="A102" s="144"/>
      <c r="B102" s="145"/>
      <c r="C102" s="144"/>
      <c r="D102" s="144"/>
      <c r="E102" s="144"/>
      <c r="F102" s="144"/>
      <c r="G102" s="144"/>
      <c r="H102" s="144"/>
      <c r="I102" s="144"/>
      <c r="J102" s="144"/>
      <c r="K102" s="144"/>
      <c r="M102" s="144"/>
      <c r="N102" s="144"/>
      <c r="O102" s="144"/>
      <c r="P102" s="144"/>
      <c r="Q102" s="144"/>
      <c r="R102" s="144"/>
      <c r="S102" s="144"/>
      <c r="T102" s="144"/>
      <c r="U102" s="144"/>
      <c r="V102" s="144"/>
      <c r="W102" s="144"/>
      <c r="Y102" s="144"/>
      <c r="Z102" s="144"/>
      <c r="AA102" s="144"/>
      <c r="AB102" s="144"/>
      <c r="AC102" s="144"/>
    </row>
    <row r="103" spans="1:29" x14ac:dyDescent="0.2">
      <c r="A103" s="144"/>
      <c r="B103" s="145"/>
      <c r="C103" s="144"/>
      <c r="D103" s="144"/>
      <c r="E103" s="144"/>
      <c r="F103" s="144"/>
      <c r="G103" s="144"/>
      <c r="H103" s="144"/>
      <c r="I103" s="144"/>
      <c r="J103" s="144"/>
      <c r="K103" s="144"/>
      <c r="M103" s="144"/>
      <c r="N103" s="144"/>
      <c r="O103" s="144"/>
      <c r="P103" s="144"/>
      <c r="Q103" s="144"/>
      <c r="R103" s="144"/>
      <c r="S103" s="144"/>
      <c r="T103" s="144"/>
      <c r="U103" s="144"/>
      <c r="V103" s="144"/>
      <c r="W103" s="144"/>
      <c r="Y103" s="144"/>
      <c r="Z103" s="144"/>
      <c r="AA103" s="144"/>
      <c r="AB103" s="144"/>
      <c r="AC103" s="144"/>
    </row>
    <row r="104" spans="1:29" x14ac:dyDescent="0.2">
      <c r="A104" s="144"/>
      <c r="B104" s="145"/>
      <c r="C104" s="144"/>
      <c r="D104" s="144"/>
      <c r="E104" s="144"/>
      <c r="F104" s="144"/>
      <c r="G104" s="144"/>
      <c r="H104" s="144"/>
      <c r="I104" s="144"/>
      <c r="J104" s="144"/>
      <c r="K104" s="144"/>
      <c r="M104" s="144"/>
      <c r="N104" s="144"/>
      <c r="O104" s="144"/>
      <c r="P104" s="144"/>
      <c r="Q104" s="144"/>
      <c r="R104" s="144"/>
      <c r="S104" s="144"/>
      <c r="T104" s="144"/>
      <c r="U104" s="144"/>
      <c r="V104" s="144"/>
      <c r="W104" s="144"/>
      <c r="Y104" s="144"/>
      <c r="Z104" s="144"/>
      <c r="AA104" s="144"/>
      <c r="AB104" s="144"/>
      <c r="AC104" s="144"/>
    </row>
    <row r="105" spans="1:29" x14ac:dyDescent="0.2">
      <c r="A105" s="144"/>
      <c r="B105" s="145"/>
      <c r="C105" s="144"/>
      <c r="D105" s="144"/>
      <c r="E105" s="144"/>
      <c r="F105" s="144"/>
      <c r="G105" s="144"/>
      <c r="H105" s="144"/>
      <c r="I105" s="144"/>
      <c r="J105" s="144"/>
      <c r="K105" s="144"/>
      <c r="M105" s="144"/>
      <c r="N105" s="144"/>
      <c r="O105" s="144"/>
      <c r="P105" s="144"/>
      <c r="Q105" s="144"/>
      <c r="R105" s="144"/>
      <c r="S105" s="144"/>
      <c r="T105" s="144"/>
      <c r="U105" s="144"/>
      <c r="V105" s="144"/>
      <c r="W105" s="144"/>
      <c r="Y105" s="144"/>
      <c r="Z105" s="144"/>
      <c r="AA105" s="144"/>
      <c r="AB105" s="144"/>
      <c r="AC105" s="144"/>
    </row>
    <row r="106" spans="1:29" x14ac:dyDescent="0.2">
      <c r="A106" s="144"/>
      <c r="B106" s="145"/>
      <c r="C106" s="144"/>
      <c r="D106" s="144"/>
      <c r="E106" s="144"/>
      <c r="F106" s="144"/>
      <c r="G106" s="144"/>
      <c r="H106" s="144"/>
      <c r="I106" s="144"/>
      <c r="J106" s="144"/>
      <c r="K106" s="144"/>
      <c r="M106" s="144"/>
      <c r="N106" s="144"/>
      <c r="O106" s="144"/>
      <c r="P106" s="144"/>
      <c r="Q106" s="144"/>
      <c r="R106" s="144"/>
      <c r="S106" s="144"/>
      <c r="T106" s="144"/>
      <c r="U106" s="144"/>
      <c r="V106" s="144"/>
      <c r="W106" s="144"/>
      <c r="Y106" s="144"/>
      <c r="Z106" s="144"/>
      <c r="AA106" s="144"/>
      <c r="AB106" s="144"/>
      <c r="AC106" s="144"/>
    </row>
    <row r="107" spans="1:29" x14ac:dyDescent="0.2">
      <c r="A107" s="144"/>
      <c r="B107" s="145"/>
      <c r="C107" s="144"/>
      <c r="D107" s="144"/>
      <c r="E107" s="144"/>
      <c r="F107" s="144"/>
      <c r="G107" s="144"/>
      <c r="H107" s="144"/>
      <c r="I107" s="144"/>
      <c r="J107" s="144"/>
      <c r="K107" s="144"/>
      <c r="M107" s="144"/>
      <c r="N107" s="144"/>
      <c r="O107" s="144"/>
      <c r="P107" s="144"/>
      <c r="Q107" s="144"/>
      <c r="R107" s="144"/>
      <c r="S107" s="144"/>
      <c r="T107" s="144"/>
      <c r="U107" s="144"/>
      <c r="V107" s="144"/>
      <c r="W107" s="144"/>
      <c r="Y107" s="144"/>
      <c r="Z107" s="144"/>
      <c r="AA107" s="144"/>
      <c r="AB107" s="144"/>
      <c r="AC107" s="144"/>
    </row>
    <row r="108" spans="1:29" x14ac:dyDescent="0.2">
      <c r="A108" s="144"/>
      <c r="B108" s="145"/>
      <c r="C108" s="144"/>
      <c r="D108" s="144"/>
      <c r="E108" s="144"/>
      <c r="F108" s="144"/>
      <c r="G108" s="144"/>
      <c r="H108" s="144"/>
      <c r="I108" s="144"/>
      <c r="J108" s="144"/>
      <c r="K108" s="144"/>
      <c r="M108" s="144"/>
      <c r="N108" s="144"/>
      <c r="O108" s="144"/>
      <c r="P108" s="144"/>
      <c r="Q108" s="144"/>
      <c r="R108" s="144"/>
      <c r="S108" s="144"/>
      <c r="T108" s="144"/>
      <c r="U108" s="144"/>
      <c r="V108" s="144"/>
      <c r="W108" s="144"/>
      <c r="Y108" s="144"/>
      <c r="Z108" s="144"/>
      <c r="AA108" s="144"/>
      <c r="AB108" s="144"/>
      <c r="AC108" s="144"/>
    </row>
    <row r="109" spans="1:29" x14ac:dyDescent="0.2">
      <c r="A109" s="144"/>
      <c r="B109" s="145"/>
      <c r="C109" s="144"/>
      <c r="D109" s="144"/>
      <c r="E109" s="144"/>
      <c r="F109" s="144"/>
      <c r="G109" s="144"/>
      <c r="H109" s="144"/>
      <c r="I109" s="144"/>
      <c r="J109" s="144"/>
      <c r="K109" s="144"/>
      <c r="M109" s="144"/>
      <c r="N109" s="144"/>
      <c r="O109" s="144"/>
      <c r="P109" s="144"/>
      <c r="Q109" s="144"/>
      <c r="R109" s="144"/>
      <c r="S109" s="144"/>
      <c r="T109" s="144"/>
      <c r="U109" s="144"/>
      <c r="V109" s="144"/>
      <c r="W109" s="144"/>
      <c r="Y109" s="144"/>
      <c r="Z109" s="144"/>
      <c r="AA109" s="144"/>
      <c r="AB109" s="144"/>
      <c r="AC109" s="144"/>
    </row>
    <row r="110" spans="1:29" x14ac:dyDescent="0.2">
      <c r="A110" s="144"/>
      <c r="B110" s="145"/>
      <c r="C110" s="144"/>
      <c r="D110" s="144"/>
      <c r="E110" s="144"/>
      <c r="F110" s="144"/>
      <c r="G110" s="144"/>
      <c r="H110" s="144"/>
      <c r="I110" s="144"/>
      <c r="J110" s="144"/>
      <c r="K110" s="144"/>
      <c r="M110" s="144"/>
      <c r="N110" s="144"/>
      <c r="O110" s="144"/>
      <c r="P110" s="144"/>
      <c r="Q110" s="144"/>
      <c r="R110" s="144"/>
      <c r="S110" s="144"/>
      <c r="T110" s="144"/>
      <c r="U110" s="144"/>
      <c r="V110" s="144"/>
      <c r="W110" s="144"/>
      <c r="Y110" s="144"/>
      <c r="Z110" s="144"/>
      <c r="AA110" s="144"/>
      <c r="AB110" s="144"/>
      <c r="AC110" s="144"/>
    </row>
    <row r="111" spans="1:29" x14ac:dyDescent="0.2">
      <c r="A111" s="144"/>
      <c r="B111" s="145"/>
      <c r="C111" s="144"/>
      <c r="D111" s="144"/>
      <c r="E111" s="144"/>
      <c r="F111" s="144"/>
      <c r="G111" s="144"/>
      <c r="H111" s="144"/>
      <c r="I111" s="144"/>
      <c r="J111" s="144"/>
      <c r="K111" s="144"/>
      <c r="M111" s="144"/>
      <c r="N111" s="144"/>
      <c r="O111" s="144"/>
      <c r="P111" s="144"/>
      <c r="Q111" s="144"/>
      <c r="R111" s="144"/>
      <c r="S111" s="144"/>
      <c r="T111" s="144"/>
      <c r="U111" s="144"/>
      <c r="V111" s="144"/>
      <c r="W111" s="144"/>
      <c r="Y111" s="144"/>
      <c r="Z111" s="144"/>
      <c r="AA111" s="144"/>
      <c r="AB111" s="144"/>
      <c r="AC111" s="144"/>
    </row>
    <row r="112" spans="1:29" x14ac:dyDescent="0.2">
      <c r="A112" s="144"/>
      <c r="B112" s="145"/>
      <c r="C112" s="144"/>
      <c r="D112" s="144"/>
      <c r="E112" s="144"/>
      <c r="F112" s="144"/>
      <c r="G112" s="144"/>
      <c r="H112" s="144"/>
      <c r="I112" s="144"/>
      <c r="J112" s="144"/>
      <c r="K112" s="144"/>
      <c r="M112" s="144"/>
      <c r="N112" s="144"/>
      <c r="O112" s="144"/>
      <c r="P112" s="144"/>
      <c r="Q112" s="144"/>
      <c r="R112" s="144"/>
      <c r="S112" s="144"/>
      <c r="T112" s="144"/>
      <c r="U112" s="144"/>
      <c r="V112" s="144"/>
      <c r="W112" s="144"/>
      <c r="Y112" s="144"/>
      <c r="Z112" s="144"/>
      <c r="AA112" s="144"/>
      <c r="AB112" s="144"/>
      <c r="AC112" s="144"/>
    </row>
    <row r="113" spans="1:29" x14ac:dyDescent="0.2">
      <c r="A113" s="144"/>
      <c r="B113" s="145"/>
      <c r="C113" s="144"/>
      <c r="D113" s="144"/>
      <c r="E113" s="144"/>
      <c r="F113" s="144"/>
      <c r="G113" s="144"/>
      <c r="H113" s="144"/>
      <c r="I113" s="144"/>
      <c r="J113" s="144"/>
      <c r="K113" s="144"/>
      <c r="M113" s="144"/>
      <c r="N113" s="144"/>
      <c r="O113" s="144"/>
      <c r="P113" s="144"/>
      <c r="Q113" s="144"/>
      <c r="R113" s="144"/>
      <c r="S113" s="144"/>
      <c r="T113" s="144"/>
      <c r="U113" s="144"/>
      <c r="V113" s="144"/>
      <c r="W113" s="144"/>
      <c r="Y113" s="144"/>
      <c r="Z113" s="144"/>
      <c r="AA113" s="144"/>
      <c r="AB113" s="144"/>
      <c r="AC113" s="144"/>
    </row>
    <row r="114" spans="1:29" x14ac:dyDescent="0.2">
      <c r="A114" s="144"/>
      <c r="B114" s="145"/>
      <c r="C114" s="144"/>
      <c r="D114" s="144"/>
      <c r="E114" s="144"/>
      <c r="F114" s="144"/>
      <c r="G114" s="144"/>
      <c r="H114" s="144"/>
      <c r="I114" s="144"/>
      <c r="J114" s="144"/>
      <c r="K114" s="144"/>
      <c r="M114" s="144"/>
      <c r="N114" s="144"/>
      <c r="O114" s="144"/>
      <c r="P114" s="144"/>
      <c r="Q114" s="144"/>
      <c r="R114" s="144"/>
      <c r="S114" s="144"/>
      <c r="T114" s="144"/>
      <c r="U114" s="144"/>
      <c r="V114" s="144"/>
      <c r="W114" s="144"/>
      <c r="Y114" s="144"/>
      <c r="Z114" s="144"/>
      <c r="AA114" s="144"/>
      <c r="AB114" s="144"/>
      <c r="AC114" s="144"/>
    </row>
    <row r="115" spans="1:29" x14ac:dyDescent="0.2">
      <c r="A115" s="144"/>
      <c r="B115" s="145"/>
      <c r="C115" s="144"/>
      <c r="D115" s="144"/>
      <c r="E115" s="144"/>
      <c r="F115" s="144"/>
      <c r="G115" s="144"/>
      <c r="H115" s="144"/>
      <c r="I115" s="144"/>
      <c r="J115" s="144"/>
      <c r="K115" s="144"/>
      <c r="M115" s="144"/>
      <c r="N115" s="144"/>
      <c r="O115" s="144"/>
      <c r="P115" s="144"/>
      <c r="Q115" s="144"/>
      <c r="R115" s="144"/>
      <c r="S115" s="144"/>
      <c r="T115" s="144"/>
      <c r="U115" s="144"/>
      <c r="V115" s="144"/>
      <c r="W115" s="144"/>
      <c r="Y115" s="144"/>
      <c r="Z115" s="144"/>
      <c r="AA115" s="144"/>
      <c r="AB115" s="144"/>
      <c r="AC115" s="144"/>
    </row>
    <row r="116" spans="1:29" x14ac:dyDescent="0.2">
      <c r="A116" s="144"/>
      <c r="B116" s="145"/>
      <c r="C116" s="144"/>
      <c r="D116" s="144"/>
      <c r="E116" s="144"/>
      <c r="F116" s="144"/>
      <c r="G116" s="144"/>
      <c r="H116" s="144"/>
      <c r="I116" s="144"/>
      <c r="J116" s="144"/>
      <c r="K116" s="144"/>
      <c r="M116" s="144"/>
      <c r="N116" s="144"/>
      <c r="O116" s="144"/>
      <c r="P116" s="144"/>
      <c r="Q116" s="144"/>
      <c r="R116" s="144"/>
      <c r="S116" s="144"/>
      <c r="T116" s="144"/>
      <c r="U116" s="144"/>
      <c r="V116" s="144"/>
      <c r="W116" s="144"/>
      <c r="Y116" s="144"/>
      <c r="Z116" s="144"/>
      <c r="AA116" s="144"/>
      <c r="AB116" s="144"/>
      <c r="AC116" s="144"/>
    </row>
    <row r="117" spans="1:29" x14ac:dyDescent="0.2">
      <c r="A117" s="144"/>
      <c r="B117" s="145"/>
      <c r="C117" s="144"/>
      <c r="D117" s="144"/>
      <c r="E117" s="144"/>
      <c r="F117" s="144"/>
      <c r="G117" s="144"/>
      <c r="H117" s="144"/>
      <c r="I117" s="144"/>
      <c r="J117" s="144"/>
      <c r="K117" s="144"/>
      <c r="M117" s="144"/>
      <c r="N117" s="144"/>
      <c r="O117" s="144"/>
      <c r="P117" s="144"/>
      <c r="Q117" s="144"/>
      <c r="R117" s="144"/>
      <c r="S117" s="144"/>
      <c r="T117" s="144"/>
      <c r="U117" s="144"/>
      <c r="V117" s="144"/>
      <c r="W117" s="144"/>
      <c r="Y117" s="144"/>
      <c r="Z117" s="144"/>
      <c r="AA117" s="144"/>
      <c r="AB117" s="144"/>
      <c r="AC117" s="144"/>
    </row>
    <row r="118" spans="1:29" x14ac:dyDescent="0.2">
      <c r="A118" s="144"/>
      <c r="B118" s="145"/>
      <c r="C118" s="144"/>
      <c r="D118" s="144"/>
      <c r="E118" s="144"/>
      <c r="F118" s="144"/>
      <c r="G118" s="144"/>
      <c r="H118" s="144"/>
      <c r="I118" s="144"/>
      <c r="J118" s="144"/>
      <c r="K118" s="144"/>
      <c r="M118" s="144"/>
      <c r="N118" s="144"/>
      <c r="O118" s="144"/>
      <c r="P118" s="144"/>
      <c r="Q118" s="144"/>
      <c r="R118" s="144"/>
      <c r="S118" s="144"/>
      <c r="T118" s="144"/>
      <c r="U118" s="144"/>
      <c r="V118" s="144"/>
      <c r="W118" s="144"/>
      <c r="Y118" s="144"/>
      <c r="Z118" s="144"/>
      <c r="AA118" s="144"/>
      <c r="AB118" s="144"/>
      <c r="AC118" s="144"/>
    </row>
    <row r="119" spans="1:29" x14ac:dyDescent="0.2">
      <c r="A119" s="144"/>
      <c r="B119" s="145"/>
      <c r="C119" s="144"/>
      <c r="D119" s="144"/>
      <c r="E119" s="144"/>
      <c r="F119" s="144"/>
      <c r="G119" s="144"/>
      <c r="H119" s="144"/>
      <c r="I119" s="144"/>
      <c r="J119" s="144"/>
      <c r="K119" s="144"/>
      <c r="M119" s="144"/>
      <c r="N119" s="144"/>
      <c r="O119" s="144"/>
      <c r="P119" s="144"/>
      <c r="Q119" s="144"/>
      <c r="R119" s="144"/>
      <c r="S119" s="144"/>
      <c r="T119" s="144"/>
      <c r="U119" s="144"/>
      <c r="V119" s="144"/>
      <c r="W119" s="144"/>
      <c r="Y119" s="144"/>
      <c r="Z119" s="144"/>
      <c r="AA119" s="144"/>
      <c r="AB119" s="144"/>
      <c r="AC119" s="144"/>
    </row>
    <row r="120" spans="1:29" x14ac:dyDescent="0.2">
      <c r="A120" s="144"/>
      <c r="B120" s="145"/>
      <c r="C120" s="144"/>
      <c r="D120" s="144"/>
      <c r="E120" s="144"/>
      <c r="F120" s="144"/>
      <c r="G120" s="144"/>
      <c r="H120" s="144"/>
      <c r="I120" s="144"/>
      <c r="J120" s="144"/>
      <c r="K120" s="144"/>
      <c r="M120" s="144"/>
      <c r="N120" s="144"/>
      <c r="O120" s="144"/>
      <c r="P120" s="144"/>
      <c r="Q120" s="144"/>
      <c r="R120" s="144"/>
      <c r="S120" s="144"/>
      <c r="T120" s="144"/>
      <c r="U120" s="144"/>
      <c r="V120" s="144"/>
      <c r="W120" s="144"/>
      <c r="Y120" s="144"/>
      <c r="Z120" s="144"/>
      <c r="AA120" s="144"/>
      <c r="AB120" s="144"/>
      <c r="AC120" s="144"/>
    </row>
    <row r="121" spans="1:29" x14ac:dyDescent="0.2">
      <c r="A121" s="144"/>
      <c r="B121" s="145"/>
      <c r="C121" s="144"/>
      <c r="D121" s="144"/>
      <c r="E121" s="144"/>
      <c r="F121" s="144"/>
      <c r="G121" s="144"/>
      <c r="H121" s="144"/>
      <c r="I121" s="144"/>
      <c r="J121" s="144"/>
      <c r="K121" s="144"/>
      <c r="M121" s="144"/>
      <c r="N121" s="144"/>
      <c r="O121" s="144"/>
      <c r="P121" s="144"/>
      <c r="Q121" s="144"/>
      <c r="R121" s="144"/>
      <c r="S121" s="144"/>
      <c r="T121" s="144"/>
      <c r="U121" s="144"/>
      <c r="V121" s="144"/>
      <c r="W121" s="144"/>
      <c r="Y121" s="144"/>
      <c r="Z121" s="144"/>
      <c r="AA121" s="144"/>
      <c r="AB121" s="144"/>
      <c r="AC121" s="144"/>
    </row>
    <row r="122" spans="1:29" x14ac:dyDescent="0.2">
      <c r="A122" s="144"/>
      <c r="B122" s="145"/>
      <c r="C122" s="144"/>
      <c r="D122" s="144"/>
      <c r="E122" s="144"/>
      <c r="F122" s="144"/>
      <c r="G122" s="144"/>
      <c r="H122" s="144"/>
      <c r="I122" s="144"/>
      <c r="J122" s="144"/>
      <c r="K122" s="144"/>
      <c r="M122" s="144"/>
      <c r="N122" s="144"/>
      <c r="O122" s="144"/>
      <c r="P122" s="144"/>
      <c r="Q122" s="144"/>
      <c r="R122" s="144"/>
      <c r="S122" s="144"/>
      <c r="T122" s="144"/>
      <c r="U122" s="144"/>
      <c r="V122" s="144"/>
      <c r="W122" s="144"/>
      <c r="Y122" s="144"/>
      <c r="Z122" s="144"/>
      <c r="AA122" s="144"/>
      <c r="AB122" s="144"/>
      <c r="AC122" s="144"/>
    </row>
    <row r="123" spans="1:29" x14ac:dyDescent="0.2">
      <c r="A123" s="144"/>
      <c r="B123" s="145"/>
      <c r="C123" s="144"/>
      <c r="D123" s="144"/>
      <c r="E123" s="144"/>
      <c r="F123" s="144"/>
      <c r="G123" s="144"/>
      <c r="H123" s="144"/>
      <c r="I123" s="144"/>
      <c r="J123" s="144"/>
      <c r="K123" s="144"/>
      <c r="M123" s="144"/>
      <c r="N123" s="144"/>
      <c r="O123" s="144"/>
      <c r="P123" s="144"/>
      <c r="Q123" s="144"/>
      <c r="R123" s="144"/>
      <c r="S123" s="144"/>
      <c r="T123" s="144"/>
      <c r="U123" s="144"/>
      <c r="V123" s="144"/>
      <c r="W123" s="144"/>
      <c r="Y123" s="144"/>
      <c r="Z123" s="144"/>
      <c r="AA123" s="144"/>
      <c r="AB123" s="144"/>
      <c r="AC123" s="144"/>
    </row>
    <row r="124" spans="1:29" x14ac:dyDescent="0.2">
      <c r="A124" s="144"/>
      <c r="B124" s="145"/>
      <c r="C124" s="144"/>
      <c r="D124" s="144"/>
      <c r="E124" s="144"/>
      <c r="F124" s="144"/>
      <c r="G124" s="144"/>
      <c r="H124" s="144"/>
      <c r="I124" s="144"/>
      <c r="J124" s="144"/>
      <c r="K124" s="144"/>
      <c r="M124" s="144"/>
      <c r="N124" s="144"/>
      <c r="O124" s="144"/>
      <c r="P124" s="144"/>
      <c r="Q124" s="144"/>
      <c r="R124" s="144"/>
      <c r="S124" s="144"/>
      <c r="T124" s="144"/>
      <c r="U124" s="144"/>
      <c r="V124" s="144"/>
      <c r="W124" s="144"/>
      <c r="Y124" s="144"/>
      <c r="Z124" s="144"/>
      <c r="AA124" s="144"/>
      <c r="AB124" s="144"/>
      <c r="AC124" s="144"/>
    </row>
    <row r="125" spans="1:29" x14ac:dyDescent="0.2">
      <c r="A125" s="144"/>
      <c r="B125" s="145"/>
      <c r="C125" s="144"/>
      <c r="D125" s="144"/>
      <c r="E125" s="144"/>
      <c r="F125" s="144"/>
      <c r="G125" s="144"/>
      <c r="H125" s="144"/>
      <c r="I125" s="144"/>
      <c r="J125" s="144"/>
      <c r="K125" s="144"/>
      <c r="M125" s="144"/>
      <c r="N125" s="144"/>
      <c r="O125" s="144"/>
      <c r="P125" s="144"/>
      <c r="Q125" s="144"/>
      <c r="R125" s="144"/>
      <c r="S125" s="144"/>
      <c r="T125" s="144"/>
      <c r="U125" s="144"/>
      <c r="V125" s="144"/>
      <c r="W125" s="144"/>
      <c r="Y125" s="144"/>
      <c r="Z125" s="144"/>
      <c r="AA125" s="144"/>
      <c r="AB125" s="144"/>
      <c r="AC125" s="144"/>
    </row>
    <row r="126" spans="1:29" x14ac:dyDescent="0.2">
      <c r="A126" s="144"/>
      <c r="B126" s="145"/>
      <c r="C126" s="144"/>
      <c r="D126" s="144"/>
      <c r="E126" s="144"/>
      <c r="F126" s="144"/>
      <c r="G126" s="144"/>
      <c r="H126" s="144"/>
      <c r="I126" s="144"/>
      <c r="J126" s="144"/>
      <c r="K126" s="144"/>
      <c r="M126" s="144"/>
      <c r="N126" s="144"/>
      <c r="O126" s="144"/>
      <c r="P126" s="144"/>
      <c r="Q126" s="144"/>
      <c r="R126" s="144"/>
      <c r="S126" s="144"/>
      <c r="T126" s="144"/>
      <c r="U126" s="144"/>
      <c r="V126" s="144"/>
      <c r="W126" s="144"/>
      <c r="Y126" s="144"/>
      <c r="Z126" s="144"/>
      <c r="AA126" s="144"/>
      <c r="AB126" s="144"/>
      <c r="AC126" s="144"/>
    </row>
    <row r="127" spans="1:29" x14ac:dyDescent="0.2">
      <c r="A127" s="144"/>
      <c r="B127" s="145"/>
      <c r="C127" s="144"/>
      <c r="D127" s="144"/>
      <c r="E127" s="144"/>
      <c r="F127" s="144"/>
      <c r="G127" s="144"/>
      <c r="H127" s="144"/>
      <c r="I127" s="144"/>
      <c r="J127" s="144"/>
      <c r="K127" s="144"/>
      <c r="M127" s="144"/>
      <c r="N127" s="144"/>
      <c r="O127" s="144"/>
      <c r="P127" s="144"/>
      <c r="Q127" s="144"/>
      <c r="R127" s="144"/>
      <c r="S127" s="144"/>
      <c r="T127" s="144"/>
      <c r="U127" s="144"/>
      <c r="V127" s="144"/>
      <c r="W127" s="144"/>
      <c r="Y127" s="144"/>
      <c r="Z127" s="144"/>
      <c r="AA127" s="144"/>
      <c r="AB127" s="144"/>
      <c r="AC127" s="144"/>
    </row>
    <row r="128" spans="1:29" x14ac:dyDescent="0.2">
      <c r="A128" s="144"/>
      <c r="B128" s="145"/>
      <c r="C128" s="144"/>
      <c r="D128" s="144"/>
      <c r="E128" s="144"/>
      <c r="F128" s="144"/>
      <c r="G128" s="144"/>
      <c r="H128" s="144"/>
      <c r="I128" s="144"/>
      <c r="J128" s="144"/>
      <c r="K128" s="144"/>
      <c r="M128" s="144"/>
      <c r="N128" s="144"/>
      <c r="O128" s="144"/>
      <c r="P128" s="144"/>
      <c r="Q128" s="144"/>
      <c r="R128" s="144"/>
      <c r="S128" s="144"/>
      <c r="T128" s="144"/>
      <c r="U128" s="144"/>
      <c r="V128" s="144"/>
      <c r="W128" s="144"/>
      <c r="Y128" s="144"/>
      <c r="Z128" s="144"/>
      <c r="AA128" s="144"/>
      <c r="AB128" s="144"/>
      <c r="AC128" s="144"/>
    </row>
    <row r="129" spans="1:29" x14ac:dyDescent="0.2">
      <c r="A129" s="144"/>
      <c r="B129" s="145"/>
      <c r="C129" s="144"/>
      <c r="D129" s="144"/>
      <c r="E129" s="144"/>
      <c r="F129" s="144"/>
      <c r="G129" s="144"/>
      <c r="H129" s="144"/>
      <c r="I129" s="144"/>
      <c r="J129" s="144"/>
      <c r="K129" s="144"/>
      <c r="M129" s="144"/>
      <c r="N129" s="144"/>
      <c r="O129" s="144"/>
      <c r="P129" s="144"/>
      <c r="Q129" s="144"/>
      <c r="R129" s="144"/>
      <c r="S129" s="144"/>
      <c r="T129" s="144"/>
      <c r="U129" s="144"/>
      <c r="V129" s="144"/>
      <c r="W129" s="144"/>
      <c r="Y129" s="144"/>
      <c r="Z129" s="144"/>
      <c r="AA129" s="144"/>
      <c r="AB129" s="144"/>
      <c r="AC129" s="144"/>
    </row>
    <row r="130" spans="1:29" x14ac:dyDescent="0.2">
      <c r="A130" s="144"/>
      <c r="B130" s="145"/>
      <c r="C130" s="144"/>
      <c r="D130" s="144"/>
      <c r="E130" s="144"/>
      <c r="F130" s="144"/>
      <c r="G130" s="144"/>
      <c r="H130" s="144"/>
      <c r="I130" s="144"/>
      <c r="J130" s="144"/>
      <c r="K130" s="144"/>
      <c r="M130" s="144"/>
      <c r="N130" s="144"/>
      <c r="O130" s="144"/>
      <c r="P130" s="144"/>
      <c r="Q130" s="144"/>
      <c r="R130" s="144"/>
      <c r="S130" s="144"/>
      <c r="T130" s="144"/>
      <c r="U130" s="144"/>
      <c r="V130" s="144"/>
      <c r="W130" s="144"/>
      <c r="Y130" s="144"/>
      <c r="Z130" s="144"/>
      <c r="AA130" s="144"/>
      <c r="AB130" s="144"/>
      <c r="AC130" s="144"/>
    </row>
    <row r="131" spans="1:29" x14ac:dyDescent="0.2">
      <c r="A131" s="144"/>
      <c r="B131" s="145"/>
      <c r="C131" s="144"/>
      <c r="D131" s="144"/>
      <c r="E131" s="144"/>
      <c r="F131" s="144"/>
      <c r="G131" s="144"/>
      <c r="H131" s="144"/>
      <c r="I131" s="144"/>
      <c r="J131" s="144"/>
      <c r="K131" s="144"/>
      <c r="M131" s="144"/>
      <c r="N131" s="144"/>
      <c r="O131" s="144"/>
      <c r="P131" s="144"/>
      <c r="Q131" s="144"/>
      <c r="R131" s="144"/>
      <c r="S131" s="144"/>
      <c r="T131" s="144"/>
      <c r="U131" s="144"/>
      <c r="V131" s="144"/>
      <c r="W131" s="144"/>
      <c r="Y131" s="144"/>
      <c r="Z131" s="144"/>
      <c r="AA131" s="144"/>
      <c r="AB131" s="144"/>
      <c r="AC131" s="144"/>
    </row>
    <row r="132" spans="1:29" x14ac:dyDescent="0.2">
      <c r="A132" s="144"/>
      <c r="B132" s="145"/>
      <c r="C132" s="144"/>
      <c r="D132" s="144"/>
      <c r="E132" s="144"/>
      <c r="F132" s="144"/>
      <c r="G132" s="144"/>
      <c r="H132" s="144"/>
      <c r="I132" s="144"/>
      <c r="J132" s="144"/>
      <c r="K132" s="144"/>
      <c r="M132" s="144"/>
      <c r="N132" s="144"/>
      <c r="O132" s="144"/>
      <c r="P132" s="144"/>
      <c r="Q132" s="144"/>
      <c r="R132" s="144"/>
      <c r="S132" s="144"/>
      <c r="T132" s="144"/>
      <c r="U132" s="144"/>
      <c r="V132" s="144"/>
      <c r="W132" s="144"/>
      <c r="Y132" s="144"/>
      <c r="Z132" s="144"/>
      <c r="AA132" s="144"/>
      <c r="AB132" s="144"/>
      <c r="AC132" s="144"/>
    </row>
    <row r="133" spans="1:29" x14ac:dyDescent="0.2">
      <c r="A133" s="144"/>
      <c r="B133" s="145"/>
      <c r="C133" s="144"/>
      <c r="D133" s="144"/>
      <c r="E133" s="144"/>
      <c r="F133" s="144"/>
      <c r="G133" s="144"/>
      <c r="H133" s="144"/>
      <c r="I133" s="144"/>
      <c r="J133" s="144"/>
      <c r="K133" s="144"/>
      <c r="M133" s="144"/>
      <c r="N133" s="144"/>
      <c r="O133" s="144"/>
      <c r="P133" s="144"/>
      <c r="Q133" s="144"/>
      <c r="R133" s="144"/>
      <c r="S133" s="144"/>
      <c r="T133" s="144"/>
      <c r="U133" s="144"/>
      <c r="V133" s="144"/>
      <c r="W133" s="144"/>
      <c r="Y133" s="144"/>
      <c r="Z133" s="144"/>
      <c r="AA133" s="144"/>
      <c r="AB133" s="144"/>
      <c r="AC133" s="144"/>
    </row>
    <row r="134" spans="1:29" x14ac:dyDescent="0.2">
      <c r="A134" s="144"/>
      <c r="B134" s="145"/>
      <c r="C134" s="144"/>
      <c r="D134" s="144"/>
      <c r="E134" s="144"/>
      <c r="F134" s="144"/>
      <c r="G134" s="144"/>
      <c r="H134" s="144"/>
      <c r="I134" s="144"/>
      <c r="J134" s="144"/>
      <c r="K134" s="144"/>
      <c r="M134" s="144"/>
      <c r="N134" s="144"/>
      <c r="O134" s="144"/>
      <c r="P134" s="144"/>
      <c r="Q134" s="144"/>
      <c r="R134" s="144"/>
      <c r="S134" s="144"/>
      <c r="T134" s="144"/>
      <c r="U134" s="144"/>
      <c r="V134" s="144"/>
      <c r="W134" s="144"/>
      <c r="Y134" s="144"/>
      <c r="Z134" s="144"/>
      <c r="AA134" s="144"/>
      <c r="AB134" s="144"/>
      <c r="AC134" s="144"/>
    </row>
    <row r="135" spans="1:29" x14ac:dyDescent="0.2">
      <c r="A135" s="144"/>
      <c r="B135" s="145"/>
      <c r="C135" s="144"/>
      <c r="D135" s="144"/>
      <c r="E135" s="144"/>
      <c r="F135" s="144"/>
      <c r="G135" s="144"/>
      <c r="H135" s="144"/>
      <c r="I135" s="144"/>
      <c r="J135" s="144"/>
      <c r="K135" s="144"/>
      <c r="M135" s="144"/>
      <c r="N135" s="144"/>
      <c r="O135" s="144"/>
      <c r="P135" s="144"/>
      <c r="Q135" s="144"/>
      <c r="R135" s="144"/>
      <c r="S135" s="144"/>
      <c r="T135" s="144"/>
      <c r="U135" s="144"/>
      <c r="V135" s="144"/>
      <c r="W135" s="144"/>
      <c r="Y135" s="144"/>
      <c r="Z135" s="144"/>
      <c r="AA135" s="144"/>
      <c r="AB135" s="144"/>
      <c r="AC135" s="144"/>
    </row>
    <row r="136" spans="1:29" x14ac:dyDescent="0.2">
      <c r="A136" s="144"/>
      <c r="B136" s="145"/>
      <c r="C136" s="144"/>
      <c r="D136" s="144"/>
      <c r="E136" s="144"/>
      <c r="F136" s="144"/>
      <c r="G136" s="144"/>
      <c r="H136" s="144"/>
      <c r="I136" s="144"/>
      <c r="J136" s="144"/>
      <c r="K136" s="144"/>
      <c r="M136" s="144"/>
      <c r="N136" s="144"/>
      <c r="O136" s="144"/>
      <c r="P136" s="144"/>
      <c r="Q136" s="144"/>
      <c r="R136" s="144"/>
      <c r="S136" s="144"/>
      <c r="T136" s="144"/>
      <c r="U136" s="144"/>
      <c r="V136" s="144"/>
      <c r="W136" s="144"/>
      <c r="Y136" s="144"/>
      <c r="Z136" s="144"/>
      <c r="AA136" s="144"/>
      <c r="AB136" s="144"/>
      <c r="AC136" s="144"/>
    </row>
    <row r="137" spans="1:29" x14ac:dyDescent="0.2">
      <c r="A137" s="144"/>
      <c r="B137" s="145"/>
      <c r="C137" s="144"/>
      <c r="D137" s="144"/>
      <c r="E137" s="144"/>
      <c r="F137" s="144"/>
      <c r="G137" s="144"/>
      <c r="H137" s="144"/>
      <c r="I137" s="144"/>
      <c r="J137" s="144"/>
      <c r="K137" s="144"/>
      <c r="M137" s="144"/>
      <c r="N137" s="144"/>
      <c r="O137" s="144"/>
      <c r="P137" s="144"/>
      <c r="Q137" s="144"/>
      <c r="R137" s="144"/>
      <c r="S137" s="144"/>
      <c r="T137" s="144"/>
      <c r="U137" s="144"/>
      <c r="V137" s="144"/>
      <c r="W137" s="144"/>
      <c r="Y137" s="144"/>
      <c r="Z137" s="144"/>
      <c r="AA137" s="144"/>
      <c r="AB137" s="144"/>
      <c r="AC137" s="144"/>
    </row>
    <row r="138" spans="1:29" x14ac:dyDescent="0.2">
      <c r="A138" s="144"/>
      <c r="B138" s="145"/>
      <c r="C138" s="144"/>
      <c r="D138" s="144"/>
      <c r="E138" s="144"/>
      <c r="F138" s="144"/>
      <c r="G138" s="144"/>
      <c r="H138" s="144"/>
      <c r="I138" s="144"/>
      <c r="J138" s="144"/>
      <c r="K138" s="144"/>
      <c r="M138" s="144"/>
      <c r="N138" s="144"/>
      <c r="O138" s="144"/>
      <c r="P138" s="144"/>
      <c r="Q138" s="144"/>
      <c r="R138" s="144"/>
      <c r="S138" s="144"/>
      <c r="T138" s="144"/>
      <c r="U138" s="144"/>
      <c r="V138" s="144"/>
      <c r="W138" s="144"/>
      <c r="Y138" s="144"/>
      <c r="Z138" s="144"/>
      <c r="AA138" s="144"/>
      <c r="AB138" s="144"/>
      <c r="AC138" s="144"/>
    </row>
    <row r="139" spans="1:29" x14ac:dyDescent="0.2">
      <c r="A139" s="144"/>
      <c r="B139" s="145"/>
      <c r="C139" s="144"/>
      <c r="D139" s="144"/>
      <c r="E139" s="144"/>
      <c r="F139" s="144"/>
      <c r="G139" s="144"/>
      <c r="H139" s="144"/>
      <c r="I139" s="144"/>
      <c r="J139" s="144"/>
      <c r="K139" s="144"/>
      <c r="M139" s="144"/>
      <c r="N139" s="144"/>
      <c r="O139" s="144"/>
      <c r="P139" s="144"/>
      <c r="Q139" s="144"/>
      <c r="R139" s="144"/>
      <c r="S139" s="144"/>
      <c r="T139" s="144"/>
      <c r="U139" s="144"/>
      <c r="V139" s="144"/>
      <c r="W139" s="144"/>
      <c r="Y139" s="144"/>
      <c r="Z139" s="144"/>
      <c r="AA139" s="144"/>
      <c r="AB139" s="144"/>
      <c r="AC139" s="144"/>
    </row>
    <row r="140" spans="1:29" x14ac:dyDescent="0.2">
      <c r="A140" s="144"/>
      <c r="B140" s="145"/>
      <c r="C140" s="144"/>
      <c r="D140" s="144"/>
      <c r="E140" s="144"/>
      <c r="F140" s="144"/>
      <c r="G140" s="144"/>
      <c r="H140" s="144"/>
      <c r="I140" s="144"/>
      <c r="J140" s="144"/>
      <c r="K140" s="144"/>
      <c r="M140" s="144"/>
      <c r="N140" s="144"/>
      <c r="O140" s="144"/>
      <c r="P140" s="144"/>
      <c r="Q140" s="144"/>
      <c r="R140" s="144"/>
      <c r="S140" s="144"/>
      <c r="T140" s="144"/>
      <c r="U140" s="144"/>
      <c r="V140" s="144"/>
      <c r="W140" s="144"/>
      <c r="Y140" s="144"/>
      <c r="Z140" s="144"/>
      <c r="AA140" s="144"/>
      <c r="AB140" s="144"/>
      <c r="AC140" s="144"/>
    </row>
    <row r="141" spans="1:29" x14ac:dyDescent="0.2">
      <c r="A141" s="144"/>
      <c r="B141" s="145"/>
      <c r="C141" s="144"/>
      <c r="D141" s="144"/>
      <c r="E141" s="144"/>
      <c r="F141" s="144"/>
      <c r="G141" s="144"/>
      <c r="H141" s="144"/>
      <c r="I141" s="144"/>
      <c r="J141" s="144"/>
      <c r="K141" s="144"/>
      <c r="M141" s="144"/>
      <c r="N141" s="144"/>
      <c r="O141" s="144"/>
      <c r="P141" s="144"/>
      <c r="Q141" s="144"/>
      <c r="R141" s="144"/>
      <c r="S141" s="144"/>
      <c r="T141" s="144"/>
      <c r="U141" s="144"/>
      <c r="V141" s="144"/>
      <c r="W141" s="144"/>
      <c r="Y141" s="144"/>
      <c r="Z141" s="144"/>
      <c r="AA141" s="144"/>
      <c r="AB141" s="144"/>
      <c r="AC141" s="144"/>
    </row>
    <row r="142" spans="1:29" x14ac:dyDescent="0.2">
      <c r="A142" s="144"/>
      <c r="B142" s="145"/>
      <c r="C142" s="144"/>
      <c r="D142" s="144"/>
      <c r="E142" s="144"/>
      <c r="F142" s="144"/>
      <c r="G142" s="144"/>
      <c r="H142" s="144"/>
      <c r="I142" s="144"/>
      <c r="J142" s="144"/>
      <c r="K142" s="144"/>
      <c r="M142" s="144"/>
      <c r="N142" s="144"/>
      <c r="O142" s="144"/>
      <c r="P142" s="144"/>
      <c r="Q142" s="144"/>
      <c r="R142" s="144"/>
      <c r="S142" s="144"/>
      <c r="T142" s="144"/>
      <c r="U142" s="144"/>
      <c r="V142" s="144"/>
      <c r="W142" s="144"/>
      <c r="Y142" s="144"/>
      <c r="Z142" s="144"/>
      <c r="AA142" s="144"/>
      <c r="AB142" s="144"/>
      <c r="AC142" s="144"/>
    </row>
    <row r="143" spans="1:29" x14ac:dyDescent="0.2">
      <c r="A143" s="144"/>
      <c r="B143" s="145"/>
      <c r="C143" s="144"/>
      <c r="D143" s="144"/>
      <c r="E143" s="144"/>
      <c r="F143" s="144"/>
      <c r="G143" s="144"/>
      <c r="H143" s="144"/>
      <c r="I143" s="144"/>
      <c r="J143" s="144"/>
      <c r="K143" s="144"/>
      <c r="M143" s="144"/>
      <c r="N143" s="144"/>
      <c r="O143" s="144"/>
      <c r="P143" s="144"/>
      <c r="Q143" s="144"/>
      <c r="R143" s="144"/>
      <c r="S143" s="144"/>
      <c r="T143" s="144"/>
      <c r="U143" s="144"/>
      <c r="V143" s="144"/>
      <c r="W143" s="144"/>
      <c r="Y143" s="144"/>
      <c r="Z143" s="144"/>
      <c r="AA143" s="144"/>
      <c r="AB143" s="144"/>
      <c r="AC143" s="144"/>
    </row>
    <row r="144" spans="1:29" x14ac:dyDescent="0.2">
      <c r="A144" s="144"/>
      <c r="B144" s="145"/>
      <c r="C144" s="144"/>
      <c r="D144" s="144"/>
      <c r="E144" s="144"/>
      <c r="F144" s="144"/>
      <c r="G144" s="144"/>
      <c r="H144" s="144"/>
      <c r="I144" s="144"/>
      <c r="J144" s="144"/>
      <c r="K144" s="144"/>
      <c r="M144" s="144"/>
      <c r="N144" s="144"/>
      <c r="O144" s="144"/>
      <c r="P144" s="144"/>
      <c r="Q144" s="144"/>
      <c r="R144" s="144"/>
      <c r="S144" s="144"/>
      <c r="T144" s="144"/>
      <c r="U144" s="144"/>
      <c r="V144" s="144"/>
      <c r="W144" s="144"/>
      <c r="Y144" s="144"/>
      <c r="Z144" s="144"/>
      <c r="AA144" s="144"/>
      <c r="AB144" s="144"/>
      <c r="AC144" s="144"/>
    </row>
    <row r="145" spans="1:29" x14ac:dyDescent="0.2">
      <c r="A145" s="144"/>
      <c r="B145" s="145"/>
      <c r="C145" s="144"/>
      <c r="D145" s="144"/>
      <c r="E145" s="144"/>
      <c r="F145" s="144"/>
      <c r="G145" s="144"/>
      <c r="H145" s="144"/>
      <c r="I145" s="144"/>
      <c r="J145" s="144"/>
      <c r="K145" s="144"/>
      <c r="M145" s="144"/>
      <c r="N145" s="144"/>
      <c r="O145" s="144"/>
      <c r="P145" s="144"/>
      <c r="Q145" s="144"/>
      <c r="R145" s="144"/>
      <c r="S145" s="144"/>
      <c r="T145" s="144"/>
      <c r="U145" s="144"/>
      <c r="V145" s="144"/>
      <c r="W145" s="144"/>
      <c r="Y145" s="144"/>
      <c r="Z145" s="144"/>
      <c r="AA145" s="144"/>
      <c r="AB145" s="144"/>
      <c r="AC145" s="144"/>
    </row>
    <row r="146" spans="1:29" x14ac:dyDescent="0.2">
      <c r="A146" s="144"/>
      <c r="B146" s="145"/>
      <c r="C146" s="144"/>
      <c r="D146" s="144"/>
      <c r="E146" s="144"/>
      <c r="F146" s="144"/>
      <c r="G146" s="144"/>
      <c r="H146" s="144"/>
      <c r="I146" s="144"/>
      <c r="J146" s="144"/>
      <c r="K146" s="144"/>
      <c r="M146" s="144"/>
      <c r="N146" s="144"/>
      <c r="O146" s="144"/>
      <c r="P146" s="144"/>
      <c r="Q146" s="144"/>
      <c r="R146" s="144"/>
      <c r="S146" s="144"/>
      <c r="T146" s="144"/>
      <c r="U146" s="144"/>
      <c r="V146" s="144"/>
      <c r="W146" s="144"/>
      <c r="Y146" s="144"/>
      <c r="Z146" s="144"/>
      <c r="AA146" s="144"/>
      <c r="AB146" s="144"/>
      <c r="AC146" s="144"/>
    </row>
    <row r="147" spans="1:29" x14ac:dyDescent="0.2">
      <c r="A147" s="144"/>
      <c r="B147" s="145"/>
      <c r="C147" s="144"/>
      <c r="D147" s="144"/>
      <c r="E147" s="144"/>
      <c r="F147" s="144"/>
      <c r="G147" s="144"/>
      <c r="H147" s="144"/>
      <c r="I147" s="144"/>
      <c r="J147" s="144"/>
      <c r="K147" s="144"/>
      <c r="M147" s="144"/>
      <c r="N147" s="144"/>
      <c r="O147" s="144"/>
      <c r="P147" s="144"/>
      <c r="Q147" s="144"/>
      <c r="R147" s="144"/>
      <c r="S147" s="144"/>
      <c r="T147" s="144"/>
      <c r="U147" s="144"/>
      <c r="V147" s="144"/>
      <c r="W147" s="144"/>
      <c r="Y147" s="144"/>
      <c r="Z147" s="144"/>
      <c r="AA147" s="144"/>
      <c r="AB147" s="144"/>
      <c r="AC147" s="144"/>
    </row>
    <row r="148" spans="1:29" x14ac:dyDescent="0.2">
      <c r="A148" s="144"/>
      <c r="B148" s="145"/>
      <c r="C148" s="144"/>
      <c r="D148" s="144"/>
      <c r="E148" s="144"/>
      <c r="F148" s="144"/>
      <c r="G148" s="144"/>
      <c r="H148" s="144"/>
      <c r="I148" s="144"/>
      <c r="J148" s="144"/>
      <c r="K148" s="144"/>
      <c r="M148" s="144"/>
      <c r="N148" s="144"/>
      <c r="O148" s="144"/>
      <c r="P148" s="144"/>
      <c r="Q148" s="144"/>
      <c r="R148" s="144"/>
      <c r="S148" s="144"/>
      <c r="T148" s="144"/>
      <c r="U148" s="144"/>
      <c r="V148" s="144"/>
      <c r="W148" s="144"/>
      <c r="Y148" s="144"/>
      <c r="Z148" s="144"/>
      <c r="AA148" s="144"/>
      <c r="AB148" s="144"/>
      <c r="AC148" s="144"/>
    </row>
    <row r="149" spans="1:29" x14ac:dyDescent="0.2">
      <c r="A149" s="144"/>
      <c r="B149" s="145"/>
      <c r="C149" s="144"/>
      <c r="D149" s="144"/>
      <c r="E149" s="144"/>
      <c r="F149" s="144"/>
      <c r="G149" s="144"/>
      <c r="H149" s="144"/>
      <c r="I149" s="144"/>
      <c r="J149" s="144"/>
      <c r="K149" s="144"/>
      <c r="M149" s="144"/>
      <c r="N149" s="144"/>
      <c r="O149" s="144"/>
      <c r="P149" s="144"/>
      <c r="Q149" s="144"/>
      <c r="R149" s="144"/>
      <c r="S149" s="144"/>
      <c r="T149" s="144"/>
      <c r="U149" s="144"/>
      <c r="V149" s="144"/>
      <c r="W149" s="144"/>
      <c r="Y149" s="144"/>
      <c r="Z149" s="144"/>
      <c r="AA149" s="144"/>
      <c r="AB149" s="144"/>
      <c r="AC149" s="144"/>
    </row>
    <row r="150" spans="1:29" x14ac:dyDescent="0.2">
      <c r="A150" s="144"/>
      <c r="B150" s="145"/>
      <c r="C150" s="144"/>
      <c r="D150" s="144"/>
      <c r="E150" s="144"/>
      <c r="F150" s="144"/>
      <c r="G150" s="144"/>
      <c r="H150" s="144"/>
      <c r="I150" s="144"/>
      <c r="J150" s="144"/>
      <c r="K150" s="144"/>
      <c r="M150" s="144"/>
      <c r="N150" s="144"/>
      <c r="O150" s="144"/>
      <c r="P150" s="144"/>
      <c r="Q150" s="144"/>
      <c r="R150" s="144"/>
      <c r="S150" s="144"/>
      <c r="T150" s="144"/>
      <c r="U150" s="144"/>
      <c r="V150" s="144"/>
      <c r="W150" s="144"/>
      <c r="Y150" s="144"/>
      <c r="Z150" s="144"/>
      <c r="AA150" s="144"/>
      <c r="AB150" s="144"/>
      <c r="AC150" s="144"/>
    </row>
    <row r="151" spans="1:29" x14ac:dyDescent="0.2">
      <c r="A151" s="144"/>
      <c r="B151" s="145"/>
      <c r="C151" s="144"/>
      <c r="D151" s="144"/>
      <c r="E151" s="144"/>
      <c r="F151" s="144"/>
      <c r="G151" s="144"/>
      <c r="H151" s="144"/>
      <c r="I151" s="144"/>
      <c r="J151" s="144"/>
      <c r="K151" s="144"/>
      <c r="M151" s="144"/>
      <c r="N151" s="144"/>
      <c r="O151" s="144"/>
      <c r="P151" s="144"/>
      <c r="Q151" s="144"/>
      <c r="R151" s="144"/>
      <c r="S151" s="144"/>
      <c r="T151" s="144"/>
      <c r="U151" s="144"/>
      <c r="V151" s="144"/>
      <c r="W151" s="144"/>
      <c r="Y151" s="144"/>
      <c r="Z151" s="144"/>
      <c r="AA151" s="144"/>
      <c r="AB151" s="144"/>
      <c r="AC151" s="144"/>
    </row>
    <row r="152" spans="1:29" x14ac:dyDescent="0.2">
      <c r="A152" s="144"/>
      <c r="B152" s="145"/>
      <c r="C152" s="144"/>
      <c r="D152" s="144"/>
      <c r="E152" s="144"/>
      <c r="F152" s="144"/>
      <c r="G152" s="144"/>
      <c r="H152" s="144"/>
      <c r="I152" s="144"/>
      <c r="J152" s="144"/>
      <c r="K152" s="144"/>
      <c r="M152" s="144"/>
      <c r="N152" s="144"/>
      <c r="O152" s="144"/>
      <c r="P152" s="144"/>
      <c r="Q152" s="144"/>
      <c r="R152" s="144"/>
      <c r="S152" s="144"/>
      <c r="T152" s="144"/>
      <c r="U152" s="144"/>
      <c r="V152" s="144"/>
      <c r="W152" s="144"/>
      <c r="Y152" s="144"/>
      <c r="Z152" s="144"/>
      <c r="AA152" s="144"/>
      <c r="AB152" s="144"/>
      <c r="AC152" s="144"/>
    </row>
    <row r="153" spans="1:29" x14ac:dyDescent="0.2">
      <c r="A153" s="144"/>
      <c r="B153" s="145"/>
      <c r="C153" s="144"/>
      <c r="D153" s="144"/>
      <c r="E153" s="144"/>
      <c r="F153" s="144"/>
      <c r="G153" s="144"/>
      <c r="H153" s="144"/>
      <c r="I153" s="144"/>
      <c r="J153" s="144"/>
      <c r="K153" s="144"/>
      <c r="M153" s="144"/>
      <c r="N153" s="144"/>
      <c r="O153" s="144"/>
      <c r="P153" s="144"/>
      <c r="Q153" s="144"/>
      <c r="R153" s="144"/>
      <c r="S153" s="144"/>
      <c r="T153" s="144"/>
      <c r="U153" s="144"/>
      <c r="V153" s="144"/>
      <c r="W153" s="144"/>
      <c r="Y153" s="144"/>
      <c r="Z153" s="144"/>
      <c r="AA153" s="144"/>
      <c r="AB153" s="144"/>
      <c r="AC153" s="144"/>
    </row>
    <row r="154" spans="1:29" x14ac:dyDescent="0.2">
      <c r="A154" s="144"/>
      <c r="B154" s="145"/>
      <c r="C154" s="144"/>
      <c r="D154" s="144"/>
      <c r="E154" s="144"/>
      <c r="F154" s="144"/>
      <c r="G154" s="144"/>
      <c r="H154" s="144"/>
      <c r="I154" s="144"/>
      <c r="J154" s="144"/>
      <c r="K154" s="144"/>
      <c r="M154" s="144"/>
      <c r="N154" s="144"/>
      <c r="O154" s="144"/>
      <c r="P154" s="144"/>
      <c r="Q154" s="144"/>
      <c r="R154" s="144"/>
      <c r="S154" s="144"/>
      <c r="T154" s="144"/>
      <c r="U154" s="144"/>
      <c r="V154" s="144"/>
      <c r="W154" s="144"/>
      <c r="Y154" s="144"/>
      <c r="Z154" s="144"/>
      <c r="AA154" s="144"/>
      <c r="AB154" s="144"/>
      <c r="AC154" s="144"/>
    </row>
    <row r="155" spans="1:29" x14ac:dyDescent="0.2">
      <c r="A155" s="144"/>
      <c r="B155" s="145"/>
      <c r="C155" s="144"/>
      <c r="D155" s="144"/>
      <c r="E155" s="144"/>
      <c r="F155" s="144"/>
      <c r="G155" s="144"/>
      <c r="H155" s="144"/>
      <c r="I155" s="144"/>
      <c r="J155" s="144"/>
      <c r="K155" s="144"/>
      <c r="M155" s="144"/>
      <c r="N155" s="144"/>
      <c r="O155" s="144"/>
      <c r="P155" s="144"/>
      <c r="Q155" s="144"/>
      <c r="R155" s="144"/>
      <c r="S155" s="144"/>
      <c r="T155" s="144"/>
      <c r="U155" s="144"/>
      <c r="V155" s="144"/>
      <c r="W155" s="144"/>
      <c r="Y155" s="144"/>
      <c r="Z155" s="144"/>
      <c r="AA155" s="144"/>
      <c r="AB155" s="144"/>
      <c r="AC155" s="144"/>
    </row>
    <row r="156" spans="1:29" x14ac:dyDescent="0.2">
      <c r="A156" s="144"/>
      <c r="B156" s="145"/>
      <c r="C156" s="144"/>
      <c r="D156" s="144"/>
      <c r="E156" s="144"/>
      <c r="F156" s="144"/>
      <c r="G156" s="144"/>
      <c r="H156" s="144"/>
      <c r="I156" s="144"/>
      <c r="J156" s="144"/>
      <c r="K156" s="144"/>
      <c r="M156" s="144"/>
      <c r="N156" s="144"/>
      <c r="O156" s="144"/>
      <c r="P156" s="144"/>
      <c r="Q156" s="144"/>
      <c r="R156" s="144"/>
      <c r="S156" s="144"/>
      <c r="T156" s="144"/>
      <c r="U156" s="144"/>
      <c r="V156" s="144"/>
      <c r="W156" s="144"/>
      <c r="Y156" s="144"/>
      <c r="Z156" s="144"/>
      <c r="AA156" s="144"/>
      <c r="AB156" s="144"/>
      <c r="AC156" s="144"/>
    </row>
    <row r="157" spans="1:29" x14ac:dyDescent="0.2">
      <c r="A157" s="144"/>
      <c r="B157" s="145"/>
      <c r="C157" s="144"/>
      <c r="D157" s="144"/>
      <c r="E157" s="144"/>
      <c r="F157" s="144"/>
      <c r="G157" s="144"/>
      <c r="H157" s="144"/>
      <c r="I157" s="144"/>
      <c r="J157" s="144"/>
      <c r="K157" s="144"/>
      <c r="M157" s="144"/>
      <c r="N157" s="144"/>
      <c r="O157" s="144"/>
      <c r="P157" s="144"/>
      <c r="Q157" s="144"/>
      <c r="R157" s="144"/>
      <c r="S157" s="144"/>
      <c r="T157" s="144"/>
      <c r="U157" s="144"/>
      <c r="V157" s="144"/>
      <c r="W157" s="144"/>
      <c r="Y157" s="144"/>
      <c r="Z157" s="144"/>
      <c r="AA157" s="144"/>
      <c r="AB157" s="144"/>
      <c r="AC157" s="144"/>
    </row>
    <row r="158" spans="1:29" x14ac:dyDescent="0.2">
      <c r="A158" s="144"/>
      <c r="B158" s="145"/>
      <c r="C158" s="144"/>
      <c r="D158" s="144"/>
      <c r="E158" s="144"/>
      <c r="F158" s="144"/>
      <c r="G158" s="144"/>
      <c r="H158" s="144"/>
      <c r="I158" s="144"/>
      <c r="J158" s="144"/>
      <c r="K158" s="144"/>
      <c r="M158" s="144"/>
      <c r="N158" s="144"/>
      <c r="O158" s="144"/>
      <c r="P158" s="144"/>
      <c r="Q158" s="144"/>
      <c r="R158" s="144"/>
      <c r="S158" s="144"/>
      <c r="T158" s="144"/>
      <c r="U158" s="144"/>
      <c r="V158" s="144"/>
      <c r="W158" s="144"/>
      <c r="Y158" s="144"/>
      <c r="Z158" s="144"/>
      <c r="AA158" s="144"/>
      <c r="AB158" s="144"/>
      <c r="AC158" s="144"/>
    </row>
    <row r="159" spans="1:29" x14ac:dyDescent="0.2">
      <c r="A159" s="144"/>
      <c r="B159" s="145"/>
      <c r="C159" s="144"/>
      <c r="D159" s="144"/>
      <c r="E159" s="144"/>
      <c r="F159" s="144"/>
      <c r="G159" s="144"/>
      <c r="H159" s="144"/>
      <c r="I159" s="144"/>
      <c r="J159" s="144"/>
      <c r="K159" s="144"/>
      <c r="M159" s="144"/>
      <c r="N159" s="144"/>
      <c r="O159" s="144"/>
      <c r="P159" s="144"/>
      <c r="Q159" s="144"/>
      <c r="R159" s="144"/>
      <c r="S159" s="144"/>
      <c r="T159" s="144"/>
      <c r="U159" s="144"/>
      <c r="V159" s="144"/>
      <c r="W159" s="144"/>
      <c r="Y159" s="144"/>
      <c r="Z159" s="144"/>
      <c r="AA159" s="144"/>
      <c r="AB159" s="144"/>
      <c r="AC159" s="144"/>
    </row>
    <row r="160" spans="1:29" x14ac:dyDescent="0.2">
      <c r="A160" s="144"/>
      <c r="B160" s="145"/>
      <c r="C160" s="144"/>
      <c r="D160" s="144"/>
      <c r="E160" s="144"/>
      <c r="F160" s="144"/>
      <c r="G160" s="144"/>
      <c r="H160" s="144"/>
      <c r="I160" s="144"/>
      <c r="J160" s="144"/>
      <c r="K160" s="144"/>
      <c r="M160" s="144"/>
      <c r="N160" s="144"/>
      <c r="O160" s="144"/>
      <c r="P160" s="144"/>
      <c r="Q160" s="144"/>
      <c r="R160" s="144"/>
      <c r="S160" s="144"/>
      <c r="T160" s="144"/>
      <c r="U160" s="144"/>
      <c r="V160" s="144"/>
      <c r="W160" s="144"/>
      <c r="Y160" s="144"/>
      <c r="Z160" s="144"/>
      <c r="AA160" s="144"/>
      <c r="AB160" s="144"/>
      <c r="AC160" s="144"/>
    </row>
    <row r="161" spans="1:29" x14ac:dyDescent="0.2">
      <c r="A161" s="144"/>
      <c r="B161" s="145"/>
      <c r="C161" s="144"/>
      <c r="D161" s="144"/>
      <c r="E161" s="144"/>
      <c r="F161" s="144"/>
      <c r="G161" s="144"/>
      <c r="H161" s="144"/>
      <c r="I161" s="144"/>
      <c r="J161" s="144"/>
      <c r="K161" s="144"/>
      <c r="M161" s="144"/>
      <c r="N161" s="144"/>
      <c r="O161" s="144"/>
      <c r="P161" s="144"/>
      <c r="Q161" s="144"/>
      <c r="R161" s="144"/>
      <c r="S161" s="144"/>
      <c r="T161" s="144"/>
      <c r="U161" s="144"/>
      <c r="V161" s="144"/>
      <c r="W161" s="144"/>
      <c r="Y161" s="144"/>
      <c r="Z161" s="144"/>
      <c r="AA161" s="144"/>
      <c r="AB161" s="144"/>
      <c r="AC161" s="144"/>
    </row>
    <row r="162" spans="1:29" x14ac:dyDescent="0.2">
      <c r="A162" s="144"/>
      <c r="B162" s="145"/>
      <c r="C162" s="144"/>
      <c r="D162" s="144"/>
      <c r="E162" s="144"/>
      <c r="F162" s="144"/>
      <c r="G162" s="144"/>
      <c r="H162" s="144"/>
      <c r="I162" s="144"/>
      <c r="J162" s="144"/>
      <c r="K162" s="144"/>
      <c r="M162" s="144"/>
      <c r="N162" s="144"/>
      <c r="O162" s="144"/>
      <c r="P162" s="144"/>
      <c r="Q162" s="144"/>
      <c r="R162" s="144"/>
      <c r="S162" s="144"/>
      <c r="T162" s="144"/>
      <c r="U162" s="144"/>
      <c r="V162" s="144"/>
      <c r="W162" s="144"/>
      <c r="Y162" s="144"/>
      <c r="Z162" s="144"/>
      <c r="AA162" s="144"/>
      <c r="AB162" s="144"/>
      <c r="AC162" s="144"/>
    </row>
    <row r="163" spans="1:29" x14ac:dyDescent="0.2">
      <c r="A163" s="144"/>
      <c r="B163" s="145"/>
      <c r="C163" s="144"/>
      <c r="D163" s="144"/>
      <c r="E163" s="144"/>
      <c r="F163" s="144"/>
      <c r="G163" s="144"/>
      <c r="H163" s="144"/>
      <c r="I163" s="144"/>
      <c r="J163" s="144"/>
      <c r="K163" s="144"/>
      <c r="M163" s="144"/>
      <c r="N163" s="144"/>
      <c r="O163" s="144"/>
      <c r="P163" s="144"/>
      <c r="Q163" s="144"/>
      <c r="R163" s="144"/>
      <c r="S163" s="144"/>
      <c r="T163" s="144"/>
      <c r="U163" s="144"/>
      <c r="V163" s="144"/>
      <c r="W163" s="144"/>
      <c r="Y163" s="144"/>
      <c r="Z163" s="144"/>
      <c r="AA163" s="144"/>
      <c r="AB163" s="144"/>
      <c r="AC163" s="144"/>
    </row>
    <row r="164" spans="1:29" x14ac:dyDescent="0.2">
      <c r="A164" s="144"/>
      <c r="B164" s="145"/>
      <c r="C164" s="144"/>
      <c r="D164" s="144"/>
      <c r="E164" s="144"/>
      <c r="F164" s="144"/>
      <c r="G164" s="144"/>
      <c r="H164" s="144"/>
      <c r="I164" s="144"/>
      <c r="J164" s="144"/>
      <c r="K164" s="144"/>
      <c r="M164" s="144"/>
      <c r="N164" s="144"/>
      <c r="O164" s="144"/>
      <c r="P164" s="144"/>
      <c r="Q164" s="144"/>
      <c r="R164" s="144"/>
      <c r="S164" s="144"/>
      <c r="T164" s="144"/>
      <c r="U164" s="144"/>
      <c r="V164" s="144"/>
      <c r="W164" s="144"/>
      <c r="Y164" s="144"/>
      <c r="Z164" s="144"/>
      <c r="AA164" s="144"/>
      <c r="AB164" s="144"/>
      <c r="AC164" s="144"/>
    </row>
    <row r="165" spans="1:29" x14ac:dyDescent="0.2">
      <c r="A165" s="144"/>
      <c r="B165" s="145"/>
      <c r="C165" s="144"/>
      <c r="D165" s="144"/>
      <c r="E165" s="144"/>
      <c r="F165" s="144"/>
      <c r="G165" s="144"/>
      <c r="H165" s="144"/>
      <c r="I165" s="144"/>
      <c r="J165" s="144"/>
      <c r="K165" s="144"/>
      <c r="M165" s="144"/>
      <c r="N165" s="144"/>
      <c r="O165" s="144"/>
      <c r="P165" s="144"/>
      <c r="Q165" s="144"/>
      <c r="R165" s="144"/>
      <c r="S165" s="144"/>
      <c r="T165" s="144"/>
      <c r="U165" s="144"/>
      <c r="V165" s="144"/>
      <c r="W165" s="144"/>
      <c r="Y165" s="144"/>
      <c r="Z165" s="144"/>
      <c r="AA165" s="144"/>
      <c r="AB165" s="144"/>
      <c r="AC165" s="144"/>
    </row>
    <row r="166" spans="1:29" x14ac:dyDescent="0.2">
      <c r="A166" s="144"/>
      <c r="B166" s="145"/>
      <c r="C166" s="144"/>
      <c r="D166" s="144"/>
      <c r="E166" s="144"/>
      <c r="F166" s="144"/>
      <c r="G166" s="144"/>
      <c r="H166" s="144"/>
      <c r="I166" s="144"/>
      <c r="J166" s="144"/>
      <c r="K166" s="144"/>
      <c r="M166" s="144"/>
      <c r="N166" s="144"/>
      <c r="O166" s="144"/>
      <c r="P166" s="144"/>
      <c r="Q166" s="144"/>
      <c r="R166" s="144"/>
      <c r="S166" s="144"/>
      <c r="T166" s="144"/>
      <c r="U166" s="144"/>
      <c r="V166" s="144"/>
      <c r="W166" s="144"/>
      <c r="Y166" s="144"/>
      <c r="Z166" s="144"/>
      <c r="AA166" s="144"/>
      <c r="AB166" s="144"/>
      <c r="AC166" s="144"/>
    </row>
    <row r="167" spans="1:29" x14ac:dyDescent="0.2">
      <c r="A167" s="144"/>
      <c r="B167" s="145"/>
      <c r="C167" s="144"/>
      <c r="D167" s="144"/>
      <c r="E167" s="144"/>
      <c r="F167" s="144"/>
      <c r="G167" s="144"/>
      <c r="H167" s="144"/>
      <c r="I167" s="144"/>
      <c r="J167" s="144"/>
      <c r="K167" s="144"/>
      <c r="M167" s="144"/>
      <c r="N167" s="144"/>
      <c r="O167" s="144"/>
      <c r="P167" s="144"/>
      <c r="Q167" s="144"/>
      <c r="R167" s="144"/>
      <c r="S167" s="144"/>
      <c r="T167" s="144"/>
      <c r="U167" s="144"/>
      <c r="V167" s="144"/>
      <c r="W167" s="144"/>
      <c r="Y167" s="144"/>
      <c r="Z167" s="144"/>
      <c r="AA167" s="144"/>
      <c r="AB167" s="144"/>
      <c r="AC167" s="144"/>
    </row>
    <row r="168" spans="1:29" x14ac:dyDescent="0.2">
      <c r="A168" s="144"/>
      <c r="B168" s="145"/>
      <c r="C168" s="144"/>
      <c r="D168" s="144"/>
      <c r="E168" s="144"/>
      <c r="F168" s="144"/>
      <c r="G168" s="144"/>
      <c r="H168" s="144"/>
      <c r="I168" s="144"/>
      <c r="J168" s="144"/>
      <c r="K168" s="144"/>
      <c r="M168" s="144"/>
      <c r="N168" s="144"/>
      <c r="O168" s="144"/>
      <c r="P168" s="144"/>
      <c r="Q168" s="144"/>
      <c r="R168" s="144"/>
      <c r="S168" s="144"/>
      <c r="T168" s="144"/>
      <c r="U168" s="144"/>
      <c r="V168" s="144"/>
      <c r="W168" s="144"/>
      <c r="Y168" s="144"/>
      <c r="Z168" s="144"/>
      <c r="AA168" s="144"/>
      <c r="AB168" s="144"/>
      <c r="AC168" s="144"/>
    </row>
    <row r="169" spans="1:29" x14ac:dyDescent="0.2">
      <c r="A169" s="144"/>
      <c r="B169" s="145"/>
      <c r="C169" s="144"/>
      <c r="D169" s="144"/>
      <c r="E169" s="144"/>
      <c r="F169" s="144"/>
      <c r="G169" s="144"/>
      <c r="H169" s="144"/>
      <c r="I169" s="144"/>
      <c r="J169" s="144"/>
      <c r="K169" s="144"/>
      <c r="M169" s="144"/>
      <c r="N169" s="144"/>
      <c r="O169" s="144"/>
      <c r="P169" s="144"/>
      <c r="Q169" s="144"/>
      <c r="R169" s="144"/>
      <c r="S169" s="144"/>
      <c r="T169" s="144"/>
      <c r="U169" s="144"/>
      <c r="V169" s="144"/>
      <c r="W169" s="144"/>
      <c r="Y169" s="144"/>
      <c r="Z169" s="144"/>
      <c r="AA169" s="144"/>
      <c r="AB169" s="144"/>
      <c r="AC169" s="144"/>
    </row>
    <row r="170" spans="1:29" x14ac:dyDescent="0.2">
      <c r="A170" s="144"/>
      <c r="B170" s="145"/>
      <c r="C170" s="144"/>
      <c r="D170" s="144"/>
      <c r="E170" s="144"/>
      <c r="F170" s="144"/>
      <c r="G170" s="144"/>
      <c r="H170" s="144"/>
      <c r="I170" s="144"/>
      <c r="J170" s="144"/>
      <c r="K170" s="144"/>
      <c r="M170" s="144"/>
      <c r="N170" s="144"/>
      <c r="O170" s="144"/>
      <c r="P170" s="144"/>
      <c r="Q170" s="144"/>
      <c r="R170" s="144"/>
      <c r="S170" s="144"/>
      <c r="T170" s="144"/>
      <c r="U170" s="144"/>
      <c r="V170" s="144"/>
      <c r="W170" s="144"/>
      <c r="Y170" s="144"/>
      <c r="Z170" s="144"/>
      <c r="AA170" s="144"/>
      <c r="AB170" s="144"/>
      <c r="AC170" s="144"/>
    </row>
    <row r="171" spans="1:29" x14ac:dyDescent="0.2">
      <c r="A171" s="144"/>
      <c r="B171" s="145"/>
      <c r="C171" s="144"/>
      <c r="D171" s="144"/>
      <c r="E171" s="144"/>
      <c r="F171" s="144"/>
      <c r="G171" s="144"/>
      <c r="H171" s="144"/>
      <c r="I171" s="144"/>
      <c r="J171" s="144"/>
      <c r="K171" s="144"/>
      <c r="M171" s="144"/>
      <c r="N171" s="144"/>
      <c r="O171" s="144"/>
      <c r="P171" s="144"/>
      <c r="Q171" s="144"/>
      <c r="R171" s="144"/>
      <c r="S171" s="144"/>
      <c r="T171" s="144"/>
      <c r="U171" s="144"/>
      <c r="V171" s="144"/>
      <c r="W171" s="144"/>
      <c r="Y171" s="144"/>
      <c r="Z171" s="144"/>
      <c r="AA171" s="144"/>
      <c r="AB171" s="144"/>
      <c r="AC171" s="144"/>
    </row>
    <row r="172" spans="1:29" x14ac:dyDescent="0.2">
      <c r="A172" s="144"/>
      <c r="B172" s="145"/>
      <c r="C172" s="144"/>
      <c r="D172" s="144"/>
      <c r="E172" s="144"/>
      <c r="F172" s="144"/>
      <c r="G172" s="144"/>
      <c r="H172" s="144"/>
      <c r="I172" s="144"/>
      <c r="J172" s="144"/>
      <c r="K172" s="144"/>
      <c r="M172" s="144"/>
      <c r="N172" s="144"/>
      <c r="O172" s="144"/>
      <c r="P172" s="144"/>
      <c r="Q172" s="144"/>
      <c r="R172" s="144"/>
      <c r="S172" s="144"/>
      <c r="T172" s="144"/>
      <c r="U172" s="144"/>
      <c r="V172" s="144"/>
      <c r="W172" s="144"/>
      <c r="Y172" s="144"/>
      <c r="Z172" s="144"/>
      <c r="AA172" s="144"/>
      <c r="AB172" s="144"/>
      <c r="AC172" s="144"/>
    </row>
    <row r="173" spans="1:29" x14ac:dyDescent="0.2">
      <c r="A173" s="144"/>
      <c r="B173" s="145"/>
      <c r="C173" s="144"/>
      <c r="D173" s="144"/>
      <c r="E173" s="144"/>
      <c r="F173" s="144"/>
      <c r="G173" s="144"/>
      <c r="H173" s="144"/>
      <c r="I173" s="144"/>
      <c r="J173" s="144"/>
      <c r="K173" s="144"/>
      <c r="M173" s="144"/>
      <c r="N173" s="144"/>
      <c r="O173" s="144"/>
      <c r="P173" s="144"/>
      <c r="Q173" s="144"/>
      <c r="R173" s="144"/>
      <c r="S173" s="144"/>
      <c r="T173" s="144"/>
      <c r="U173" s="144"/>
      <c r="V173" s="144"/>
      <c r="W173" s="144"/>
      <c r="Y173" s="144"/>
      <c r="Z173" s="144"/>
      <c r="AA173" s="144"/>
      <c r="AB173" s="144"/>
      <c r="AC173" s="144"/>
    </row>
    <row r="174" spans="1:29" x14ac:dyDescent="0.2">
      <c r="A174" s="144"/>
      <c r="B174" s="145"/>
      <c r="C174" s="144"/>
      <c r="D174" s="144"/>
      <c r="E174" s="144"/>
      <c r="F174" s="144"/>
      <c r="G174" s="144"/>
      <c r="H174" s="144"/>
      <c r="I174" s="144"/>
      <c r="J174" s="144"/>
      <c r="K174" s="144"/>
      <c r="M174" s="144"/>
      <c r="N174" s="144"/>
      <c r="O174" s="144"/>
      <c r="P174" s="144"/>
      <c r="Q174" s="144"/>
      <c r="R174" s="144"/>
      <c r="S174" s="144"/>
      <c r="T174" s="144"/>
      <c r="U174" s="144"/>
      <c r="V174" s="144"/>
      <c r="W174" s="144"/>
      <c r="Y174" s="144"/>
      <c r="Z174" s="144"/>
      <c r="AA174" s="144"/>
      <c r="AB174" s="144"/>
      <c r="AC174" s="144"/>
    </row>
    <row r="175" spans="1:29" x14ac:dyDescent="0.2">
      <c r="A175" s="144"/>
      <c r="B175" s="145"/>
      <c r="C175" s="144"/>
      <c r="D175" s="144"/>
      <c r="E175" s="144"/>
      <c r="F175" s="144"/>
      <c r="G175" s="144"/>
      <c r="H175" s="144"/>
      <c r="I175" s="144"/>
      <c r="J175" s="144"/>
      <c r="K175" s="144"/>
      <c r="M175" s="144"/>
      <c r="N175" s="144"/>
      <c r="O175" s="144"/>
      <c r="P175" s="144"/>
      <c r="Q175" s="144"/>
      <c r="R175" s="144"/>
      <c r="S175" s="144"/>
      <c r="T175" s="144"/>
      <c r="U175" s="144"/>
      <c r="V175" s="144"/>
      <c r="W175" s="144"/>
      <c r="Y175" s="144"/>
      <c r="Z175" s="144"/>
      <c r="AA175" s="144"/>
      <c r="AB175" s="144"/>
      <c r="AC175" s="144"/>
    </row>
    <row r="176" spans="1:29" x14ac:dyDescent="0.2">
      <c r="A176" s="144"/>
      <c r="B176" s="145"/>
      <c r="C176" s="144"/>
      <c r="D176" s="144"/>
      <c r="E176" s="144"/>
      <c r="F176" s="144"/>
      <c r="G176" s="144"/>
      <c r="H176" s="144"/>
      <c r="I176" s="144"/>
      <c r="J176" s="144"/>
      <c r="K176" s="144"/>
      <c r="M176" s="144"/>
      <c r="N176" s="144"/>
      <c r="O176" s="144"/>
      <c r="P176" s="144"/>
      <c r="Q176" s="144"/>
      <c r="R176" s="144"/>
      <c r="S176" s="144"/>
      <c r="T176" s="144"/>
      <c r="U176" s="144"/>
      <c r="V176" s="144"/>
      <c r="W176" s="144"/>
      <c r="Y176" s="144"/>
      <c r="Z176" s="144"/>
      <c r="AA176" s="144"/>
      <c r="AB176" s="144"/>
      <c r="AC176" s="144"/>
    </row>
    <row r="177" spans="1:29" x14ac:dyDescent="0.2">
      <c r="A177" s="144"/>
      <c r="B177" s="145"/>
      <c r="C177" s="144"/>
      <c r="D177" s="144"/>
      <c r="E177" s="144"/>
      <c r="F177" s="144"/>
      <c r="G177" s="144"/>
      <c r="H177" s="144"/>
      <c r="I177" s="144"/>
      <c r="J177" s="144"/>
      <c r="K177" s="144"/>
      <c r="M177" s="144"/>
      <c r="N177" s="144"/>
      <c r="O177" s="144"/>
      <c r="P177" s="144"/>
      <c r="Q177" s="144"/>
      <c r="R177" s="144"/>
      <c r="S177" s="144"/>
      <c r="T177" s="144"/>
      <c r="U177" s="144"/>
      <c r="V177" s="144"/>
      <c r="W177" s="144"/>
      <c r="Y177" s="144"/>
      <c r="Z177" s="144"/>
      <c r="AA177" s="144"/>
      <c r="AB177" s="144"/>
      <c r="AC177" s="144"/>
    </row>
    <row r="178" spans="1:29" x14ac:dyDescent="0.2">
      <c r="A178" s="144"/>
      <c r="B178" s="145"/>
      <c r="C178" s="144"/>
      <c r="D178" s="144"/>
      <c r="E178" s="144"/>
      <c r="F178" s="144"/>
      <c r="G178" s="144"/>
      <c r="H178" s="144"/>
      <c r="I178" s="144"/>
      <c r="J178" s="144"/>
      <c r="K178" s="144"/>
      <c r="M178" s="144"/>
      <c r="N178" s="144"/>
      <c r="O178" s="144"/>
      <c r="P178" s="144"/>
      <c r="Q178" s="144"/>
      <c r="R178" s="144"/>
      <c r="S178" s="144"/>
      <c r="T178" s="144"/>
      <c r="U178" s="144"/>
      <c r="V178" s="144"/>
      <c r="W178" s="144"/>
      <c r="Y178" s="144"/>
      <c r="Z178" s="144"/>
      <c r="AA178" s="144"/>
      <c r="AB178" s="144"/>
      <c r="AC178" s="144"/>
    </row>
    <row r="179" spans="1:29" x14ac:dyDescent="0.2">
      <c r="A179" s="144"/>
      <c r="B179" s="145"/>
      <c r="C179" s="144"/>
      <c r="D179" s="144"/>
      <c r="E179" s="144"/>
      <c r="F179" s="144"/>
      <c r="G179" s="144"/>
      <c r="H179" s="144"/>
      <c r="I179" s="144"/>
      <c r="J179" s="144"/>
      <c r="K179" s="144"/>
      <c r="M179" s="144"/>
      <c r="N179" s="144"/>
      <c r="O179" s="144"/>
      <c r="P179" s="144"/>
      <c r="Q179" s="144"/>
      <c r="R179" s="144"/>
      <c r="S179" s="144"/>
      <c r="T179" s="144"/>
      <c r="U179" s="144"/>
      <c r="V179" s="144"/>
      <c r="W179" s="144"/>
      <c r="Y179" s="144"/>
      <c r="Z179" s="144"/>
      <c r="AA179" s="144"/>
      <c r="AB179" s="144"/>
      <c r="AC179" s="144"/>
    </row>
    <row r="180" spans="1:29" x14ac:dyDescent="0.2">
      <c r="A180" s="144"/>
      <c r="B180" s="145"/>
      <c r="C180" s="144"/>
      <c r="D180" s="144"/>
      <c r="E180" s="144"/>
      <c r="F180" s="144"/>
      <c r="G180" s="144"/>
      <c r="H180" s="144"/>
      <c r="I180" s="144"/>
      <c r="J180" s="144"/>
      <c r="K180" s="144"/>
      <c r="M180" s="144"/>
      <c r="N180" s="144"/>
      <c r="O180" s="144"/>
      <c r="P180" s="144"/>
      <c r="Q180" s="144"/>
      <c r="R180" s="144"/>
      <c r="S180" s="144"/>
      <c r="T180" s="144"/>
      <c r="U180" s="144"/>
      <c r="V180" s="144"/>
      <c r="W180" s="144"/>
      <c r="Y180" s="144"/>
      <c r="Z180" s="144"/>
      <c r="AA180" s="144"/>
      <c r="AB180" s="144"/>
      <c r="AC180" s="144"/>
    </row>
    <row r="181" spans="1:29" x14ac:dyDescent="0.2">
      <c r="A181" s="144"/>
      <c r="B181" s="145"/>
      <c r="C181" s="144"/>
      <c r="D181" s="144"/>
      <c r="E181" s="144"/>
      <c r="F181" s="144"/>
      <c r="G181" s="144"/>
      <c r="H181" s="144"/>
      <c r="I181" s="144"/>
      <c r="J181" s="144"/>
      <c r="K181" s="144"/>
      <c r="M181" s="144"/>
      <c r="N181" s="144"/>
      <c r="O181" s="144"/>
      <c r="P181" s="144"/>
      <c r="Q181" s="144"/>
      <c r="R181" s="144"/>
      <c r="S181" s="144"/>
      <c r="T181" s="144"/>
      <c r="U181" s="144"/>
      <c r="V181" s="144"/>
      <c r="W181" s="144"/>
      <c r="Y181" s="144"/>
      <c r="Z181" s="144"/>
      <c r="AA181" s="144"/>
      <c r="AB181" s="144"/>
      <c r="AC181" s="144"/>
    </row>
    <row r="182" spans="1:29" x14ac:dyDescent="0.2">
      <c r="A182" s="144"/>
      <c r="B182" s="145"/>
      <c r="C182" s="144"/>
      <c r="D182" s="144"/>
      <c r="E182" s="144"/>
      <c r="F182" s="144"/>
      <c r="G182" s="144"/>
      <c r="H182" s="144"/>
      <c r="I182" s="144"/>
      <c r="J182" s="144"/>
      <c r="K182" s="144"/>
      <c r="M182" s="144"/>
      <c r="N182" s="144"/>
      <c r="O182" s="144"/>
      <c r="P182" s="144"/>
      <c r="Q182" s="144"/>
      <c r="R182" s="144"/>
      <c r="S182" s="144"/>
      <c r="T182" s="144"/>
      <c r="U182" s="144"/>
      <c r="V182" s="144"/>
      <c r="W182" s="144"/>
      <c r="Y182" s="144"/>
      <c r="Z182" s="144"/>
      <c r="AA182" s="144"/>
      <c r="AB182" s="144"/>
      <c r="AC182" s="144"/>
    </row>
    <row r="183" spans="1:29" x14ac:dyDescent="0.2">
      <c r="A183" s="144"/>
      <c r="B183" s="145"/>
      <c r="C183" s="144"/>
      <c r="D183" s="144"/>
      <c r="E183" s="144"/>
      <c r="F183" s="144"/>
      <c r="G183" s="144"/>
      <c r="H183" s="144"/>
      <c r="I183" s="144"/>
      <c r="J183" s="144"/>
      <c r="K183" s="144"/>
      <c r="M183" s="144"/>
      <c r="N183" s="144"/>
      <c r="O183" s="144"/>
      <c r="P183" s="144"/>
      <c r="Q183" s="144"/>
      <c r="R183" s="144"/>
      <c r="S183" s="144"/>
      <c r="T183" s="144"/>
      <c r="U183" s="144"/>
      <c r="V183" s="144"/>
      <c r="W183" s="144"/>
      <c r="Y183" s="144"/>
      <c r="Z183" s="144"/>
      <c r="AA183" s="144"/>
      <c r="AB183" s="144"/>
      <c r="AC183" s="144"/>
    </row>
    <row r="184" spans="1:29" x14ac:dyDescent="0.2">
      <c r="A184" s="144"/>
      <c r="B184" s="145"/>
      <c r="C184" s="144"/>
      <c r="D184" s="144"/>
      <c r="E184" s="144"/>
      <c r="F184" s="144"/>
      <c r="G184" s="144"/>
      <c r="H184" s="144"/>
      <c r="I184" s="144"/>
      <c r="J184" s="144"/>
      <c r="K184" s="144"/>
      <c r="M184" s="144"/>
      <c r="N184" s="144"/>
      <c r="O184" s="144"/>
      <c r="P184" s="144"/>
      <c r="Q184" s="144"/>
      <c r="R184" s="144"/>
      <c r="S184" s="144"/>
      <c r="T184" s="144"/>
      <c r="U184" s="144"/>
      <c r="V184" s="144"/>
      <c r="W184" s="144"/>
      <c r="Y184" s="144"/>
      <c r="Z184" s="144"/>
      <c r="AA184" s="144"/>
      <c r="AB184" s="144"/>
      <c r="AC184" s="144"/>
    </row>
    <row r="185" spans="1:29" x14ac:dyDescent="0.2">
      <c r="A185" s="144"/>
      <c r="B185" s="145"/>
      <c r="C185" s="144"/>
      <c r="D185" s="144"/>
      <c r="E185" s="144"/>
      <c r="F185" s="144"/>
      <c r="G185" s="144"/>
      <c r="H185" s="144"/>
      <c r="I185" s="144"/>
      <c r="J185" s="144"/>
      <c r="K185" s="144"/>
      <c r="M185" s="144"/>
      <c r="N185" s="144"/>
      <c r="O185" s="144"/>
      <c r="P185" s="144"/>
      <c r="Q185" s="144"/>
      <c r="R185" s="144"/>
      <c r="S185" s="144"/>
      <c r="T185" s="144"/>
      <c r="U185" s="144"/>
      <c r="V185" s="144"/>
      <c r="W185" s="144"/>
      <c r="Y185" s="144"/>
      <c r="Z185" s="144"/>
      <c r="AA185" s="144"/>
      <c r="AB185" s="144"/>
      <c r="AC185" s="144"/>
    </row>
    <row r="186" spans="1:29" x14ac:dyDescent="0.2">
      <c r="A186" s="144"/>
      <c r="B186" s="145"/>
      <c r="C186" s="144"/>
      <c r="D186" s="144"/>
      <c r="E186" s="144"/>
      <c r="F186" s="144"/>
      <c r="G186" s="144"/>
      <c r="H186" s="144"/>
      <c r="I186" s="144"/>
      <c r="J186" s="144"/>
      <c r="K186" s="144"/>
      <c r="M186" s="144"/>
      <c r="N186" s="144"/>
      <c r="O186" s="144"/>
      <c r="P186" s="144"/>
      <c r="Q186" s="144"/>
      <c r="R186" s="144"/>
      <c r="S186" s="144"/>
      <c r="T186" s="144"/>
      <c r="U186" s="144"/>
      <c r="V186" s="144"/>
      <c r="W186" s="144"/>
      <c r="Y186" s="144"/>
      <c r="Z186" s="144"/>
      <c r="AA186" s="144"/>
      <c r="AB186" s="144"/>
      <c r="AC186" s="144"/>
    </row>
    <row r="187" spans="1:29" x14ac:dyDescent="0.2">
      <c r="A187" s="144"/>
      <c r="B187" s="145"/>
      <c r="C187" s="144"/>
      <c r="D187" s="144"/>
      <c r="E187" s="144"/>
      <c r="F187" s="144"/>
      <c r="G187" s="144"/>
      <c r="H187" s="144"/>
      <c r="I187" s="144"/>
      <c r="J187" s="144"/>
      <c r="K187" s="144"/>
      <c r="M187" s="144"/>
      <c r="N187" s="144"/>
      <c r="O187" s="144"/>
      <c r="P187" s="144"/>
      <c r="Q187" s="144"/>
      <c r="R187" s="144"/>
      <c r="S187" s="144"/>
      <c r="T187" s="144"/>
      <c r="U187" s="144"/>
      <c r="V187" s="144"/>
      <c r="W187" s="144"/>
      <c r="Y187" s="144"/>
      <c r="Z187" s="144"/>
      <c r="AA187" s="144"/>
      <c r="AB187" s="144"/>
      <c r="AC187" s="144"/>
    </row>
    <row r="188" spans="1:29" x14ac:dyDescent="0.2">
      <c r="A188" s="144"/>
      <c r="B188" s="145"/>
      <c r="C188" s="144"/>
      <c r="D188" s="144"/>
      <c r="E188" s="144"/>
      <c r="F188" s="144"/>
      <c r="G188" s="144"/>
      <c r="H188" s="144"/>
      <c r="I188" s="144"/>
      <c r="J188" s="144"/>
      <c r="K188" s="144"/>
      <c r="M188" s="144"/>
      <c r="N188" s="144"/>
      <c r="O188" s="144"/>
      <c r="P188" s="144"/>
      <c r="Q188" s="144"/>
      <c r="R188" s="144"/>
      <c r="S188" s="144"/>
      <c r="T188" s="144"/>
      <c r="U188" s="144"/>
      <c r="V188" s="144"/>
      <c r="W188" s="144"/>
      <c r="Y188" s="144"/>
      <c r="Z188" s="144"/>
      <c r="AA188" s="144"/>
      <c r="AB188" s="144"/>
      <c r="AC188" s="144"/>
    </row>
    <row r="189" spans="1:29" x14ac:dyDescent="0.2">
      <c r="A189" s="144"/>
      <c r="B189" s="145"/>
      <c r="C189" s="144"/>
      <c r="D189" s="144"/>
      <c r="E189" s="144"/>
      <c r="F189" s="144"/>
      <c r="G189" s="144"/>
      <c r="H189" s="144"/>
      <c r="I189" s="144"/>
      <c r="J189" s="144"/>
      <c r="K189" s="144"/>
      <c r="M189" s="144"/>
      <c r="N189" s="144"/>
      <c r="O189" s="144"/>
      <c r="P189" s="144"/>
      <c r="Q189" s="144"/>
      <c r="R189" s="144"/>
      <c r="S189" s="144"/>
      <c r="T189" s="144"/>
      <c r="U189" s="144"/>
      <c r="V189" s="144"/>
      <c r="W189" s="144"/>
      <c r="Y189" s="144"/>
      <c r="Z189" s="144"/>
      <c r="AA189" s="144"/>
      <c r="AB189" s="144"/>
      <c r="AC189" s="144"/>
    </row>
    <row r="190" spans="1:29" x14ac:dyDescent="0.2">
      <c r="A190" s="144"/>
      <c r="B190" s="145"/>
      <c r="C190" s="144"/>
      <c r="D190" s="144"/>
      <c r="E190" s="144"/>
      <c r="F190" s="144"/>
      <c r="G190" s="144"/>
      <c r="H190" s="144"/>
      <c r="I190" s="144"/>
      <c r="J190" s="144"/>
      <c r="K190" s="144"/>
      <c r="M190" s="144"/>
      <c r="N190" s="144"/>
      <c r="O190" s="144"/>
      <c r="P190" s="144"/>
      <c r="Q190" s="144"/>
      <c r="R190" s="144"/>
      <c r="S190" s="144"/>
      <c r="T190" s="144"/>
      <c r="U190" s="144"/>
      <c r="V190" s="144"/>
      <c r="W190" s="144"/>
      <c r="Y190" s="144"/>
      <c r="Z190" s="144"/>
      <c r="AA190" s="144"/>
      <c r="AB190" s="144"/>
      <c r="AC190" s="144"/>
    </row>
    <row r="191" spans="1:29" x14ac:dyDescent="0.2">
      <c r="A191" s="144"/>
      <c r="B191" s="145"/>
      <c r="C191" s="144"/>
      <c r="D191" s="144"/>
      <c r="E191" s="144"/>
      <c r="F191" s="144"/>
      <c r="G191" s="144"/>
      <c r="H191" s="144"/>
      <c r="I191" s="144"/>
      <c r="J191" s="144"/>
      <c r="K191" s="144"/>
      <c r="M191" s="144"/>
      <c r="N191" s="144"/>
      <c r="O191" s="144"/>
      <c r="P191" s="144"/>
      <c r="Q191" s="144"/>
      <c r="R191" s="144"/>
      <c r="S191" s="144"/>
      <c r="T191" s="144"/>
      <c r="U191" s="144"/>
      <c r="V191" s="144"/>
      <c r="W191" s="144"/>
      <c r="Y191" s="144"/>
      <c r="Z191" s="144"/>
      <c r="AA191" s="144"/>
      <c r="AB191" s="144"/>
      <c r="AC191" s="144"/>
    </row>
    <row r="192" spans="1:29" x14ac:dyDescent="0.2">
      <c r="A192" s="144"/>
      <c r="B192" s="145"/>
      <c r="C192" s="144"/>
      <c r="D192" s="144"/>
      <c r="E192" s="144"/>
      <c r="F192" s="144"/>
      <c r="G192" s="144"/>
      <c r="H192" s="144"/>
      <c r="I192" s="144"/>
      <c r="J192" s="144"/>
      <c r="K192" s="144"/>
      <c r="M192" s="144"/>
      <c r="N192" s="144"/>
      <c r="O192" s="144"/>
      <c r="P192" s="144"/>
      <c r="Q192" s="144"/>
      <c r="R192" s="144"/>
      <c r="S192" s="144"/>
      <c r="T192" s="144"/>
      <c r="U192" s="144"/>
      <c r="V192" s="144"/>
      <c r="W192" s="144"/>
      <c r="Y192" s="144"/>
      <c r="Z192" s="144"/>
      <c r="AA192" s="144"/>
      <c r="AB192" s="144"/>
      <c r="AC192" s="144"/>
    </row>
    <row r="193" spans="1:29" x14ac:dyDescent="0.2">
      <c r="A193" s="144"/>
      <c r="B193" s="145"/>
      <c r="C193" s="144"/>
      <c r="D193" s="144"/>
      <c r="E193" s="144"/>
      <c r="F193" s="144"/>
      <c r="G193" s="144"/>
      <c r="H193" s="144"/>
      <c r="I193" s="144"/>
      <c r="J193" s="144"/>
      <c r="K193" s="144"/>
      <c r="M193" s="144"/>
      <c r="N193" s="144"/>
      <c r="O193" s="144"/>
      <c r="P193" s="144"/>
      <c r="Q193" s="144"/>
      <c r="R193" s="144"/>
      <c r="S193" s="144"/>
      <c r="T193" s="144"/>
      <c r="U193" s="144"/>
      <c r="V193" s="144"/>
      <c r="W193" s="144"/>
      <c r="Y193" s="144"/>
      <c r="Z193" s="144"/>
      <c r="AA193" s="144"/>
      <c r="AB193" s="144"/>
      <c r="AC193" s="144"/>
    </row>
    <row r="194" spans="1:29" x14ac:dyDescent="0.2">
      <c r="A194" s="144"/>
      <c r="B194" s="145"/>
      <c r="C194" s="144"/>
      <c r="D194" s="144"/>
      <c r="E194" s="144"/>
      <c r="F194" s="144"/>
      <c r="G194" s="144"/>
      <c r="H194" s="144"/>
      <c r="I194" s="144"/>
      <c r="J194" s="144"/>
      <c r="K194" s="144"/>
      <c r="M194" s="144"/>
      <c r="N194" s="144"/>
      <c r="O194" s="144"/>
      <c r="P194" s="144"/>
      <c r="Q194" s="144"/>
      <c r="R194" s="144"/>
      <c r="S194" s="144"/>
      <c r="T194" s="144"/>
      <c r="U194" s="144"/>
      <c r="V194" s="144"/>
      <c r="W194" s="144"/>
      <c r="Y194" s="144"/>
      <c r="Z194" s="144"/>
      <c r="AA194" s="144"/>
      <c r="AB194" s="144"/>
      <c r="AC194" s="144"/>
    </row>
    <row r="195" spans="1:29" x14ac:dyDescent="0.2">
      <c r="A195" s="144"/>
      <c r="B195" s="145"/>
      <c r="C195" s="144"/>
      <c r="D195" s="144"/>
      <c r="E195" s="144"/>
      <c r="F195" s="144"/>
      <c r="G195" s="144"/>
      <c r="H195" s="144"/>
      <c r="I195" s="144"/>
      <c r="J195" s="144"/>
      <c r="K195" s="144"/>
      <c r="M195" s="144"/>
      <c r="N195" s="144"/>
      <c r="O195" s="144"/>
      <c r="P195" s="144"/>
      <c r="Q195" s="144"/>
      <c r="R195" s="144"/>
      <c r="S195" s="144"/>
      <c r="T195" s="144"/>
      <c r="U195" s="144"/>
      <c r="V195" s="144"/>
      <c r="W195" s="144"/>
      <c r="Y195" s="144"/>
      <c r="Z195" s="144"/>
      <c r="AA195" s="144"/>
      <c r="AB195" s="144"/>
      <c r="AC195" s="144"/>
    </row>
    <row r="196" spans="1:29" x14ac:dyDescent="0.2">
      <c r="A196" s="144"/>
      <c r="B196" s="145"/>
      <c r="C196" s="144"/>
      <c r="D196" s="144"/>
      <c r="E196" s="144"/>
      <c r="F196" s="144"/>
      <c r="G196" s="144"/>
      <c r="H196" s="144"/>
      <c r="I196" s="144"/>
      <c r="J196" s="144"/>
      <c r="K196" s="144"/>
      <c r="M196" s="144"/>
      <c r="N196" s="144"/>
      <c r="O196" s="144"/>
      <c r="P196" s="144"/>
      <c r="Q196" s="144"/>
      <c r="R196" s="144"/>
      <c r="S196" s="144"/>
      <c r="T196" s="144"/>
      <c r="U196" s="144"/>
      <c r="V196" s="144"/>
      <c r="W196" s="144"/>
      <c r="Y196" s="144"/>
      <c r="Z196" s="144"/>
      <c r="AA196" s="144"/>
      <c r="AB196" s="144"/>
      <c r="AC196" s="144"/>
    </row>
    <row r="197" spans="1:29" x14ac:dyDescent="0.2">
      <c r="A197" s="144"/>
      <c r="B197" s="145"/>
      <c r="C197" s="144"/>
      <c r="D197" s="144"/>
      <c r="E197" s="144"/>
      <c r="F197" s="144"/>
      <c r="G197" s="144"/>
      <c r="H197" s="144"/>
      <c r="I197" s="144"/>
      <c r="J197" s="144"/>
      <c r="K197" s="144"/>
      <c r="M197" s="144"/>
      <c r="N197" s="144"/>
      <c r="O197" s="144"/>
      <c r="P197" s="144"/>
      <c r="Q197" s="144"/>
      <c r="R197" s="144"/>
      <c r="S197" s="144"/>
      <c r="T197" s="144"/>
      <c r="U197" s="144"/>
      <c r="V197" s="144"/>
      <c r="W197" s="144"/>
      <c r="Y197" s="144"/>
      <c r="Z197" s="144"/>
      <c r="AA197" s="144"/>
      <c r="AB197" s="144"/>
      <c r="AC197" s="144"/>
    </row>
    <row r="198" spans="1:29" x14ac:dyDescent="0.2">
      <c r="A198" s="144"/>
      <c r="B198" s="145"/>
      <c r="C198" s="144"/>
      <c r="D198" s="144"/>
      <c r="E198" s="144"/>
      <c r="F198" s="144"/>
      <c r="G198" s="144"/>
      <c r="H198" s="144"/>
      <c r="I198" s="144"/>
      <c r="J198" s="144"/>
      <c r="K198" s="144"/>
      <c r="M198" s="144"/>
      <c r="N198" s="144"/>
      <c r="O198" s="144"/>
      <c r="P198" s="144"/>
      <c r="Q198" s="144"/>
      <c r="R198" s="144"/>
      <c r="S198" s="144"/>
      <c r="T198" s="144"/>
      <c r="U198" s="144"/>
      <c r="V198" s="144"/>
      <c r="W198" s="144"/>
      <c r="Y198" s="144"/>
      <c r="Z198" s="144"/>
      <c r="AA198" s="144"/>
      <c r="AB198" s="144"/>
      <c r="AC198" s="144"/>
    </row>
    <row r="199" spans="1:29" x14ac:dyDescent="0.2">
      <c r="A199" s="144"/>
      <c r="B199" s="145"/>
      <c r="C199" s="144"/>
      <c r="D199" s="144"/>
      <c r="E199" s="144"/>
      <c r="F199" s="144"/>
      <c r="G199" s="144"/>
      <c r="H199" s="144"/>
      <c r="I199" s="144"/>
      <c r="J199" s="144"/>
      <c r="K199" s="144"/>
      <c r="M199" s="144"/>
      <c r="N199" s="144"/>
      <c r="O199" s="144"/>
      <c r="P199" s="144"/>
      <c r="Q199" s="144"/>
      <c r="R199" s="144"/>
      <c r="S199" s="144"/>
      <c r="T199" s="144"/>
      <c r="U199" s="144"/>
      <c r="V199" s="144"/>
      <c r="W199" s="144"/>
      <c r="Y199" s="144"/>
      <c r="Z199" s="144"/>
      <c r="AA199" s="144"/>
      <c r="AB199" s="144"/>
      <c r="AC199" s="144"/>
    </row>
    <row r="200" spans="1:29" x14ac:dyDescent="0.2">
      <c r="A200" s="144"/>
      <c r="B200" s="145"/>
      <c r="C200" s="144"/>
      <c r="D200" s="144"/>
      <c r="E200" s="144"/>
      <c r="F200" s="144"/>
      <c r="G200" s="144"/>
      <c r="H200" s="144"/>
      <c r="I200" s="144"/>
      <c r="J200" s="144"/>
      <c r="K200" s="144"/>
      <c r="M200" s="144"/>
      <c r="N200" s="144"/>
      <c r="O200" s="144"/>
      <c r="P200" s="144"/>
      <c r="Q200" s="144"/>
      <c r="R200" s="144"/>
      <c r="S200" s="144"/>
      <c r="T200" s="144"/>
      <c r="U200" s="144"/>
      <c r="V200" s="144"/>
      <c r="W200" s="144"/>
      <c r="Y200" s="144"/>
      <c r="Z200" s="144"/>
      <c r="AA200" s="144"/>
      <c r="AB200" s="144"/>
      <c r="AC200" s="144"/>
    </row>
    <row r="201" spans="1:29" x14ac:dyDescent="0.2">
      <c r="A201" s="144"/>
      <c r="B201" s="145"/>
      <c r="C201" s="144"/>
      <c r="D201" s="144"/>
      <c r="E201" s="144"/>
      <c r="F201" s="144"/>
      <c r="G201" s="144"/>
      <c r="H201" s="144"/>
      <c r="I201" s="144"/>
      <c r="J201" s="144"/>
      <c r="K201" s="144"/>
      <c r="M201" s="144"/>
      <c r="N201" s="144"/>
      <c r="O201" s="144"/>
      <c r="P201" s="144"/>
      <c r="Q201" s="144"/>
      <c r="R201" s="144"/>
      <c r="S201" s="144"/>
      <c r="T201" s="144"/>
      <c r="U201" s="144"/>
      <c r="V201" s="144"/>
      <c r="W201" s="144"/>
      <c r="Y201" s="144"/>
      <c r="Z201" s="144"/>
      <c r="AA201" s="144"/>
      <c r="AB201" s="144"/>
      <c r="AC201" s="144"/>
    </row>
    <row r="202" spans="1:29" x14ac:dyDescent="0.2">
      <c r="A202" s="144"/>
      <c r="B202" s="145"/>
      <c r="C202" s="144"/>
      <c r="D202" s="144"/>
      <c r="E202" s="144"/>
      <c r="F202" s="144"/>
      <c r="G202" s="144"/>
      <c r="H202" s="144"/>
      <c r="I202" s="144"/>
      <c r="J202" s="144"/>
      <c r="K202" s="144"/>
      <c r="M202" s="144"/>
      <c r="N202" s="144"/>
      <c r="O202" s="144"/>
      <c r="P202" s="144"/>
      <c r="Q202" s="144"/>
      <c r="R202" s="144"/>
      <c r="S202" s="144"/>
      <c r="T202" s="144"/>
      <c r="U202" s="144"/>
      <c r="V202" s="144"/>
      <c r="W202" s="144"/>
      <c r="Y202" s="144"/>
      <c r="Z202" s="144"/>
      <c r="AA202" s="144"/>
      <c r="AB202" s="144"/>
      <c r="AC202" s="144"/>
    </row>
    <row r="203" spans="1:29" x14ac:dyDescent="0.2">
      <c r="A203" s="144"/>
      <c r="B203" s="145"/>
      <c r="C203" s="144"/>
      <c r="D203" s="144"/>
      <c r="E203" s="144"/>
      <c r="F203" s="144"/>
      <c r="G203" s="144"/>
      <c r="H203" s="144"/>
      <c r="I203" s="144"/>
      <c r="J203" s="144"/>
      <c r="K203" s="144"/>
      <c r="M203" s="144"/>
      <c r="N203" s="144"/>
      <c r="O203" s="144"/>
      <c r="P203" s="144"/>
      <c r="Q203" s="144"/>
      <c r="R203" s="144"/>
      <c r="S203" s="144"/>
      <c r="T203" s="144"/>
      <c r="U203" s="144"/>
      <c r="V203" s="144"/>
      <c r="W203" s="144"/>
      <c r="Y203" s="144"/>
      <c r="Z203" s="144"/>
      <c r="AA203" s="144"/>
      <c r="AB203" s="144"/>
      <c r="AC203" s="144"/>
    </row>
    <row r="204" spans="1:29" x14ac:dyDescent="0.2">
      <c r="A204" s="144"/>
      <c r="B204" s="145"/>
      <c r="C204" s="144"/>
      <c r="D204" s="144"/>
      <c r="E204" s="144"/>
      <c r="F204" s="144"/>
      <c r="G204" s="144"/>
      <c r="H204" s="144"/>
      <c r="I204" s="144"/>
      <c r="J204" s="144"/>
      <c r="K204" s="144"/>
      <c r="M204" s="144"/>
      <c r="N204" s="144"/>
      <c r="O204" s="144"/>
      <c r="P204" s="144"/>
      <c r="Q204" s="144"/>
      <c r="R204" s="144"/>
      <c r="S204" s="144"/>
      <c r="T204" s="144"/>
      <c r="U204" s="144"/>
      <c r="V204" s="144"/>
      <c r="W204" s="144"/>
      <c r="Y204" s="144"/>
      <c r="Z204" s="144"/>
      <c r="AA204" s="144"/>
      <c r="AB204" s="144"/>
      <c r="AC204" s="144"/>
    </row>
    <row r="205" spans="1:29" x14ac:dyDescent="0.2">
      <c r="A205" s="144"/>
      <c r="B205" s="145"/>
      <c r="C205" s="144"/>
      <c r="D205" s="144"/>
      <c r="E205" s="144"/>
      <c r="F205" s="144"/>
      <c r="G205" s="144"/>
      <c r="H205" s="144"/>
      <c r="I205" s="144"/>
      <c r="J205" s="144"/>
      <c r="K205" s="144"/>
      <c r="M205" s="144"/>
      <c r="N205" s="144"/>
      <c r="O205" s="144"/>
      <c r="P205" s="144"/>
      <c r="Q205" s="144"/>
      <c r="R205" s="144"/>
      <c r="S205" s="144"/>
      <c r="T205" s="144"/>
      <c r="U205" s="144"/>
      <c r="V205" s="144"/>
      <c r="W205" s="144"/>
      <c r="Y205" s="144"/>
      <c r="Z205" s="144"/>
      <c r="AA205" s="144"/>
      <c r="AB205" s="144"/>
      <c r="AC205" s="144"/>
    </row>
    <row r="206" spans="1:29" x14ac:dyDescent="0.2">
      <c r="A206" s="144"/>
      <c r="B206" s="145"/>
      <c r="C206" s="144"/>
      <c r="D206" s="144"/>
      <c r="E206" s="144"/>
      <c r="F206" s="144"/>
      <c r="G206" s="144"/>
      <c r="H206" s="144"/>
      <c r="I206" s="144"/>
      <c r="J206" s="144"/>
      <c r="K206" s="144"/>
      <c r="M206" s="144"/>
      <c r="N206" s="144"/>
      <c r="O206" s="144"/>
      <c r="P206" s="144"/>
      <c r="Q206" s="144"/>
      <c r="R206" s="144"/>
      <c r="S206" s="144"/>
      <c r="T206" s="144"/>
      <c r="U206" s="144"/>
      <c r="V206" s="144"/>
      <c r="W206" s="144"/>
      <c r="Y206" s="144"/>
      <c r="Z206" s="144"/>
      <c r="AA206" s="144"/>
      <c r="AB206" s="144"/>
      <c r="AC206" s="144"/>
    </row>
    <row r="207" spans="1:29" x14ac:dyDescent="0.2">
      <c r="A207" s="144"/>
      <c r="B207" s="145"/>
      <c r="C207" s="144"/>
      <c r="D207" s="144"/>
      <c r="E207" s="144"/>
      <c r="F207" s="144"/>
      <c r="G207" s="144"/>
      <c r="H207" s="144"/>
      <c r="I207" s="144"/>
      <c r="J207" s="144"/>
      <c r="K207" s="144"/>
      <c r="M207" s="144"/>
      <c r="N207" s="144"/>
      <c r="O207" s="144"/>
      <c r="P207" s="144"/>
      <c r="Q207" s="144"/>
      <c r="R207" s="144"/>
      <c r="S207" s="144"/>
      <c r="T207" s="144"/>
      <c r="U207" s="144"/>
      <c r="V207" s="144"/>
      <c r="W207" s="144"/>
      <c r="Y207" s="144"/>
      <c r="Z207" s="144"/>
      <c r="AA207" s="144"/>
      <c r="AB207" s="144"/>
      <c r="AC207" s="144"/>
    </row>
    <row r="208" spans="1:29" x14ac:dyDescent="0.2">
      <c r="A208" s="144"/>
      <c r="B208" s="145"/>
      <c r="C208" s="144"/>
      <c r="D208" s="144"/>
      <c r="E208" s="144"/>
      <c r="F208" s="144"/>
      <c r="G208" s="144"/>
      <c r="H208" s="144"/>
      <c r="I208" s="144"/>
      <c r="J208" s="144"/>
      <c r="K208" s="144"/>
      <c r="M208" s="144"/>
      <c r="N208" s="144"/>
      <c r="O208" s="144"/>
      <c r="P208" s="144"/>
      <c r="Q208" s="144"/>
      <c r="R208" s="144"/>
      <c r="S208" s="144"/>
      <c r="T208" s="144"/>
      <c r="U208" s="144"/>
      <c r="V208" s="144"/>
      <c r="W208" s="144"/>
      <c r="Y208" s="144"/>
      <c r="Z208" s="144"/>
      <c r="AA208" s="144"/>
      <c r="AB208" s="144"/>
      <c r="AC208" s="144"/>
    </row>
    <row r="209" spans="1:29" x14ac:dyDescent="0.2">
      <c r="A209" s="144"/>
      <c r="B209" s="145"/>
      <c r="C209" s="144"/>
      <c r="D209" s="144"/>
      <c r="E209" s="144"/>
      <c r="F209" s="144"/>
      <c r="G209" s="144"/>
      <c r="H209" s="144"/>
      <c r="I209" s="144"/>
      <c r="J209" s="144"/>
      <c r="K209" s="144"/>
      <c r="M209" s="144"/>
      <c r="N209" s="144"/>
      <c r="O209" s="144"/>
      <c r="P209" s="144"/>
      <c r="Q209" s="144"/>
      <c r="R209" s="144"/>
      <c r="S209" s="144"/>
      <c r="T209" s="144"/>
      <c r="U209" s="144"/>
      <c r="V209" s="144"/>
      <c r="W209" s="144"/>
      <c r="Y209" s="144"/>
      <c r="Z209" s="144"/>
      <c r="AA209" s="144"/>
      <c r="AB209" s="144"/>
      <c r="AC209" s="144"/>
    </row>
    <row r="210" spans="1:29" x14ac:dyDescent="0.2">
      <c r="A210" s="144"/>
      <c r="B210" s="145"/>
      <c r="C210" s="144"/>
      <c r="D210" s="144"/>
      <c r="E210" s="144"/>
      <c r="F210" s="144"/>
      <c r="G210" s="144"/>
      <c r="H210" s="144"/>
      <c r="I210" s="144"/>
      <c r="J210" s="144"/>
      <c r="K210" s="144"/>
      <c r="M210" s="144"/>
      <c r="N210" s="144"/>
      <c r="O210" s="144"/>
      <c r="P210" s="144"/>
      <c r="Q210" s="144"/>
      <c r="R210" s="144"/>
      <c r="S210" s="144"/>
      <c r="T210" s="144"/>
      <c r="U210" s="144"/>
      <c r="V210" s="144"/>
      <c r="W210" s="144"/>
      <c r="Y210" s="144"/>
      <c r="Z210" s="144"/>
      <c r="AA210" s="144"/>
      <c r="AB210" s="144"/>
      <c r="AC210" s="144"/>
    </row>
    <row r="211" spans="1:29" x14ac:dyDescent="0.2">
      <c r="A211" s="144"/>
      <c r="B211" s="145"/>
      <c r="C211" s="144"/>
      <c r="D211" s="144"/>
      <c r="E211" s="144"/>
      <c r="F211" s="144"/>
      <c r="G211" s="144"/>
      <c r="H211" s="144"/>
      <c r="I211" s="144"/>
      <c r="J211" s="144"/>
      <c r="K211" s="144"/>
      <c r="M211" s="144"/>
      <c r="N211" s="144"/>
      <c r="O211" s="144"/>
      <c r="P211" s="144"/>
      <c r="Q211" s="144"/>
      <c r="R211" s="144"/>
      <c r="S211" s="144"/>
      <c r="T211" s="144"/>
      <c r="U211" s="144"/>
      <c r="V211" s="144"/>
      <c r="W211" s="144"/>
      <c r="Y211" s="144"/>
      <c r="Z211" s="144"/>
      <c r="AA211" s="144"/>
      <c r="AB211" s="144"/>
      <c r="AC211" s="144"/>
    </row>
    <row r="212" spans="1:29" x14ac:dyDescent="0.2">
      <c r="A212" s="144"/>
      <c r="B212" s="145"/>
      <c r="C212" s="144"/>
      <c r="D212" s="144"/>
      <c r="E212" s="144"/>
      <c r="F212" s="144"/>
      <c r="G212" s="144"/>
      <c r="H212" s="144"/>
      <c r="I212" s="144"/>
      <c r="J212" s="144"/>
      <c r="K212" s="144"/>
      <c r="M212" s="144"/>
      <c r="N212" s="144"/>
      <c r="O212" s="144"/>
      <c r="P212" s="144"/>
      <c r="Q212" s="144"/>
      <c r="R212" s="144"/>
      <c r="S212" s="144"/>
      <c r="T212" s="144"/>
      <c r="U212" s="144"/>
      <c r="V212" s="144"/>
      <c r="W212" s="144"/>
      <c r="Y212" s="144"/>
      <c r="Z212" s="144"/>
      <c r="AA212" s="144"/>
      <c r="AB212" s="144"/>
      <c r="AC212" s="144"/>
    </row>
    <row r="213" spans="1:29" x14ac:dyDescent="0.2">
      <c r="A213" s="144"/>
      <c r="B213" s="145"/>
      <c r="C213" s="144"/>
      <c r="D213" s="144"/>
      <c r="E213" s="144"/>
      <c r="F213" s="144"/>
      <c r="G213" s="144"/>
      <c r="H213" s="144"/>
      <c r="I213" s="144"/>
      <c r="J213" s="144"/>
      <c r="K213" s="144"/>
      <c r="M213" s="144"/>
      <c r="N213" s="144"/>
      <c r="O213" s="144"/>
      <c r="P213" s="144"/>
      <c r="Q213" s="144"/>
      <c r="R213" s="144"/>
      <c r="S213" s="144"/>
      <c r="T213" s="144"/>
      <c r="U213" s="144"/>
      <c r="V213" s="144"/>
      <c r="W213" s="144"/>
      <c r="Y213" s="144"/>
      <c r="Z213" s="144"/>
      <c r="AA213" s="144"/>
      <c r="AB213" s="144"/>
      <c r="AC213" s="144"/>
    </row>
    <row r="214" spans="1:29" x14ac:dyDescent="0.2">
      <c r="A214" s="144"/>
      <c r="B214" s="145"/>
      <c r="C214" s="144"/>
      <c r="D214" s="144"/>
      <c r="E214" s="144"/>
      <c r="F214" s="144"/>
      <c r="G214" s="144"/>
      <c r="H214" s="144"/>
      <c r="I214" s="144"/>
      <c r="J214" s="144"/>
      <c r="K214" s="144"/>
      <c r="M214" s="144"/>
      <c r="N214" s="144"/>
      <c r="O214" s="144"/>
      <c r="P214" s="144"/>
      <c r="Q214" s="144"/>
      <c r="R214" s="144"/>
      <c r="S214" s="144"/>
      <c r="T214" s="144"/>
      <c r="U214" s="144"/>
      <c r="V214" s="144"/>
      <c r="W214" s="144"/>
      <c r="Y214" s="144"/>
      <c r="Z214" s="144"/>
      <c r="AA214" s="144"/>
      <c r="AB214" s="144"/>
      <c r="AC214" s="144"/>
    </row>
    <row r="215" spans="1:29" x14ac:dyDescent="0.2">
      <c r="A215" s="144"/>
      <c r="B215" s="145"/>
      <c r="C215" s="144"/>
      <c r="D215" s="144"/>
      <c r="E215" s="144"/>
      <c r="F215" s="144"/>
      <c r="G215" s="144"/>
      <c r="H215" s="144"/>
      <c r="I215" s="144"/>
      <c r="J215" s="144"/>
      <c r="K215" s="144"/>
      <c r="M215" s="144"/>
      <c r="N215" s="144"/>
      <c r="O215" s="144"/>
      <c r="P215" s="144"/>
      <c r="Q215" s="144"/>
      <c r="R215" s="144"/>
      <c r="S215" s="144"/>
      <c r="T215" s="144"/>
      <c r="U215" s="144"/>
      <c r="V215" s="144"/>
      <c r="W215" s="144"/>
      <c r="Y215" s="144"/>
      <c r="Z215" s="144"/>
      <c r="AA215" s="144"/>
      <c r="AB215" s="144"/>
      <c r="AC215" s="144"/>
    </row>
    <row r="216" spans="1:29" x14ac:dyDescent="0.2">
      <c r="A216" s="144"/>
      <c r="B216" s="145"/>
      <c r="C216" s="144"/>
      <c r="D216" s="144"/>
      <c r="E216" s="144"/>
      <c r="F216" s="144"/>
      <c r="G216" s="144"/>
      <c r="H216" s="144"/>
      <c r="I216" s="144"/>
      <c r="J216" s="144"/>
      <c r="K216" s="144"/>
      <c r="M216" s="144"/>
      <c r="N216" s="144"/>
      <c r="O216" s="144"/>
      <c r="P216" s="144"/>
      <c r="Q216" s="144"/>
      <c r="R216" s="144"/>
      <c r="S216" s="144"/>
      <c r="T216" s="144"/>
      <c r="U216" s="144"/>
      <c r="V216" s="144"/>
      <c r="W216" s="144"/>
      <c r="Y216" s="144"/>
      <c r="Z216" s="144"/>
      <c r="AA216" s="144"/>
      <c r="AB216" s="144"/>
      <c r="AC216" s="144"/>
    </row>
    <row r="217" spans="1:29" x14ac:dyDescent="0.2">
      <c r="A217" s="144"/>
      <c r="B217" s="145"/>
      <c r="C217" s="144"/>
      <c r="D217" s="144"/>
      <c r="E217" s="144"/>
      <c r="F217" s="144"/>
      <c r="G217" s="144"/>
      <c r="H217" s="144"/>
      <c r="I217" s="144"/>
      <c r="J217" s="144"/>
      <c r="K217" s="144"/>
      <c r="M217" s="144"/>
      <c r="N217" s="144"/>
      <c r="O217" s="144"/>
      <c r="P217" s="144"/>
      <c r="Q217" s="144"/>
      <c r="R217" s="144"/>
      <c r="S217" s="144"/>
      <c r="T217" s="144"/>
      <c r="U217" s="144"/>
      <c r="V217" s="144"/>
      <c r="W217" s="144"/>
      <c r="Y217" s="144"/>
      <c r="Z217" s="144"/>
      <c r="AA217" s="144"/>
      <c r="AB217" s="144"/>
      <c r="AC217" s="144"/>
    </row>
    <row r="218" spans="1:29" x14ac:dyDescent="0.2">
      <c r="A218" s="144"/>
      <c r="B218" s="145"/>
      <c r="C218" s="144"/>
      <c r="D218" s="144"/>
      <c r="E218" s="144"/>
      <c r="F218" s="144"/>
      <c r="G218" s="144"/>
      <c r="H218" s="144"/>
      <c r="I218" s="144"/>
      <c r="J218" s="144"/>
      <c r="K218" s="144"/>
      <c r="M218" s="144"/>
      <c r="N218" s="144"/>
      <c r="O218" s="144"/>
      <c r="P218" s="144"/>
      <c r="Q218" s="144"/>
      <c r="R218" s="144"/>
      <c r="S218" s="144"/>
      <c r="T218" s="144"/>
      <c r="U218" s="144"/>
      <c r="V218" s="144"/>
      <c r="W218" s="144"/>
      <c r="Y218" s="144"/>
      <c r="Z218" s="144"/>
      <c r="AA218" s="144"/>
      <c r="AB218" s="144"/>
      <c r="AC218" s="144"/>
    </row>
    <row r="219" spans="1:29" x14ac:dyDescent="0.2">
      <c r="A219" s="144"/>
      <c r="B219" s="145"/>
      <c r="C219" s="144"/>
      <c r="D219" s="144"/>
      <c r="E219" s="144"/>
      <c r="F219" s="144"/>
      <c r="G219" s="144"/>
      <c r="H219" s="144"/>
      <c r="I219" s="144"/>
      <c r="J219" s="144"/>
      <c r="K219" s="144"/>
      <c r="M219" s="144"/>
      <c r="N219" s="144"/>
      <c r="O219" s="144"/>
      <c r="P219" s="144"/>
      <c r="Q219" s="144"/>
      <c r="R219" s="144"/>
      <c r="S219" s="144"/>
      <c r="T219" s="144"/>
      <c r="U219" s="144"/>
      <c r="V219" s="144"/>
      <c r="W219" s="144"/>
      <c r="Y219" s="144"/>
      <c r="Z219" s="144"/>
      <c r="AA219" s="144"/>
      <c r="AB219" s="144"/>
      <c r="AC219" s="144"/>
    </row>
    <row r="220" spans="1:29" x14ac:dyDescent="0.2">
      <c r="A220" s="144"/>
      <c r="B220" s="145"/>
      <c r="C220" s="144"/>
      <c r="D220" s="144"/>
      <c r="E220" s="144"/>
      <c r="F220" s="144"/>
      <c r="G220" s="144"/>
      <c r="H220" s="144"/>
      <c r="I220" s="144"/>
      <c r="J220" s="144"/>
      <c r="K220" s="144"/>
      <c r="M220" s="144"/>
      <c r="N220" s="144"/>
      <c r="O220" s="144"/>
      <c r="P220" s="144"/>
      <c r="Q220" s="144"/>
      <c r="R220" s="144"/>
      <c r="S220" s="144"/>
      <c r="T220" s="144"/>
      <c r="U220" s="144"/>
      <c r="V220" s="144"/>
      <c r="W220" s="144"/>
      <c r="Y220" s="144"/>
      <c r="Z220" s="144"/>
      <c r="AA220" s="144"/>
      <c r="AB220" s="144"/>
      <c r="AC220" s="144"/>
    </row>
    <row r="221" spans="1:29" x14ac:dyDescent="0.2">
      <c r="A221" s="144"/>
      <c r="B221" s="145"/>
      <c r="C221" s="144"/>
      <c r="D221" s="144"/>
      <c r="E221" s="144"/>
      <c r="F221" s="144"/>
      <c r="G221" s="144"/>
      <c r="H221" s="144"/>
      <c r="I221" s="144"/>
      <c r="J221" s="144"/>
      <c r="K221" s="144"/>
      <c r="M221" s="144"/>
      <c r="N221" s="144"/>
      <c r="O221" s="144"/>
      <c r="P221" s="144"/>
      <c r="Q221" s="144"/>
      <c r="R221" s="144"/>
      <c r="S221" s="144"/>
      <c r="T221" s="144"/>
      <c r="U221" s="144"/>
      <c r="V221" s="144"/>
      <c r="W221" s="144"/>
      <c r="Y221" s="144"/>
      <c r="Z221" s="144"/>
      <c r="AA221" s="144"/>
      <c r="AB221" s="144"/>
      <c r="AC221" s="144"/>
    </row>
    <row r="222" spans="1:29" x14ac:dyDescent="0.2">
      <c r="A222" s="144"/>
      <c r="B222" s="145"/>
      <c r="C222" s="144"/>
      <c r="D222" s="144"/>
      <c r="E222" s="144"/>
      <c r="F222" s="144"/>
      <c r="G222" s="144"/>
      <c r="H222" s="144"/>
      <c r="I222" s="144"/>
      <c r="J222" s="144"/>
      <c r="K222" s="144"/>
      <c r="M222" s="144"/>
      <c r="N222" s="144"/>
      <c r="O222" s="144"/>
      <c r="P222" s="144"/>
      <c r="Q222" s="144"/>
      <c r="R222" s="144"/>
      <c r="S222" s="144"/>
      <c r="T222" s="144"/>
      <c r="U222" s="144"/>
      <c r="V222" s="144"/>
      <c r="W222" s="144"/>
      <c r="Y222" s="144"/>
      <c r="Z222" s="144"/>
      <c r="AA222" s="144"/>
      <c r="AB222" s="144"/>
      <c r="AC222" s="144"/>
    </row>
    <row r="223" spans="1:29" x14ac:dyDescent="0.2">
      <c r="A223" s="144"/>
      <c r="B223" s="145"/>
      <c r="C223" s="144"/>
      <c r="D223" s="144"/>
      <c r="E223" s="144"/>
      <c r="F223" s="144"/>
      <c r="G223" s="144"/>
      <c r="H223" s="144"/>
      <c r="I223" s="144"/>
      <c r="J223" s="144"/>
      <c r="K223" s="144"/>
      <c r="M223" s="144"/>
      <c r="N223" s="144"/>
      <c r="O223" s="144"/>
      <c r="P223" s="144"/>
      <c r="Q223" s="144"/>
      <c r="R223" s="144"/>
      <c r="S223" s="144"/>
      <c r="T223" s="144"/>
      <c r="U223" s="144"/>
      <c r="V223" s="144"/>
      <c r="W223" s="144"/>
      <c r="Y223" s="144"/>
      <c r="Z223" s="144"/>
      <c r="AA223" s="144"/>
      <c r="AB223" s="144"/>
      <c r="AC223" s="144"/>
    </row>
    <row r="224" spans="1:29" x14ac:dyDescent="0.2">
      <c r="A224" s="144"/>
      <c r="B224" s="145"/>
      <c r="C224" s="144"/>
      <c r="D224" s="144"/>
      <c r="E224" s="144"/>
      <c r="F224" s="144"/>
      <c r="G224" s="144"/>
      <c r="H224" s="144"/>
      <c r="I224" s="144"/>
      <c r="J224" s="144"/>
      <c r="K224" s="144"/>
      <c r="M224" s="144"/>
      <c r="N224" s="144"/>
      <c r="O224" s="144"/>
      <c r="P224" s="144"/>
      <c r="Q224" s="144"/>
      <c r="R224" s="144"/>
      <c r="S224" s="144"/>
      <c r="T224" s="144"/>
      <c r="U224" s="144"/>
      <c r="V224" s="144"/>
      <c r="W224" s="144"/>
      <c r="Y224" s="144"/>
      <c r="Z224" s="144"/>
      <c r="AA224" s="144"/>
      <c r="AB224" s="144"/>
      <c r="AC224" s="144"/>
    </row>
    <row r="225" spans="1:29" x14ac:dyDescent="0.2">
      <c r="A225" s="144"/>
      <c r="B225" s="145"/>
      <c r="C225" s="144"/>
      <c r="D225" s="144"/>
      <c r="E225" s="144"/>
      <c r="F225" s="144"/>
      <c r="G225" s="144"/>
      <c r="H225" s="144"/>
      <c r="I225" s="144"/>
      <c r="J225" s="144"/>
      <c r="K225" s="144"/>
      <c r="M225" s="144"/>
      <c r="N225" s="144"/>
      <c r="O225" s="144"/>
      <c r="P225" s="144"/>
      <c r="Q225" s="144"/>
      <c r="R225" s="144"/>
      <c r="S225" s="144"/>
      <c r="T225" s="144"/>
      <c r="U225" s="144"/>
      <c r="V225" s="144"/>
      <c r="W225" s="144"/>
      <c r="Y225" s="144"/>
      <c r="Z225" s="144"/>
      <c r="AA225" s="144"/>
      <c r="AB225" s="144"/>
      <c r="AC225" s="144"/>
    </row>
    <row r="226" spans="1:29" x14ac:dyDescent="0.2">
      <c r="A226" s="144"/>
      <c r="B226" s="145"/>
      <c r="C226" s="144"/>
      <c r="D226" s="144"/>
      <c r="E226" s="144"/>
      <c r="F226" s="144"/>
      <c r="G226" s="144"/>
      <c r="H226" s="144"/>
      <c r="I226" s="144"/>
      <c r="J226" s="144"/>
      <c r="K226" s="144"/>
      <c r="M226" s="144"/>
      <c r="N226" s="144"/>
      <c r="O226" s="144"/>
      <c r="P226" s="144"/>
      <c r="Q226" s="144"/>
      <c r="R226" s="144"/>
      <c r="S226" s="144"/>
      <c r="T226" s="144"/>
      <c r="U226" s="144"/>
      <c r="V226" s="144"/>
      <c r="W226" s="144"/>
      <c r="Y226" s="144"/>
      <c r="Z226" s="144"/>
      <c r="AA226" s="144"/>
      <c r="AB226" s="144"/>
      <c r="AC226" s="144"/>
    </row>
    <row r="227" spans="1:29" x14ac:dyDescent="0.2">
      <c r="A227" s="144"/>
      <c r="B227" s="145"/>
      <c r="C227" s="144"/>
      <c r="D227" s="144"/>
      <c r="E227" s="144"/>
      <c r="F227" s="144"/>
      <c r="G227" s="144"/>
      <c r="H227" s="144"/>
      <c r="I227" s="144"/>
      <c r="J227" s="144"/>
      <c r="K227" s="144"/>
      <c r="M227" s="144"/>
      <c r="N227" s="144"/>
      <c r="O227" s="144"/>
      <c r="P227" s="144"/>
      <c r="Q227" s="144"/>
      <c r="R227" s="144"/>
      <c r="S227" s="144"/>
      <c r="T227" s="144"/>
      <c r="U227" s="144"/>
      <c r="V227" s="144"/>
      <c r="W227" s="144"/>
      <c r="Y227" s="144"/>
      <c r="Z227" s="144"/>
      <c r="AA227" s="144"/>
      <c r="AB227" s="144"/>
      <c r="AC227" s="144"/>
    </row>
    <row r="228" spans="1:29" x14ac:dyDescent="0.2">
      <c r="A228" s="144"/>
      <c r="B228" s="145"/>
      <c r="C228" s="144"/>
      <c r="D228" s="144"/>
      <c r="E228" s="144"/>
      <c r="F228" s="144"/>
      <c r="G228" s="144"/>
      <c r="H228" s="144"/>
      <c r="I228" s="144"/>
      <c r="J228" s="144"/>
      <c r="K228" s="144"/>
      <c r="M228" s="144"/>
      <c r="N228" s="144"/>
      <c r="O228" s="144"/>
      <c r="P228" s="144"/>
      <c r="Q228" s="144"/>
      <c r="R228" s="144"/>
      <c r="S228" s="144"/>
      <c r="T228" s="144"/>
      <c r="U228" s="144"/>
      <c r="V228" s="144"/>
      <c r="W228" s="144"/>
      <c r="Y228" s="144"/>
      <c r="Z228" s="144"/>
      <c r="AA228" s="144"/>
      <c r="AB228" s="144"/>
      <c r="AC228" s="144"/>
    </row>
    <row r="229" spans="1:29" x14ac:dyDescent="0.2">
      <c r="A229" s="144"/>
      <c r="B229" s="145"/>
      <c r="C229" s="144"/>
      <c r="D229" s="144"/>
      <c r="E229" s="144"/>
      <c r="F229" s="144"/>
      <c r="G229" s="144"/>
      <c r="H229" s="144"/>
      <c r="I229" s="144"/>
      <c r="J229" s="144"/>
      <c r="K229" s="144"/>
      <c r="M229" s="144"/>
      <c r="N229" s="144"/>
      <c r="O229" s="144"/>
      <c r="P229" s="144"/>
      <c r="Q229" s="144"/>
      <c r="R229" s="144"/>
      <c r="S229" s="144"/>
      <c r="T229" s="144"/>
      <c r="U229" s="144"/>
      <c r="V229" s="144"/>
      <c r="W229" s="144"/>
      <c r="Y229" s="144"/>
      <c r="Z229" s="144"/>
      <c r="AA229" s="144"/>
      <c r="AB229" s="144"/>
      <c r="AC229" s="144"/>
    </row>
    <row r="230" spans="1:29" x14ac:dyDescent="0.2">
      <c r="A230" s="144"/>
      <c r="B230" s="145"/>
      <c r="C230" s="144"/>
      <c r="D230" s="144"/>
      <c r="E230" s="144"/>
      <c r="F230" s="144"/>
      <c r="G230" s="144"/>
      <c r="H230" s="144"/>
      <c r="I230" s="144"/>
      <c r="J230" s="144"/>
      <c r="K230" s="144"/>
      <c r="M230" s="144"/>
      <c r="N230" s="144"/>
      <c r="O230" s="144"/>
      <c r="P230" s="144"/>
      <c r="Q230" s="144"/>
      <c r="R230" s="144"/>
      <c r="S230" s="144"/>
      <c r="T230" s="144"/>
      <c r="U230" s="144"/>
      <c r="V230" s="144"/>
      <c r="W230" s="144"/>
      <c r="Y230" s="144"/>
      <c r="Z230" s="144"/>
      <c r="AA230" s="144"/>
      <c r="AB230" s="144"/>
      <c r="AC230" s="144"/>
    </row>
    <row r="231" spans="1:29" x14ac:dyDescent="0.2">
      <c r="A231" s="144"/>
      <c r="B231" s="145"/>
      <c r="C231" s="144"/>
      <c r="D231" s="144"/>
      <c r="E231" s="144"/>
      <c r="F231" s="144"/>
      <c r="G231" s="144"/>
      <c r="H231" s="144"/>
      <c r="I231" s="144"/>
      <c r="J231" s="144"/>
      <c r="K231" s="144"/>
      <c r="M231" s="144"/>
      <c r="N231" s="144"/>
      <c r="O231" s="144"/>
      <c r="P231" s="144"/>
      <c r="Q231" s="144"/>
      <c r="R231" s="144"/>
      <c r="S231" s="144"/>
      <c r="T231" s="144"/>
      <c r="U231" s="144"/>
      <c r="V231" s="144"/>
      <c r="W231" s="144"/>
      <c r="Y231" s="144"/>
      <c r="Z231" s="144"/>
      <c r="AA231" s="144"/>
      <c r="AB231" s="144"/>
      <c r="AC231" s="144"/>
    </row>
    <row r="232" spans="1:29" x14ac:dyDescent="0.2">
      <c r="A232" s="144"/>
      <c r="B232" s="145"/>
      <c r="C232" s="144"/>
      <c r="D232" s="144"/>
      <c r="E232" s="144"/>
      <c r="F232" s="144"/>
      <c r="G232" s="144"/>
      <c r="H232" s="144"/>
      <c r="I232" s="144"/>
      <c r="J232" s="144"/>
      <c r="K232" s="144"/>
      <c r="M232" s="144"/>
      <c r="N232" s="144"/>
      <c r="O232" s="144"/>
      <c r="P232" s="144"/>
      <c r="Q232" s="144"/>
      <c r="R232" s="144"/>
      <c r="S232" s="144"/>
      <c r="T232" s="144"/>
      <c r="U232" s="144"/>
      <c r="V232" s="144"/>
      <c r="W232" s="144"/>
      <c r="Y232" s="144"/>
      <c r="Z232" s="144"/>
      <c r="AA232" s="144"/>
      <c r="AB232" s="144"/>
      <c r="AC232" s="144"/>
    </row>
    <row r="233" spans="1:29" x14ac:dyDescent="0.2">
      <c r="A233" s="144"/>
      <c r="B233" s="145"/>
      <c r="C233" s="144"/>
      <c r="D233" s="144"/>
      <c r="E233" s="144"/>
      <c r="F233" s="144"/>
      <c r="G233" s="144"/>
      <c r="H233" s="144"/>
      <c r="I233" s="144"/>
      <c r="J233" s="144"/>
      <c r="K233" s="144"/>
      <c r="M233" s="144"/>
      <c r="N233" s="144"/>
      <c r="O233" s="144"/>
      <c r="P233" s="144"/>
      <c r="Q233" s="144"/>
      <c r="R233" s="144"/>
      <c r="S233" s="144"/>
      <c r="T233" s="144"/>
      <c r="U233" s="144"/>
      <c r="V233" s="144"/>
      <c r="W233" s="144"/>
      <c r="Y233" s="144"/>
      <c r="Z233" s="144"/>
      <c r="AA233" s="144"/>
      <c r="AB233" s="144"/>
      <c r="AC233" s="144"/>
    </row>
    <row r="234" spans="1:29" x14ac:dyDescent="0.2">
      <c r="A234" s="144"/>
      <c r="B234" s="145"/>
      <c r="C234" s="144"/>
      <c r="D234" s="144"/>
      <c r="E234" s="144"/>
      <c r="F234" s="144"/>
      <c r="G234" s="144"/>
      <c r="H234" s="144"/>
      <c r="I234" s="144"/>
      <c r="J234" s="144"/>
      <c r="K234" s="144"/>
      <c r="M234" s="144"/>
      <c r="N234" s="144"/>
      <c r="O234" s="144"/>
      <c r="P234" s="144"/>
      <c r="Q234" s="144"/>
      <c r="R234" s="144"/>
      <c r="S234" s="144"/>
      <c r="T234" s="144"/>
      <c r="U234" s="144"/>
      <c r="V234" s="144"/>
      <c r="W234" s="144"/>
      <c r="Y234" s="144"/>
      <c r="Z234" s="144"/>
      <c r="AA234" s="144"/>
      <c r="AB234" s="144"/>
      <c r="AC234" s="144"/>
    </row>
    <row r="235" spans="1:29" x14ac:dyDescent="0.2">
      <c r="A235" s="144"/>
      <c r="B235" s="145"/>
      <c r="C235" s="144"/>
      <c r="D235" s="144"/>
      <c r="E235" s="144"/>
      <c r="F235" s="144"/>
      <c r="G235" s="144"/>
      <c r="H235" s="144"/>
      <c r="I235" s="144"/>
      <c r="J235" s="144"/>
      <c r="K235" s="144"/>
      <c r="M235" s="144"/>
      <c r="N235" s="144"/>
      <c r="O235" s="144"/>
      <c r="P235" s="144"/>
      <c r="Q235" s="144"/>
      <c r="R235" s="144"/>
      <c r="S235" s="144"/>
      <c r="T235" s="144"/>
      <c r="U235" s="144"/>
      <c r="V235" s="144"/>
      <c r="W235" s="144"/>
      <c r="Y235" s="144"/>
      <c r="Z235" s="144"/>
      <c r="AA235" s="144"/>
      <c r="AB235" s="144"/>
      <c r="AC235" s="144"/>
    </row>
    <row r="236" spans="1:29" x14ac:dyDescent="0.2">
      <c r="A236" s="144"/>
      <c r="B236" s="145"/>
      <c r="C236" s="144"/>
      <c r="D236" s="144"/>
      <c r="E236" s="144"/>
      <c r="F236" s="144"/>
      <c r="G236" s="144"/>
      <c r="H236" s="144"/>
      <c r="I236" s="144"/>
      <c r="J236" s="144"/>
      <c r="K236" s="144"/>
      <c r="M236" s="144"/>
      <c r="N236" s="144"/>
      <c r="O236" s="144"/>
      <c r="P236" s="144"/>
      <c r="Q236" s="144"/>
      <c r="R236" s="144"/>
      <c r="S236" s="144"/>
      <c r="T236" s="144"/>
      <c r="U236" s="144"/>
      <c r="V236" s="144"/>
      <c r="W236" s="144"/>
      <c r="Y236" s="144"/>
      <c r="Z236" s="144"/>
      <c r="AA236" s="144"/>
      <c r="AB236" s="144"/>
      <c r="AC236" s="144"/>
    </row>
    <row r="237" spans="1:29" x14ac:dyDescent="0.2">
      <c r="A237" s="144"/>
      <c r="B237" s="145"/>
      <c r="C237" s="144"/>
      <c r="D237" s="144"/>
      <c r="E237" s="144"/>
      <c r="F237" s="144"/>
      <c r="G237" s="144"/>
      <c r="H237" s="144"/>
      <c r="I237" s="144"/>
      <c r="J237" s="144"/>
      <c r="K237" s="144"/>
      <c r="M237" s="144"/>
      <c r="N237" s="144"/>
      <c r="O237" s="144"/>
      <c r="P237" s="144"/>
      <c r="Q237" s="144"/>
      <c r="R237" s="144"/>
      <c r="S237" s="144"/>
      <c r="T237" s="144"/>
      <c r="U237" s="144"/>
      <c r="V237" s="144"/>
      <c r="W237" s="144"/>
      <c r="Y237" s="144"/>
      <c r="Z237" s="144"/>
      <c r="AA237" s="144"/>
      <c r="AB237" s="144"/>
      <c r="AC237" s="144"/>
    </row>
    <row r="238" spans="1:29" x14ac:dyDescent="0.2">
      <c r="A238" s="144"/>
      <c r="B238" s="145"/>
      <c r="C238" s="144"/>
      <c r="D238" s="144"/>
      <c r="E238" s="144"/>
      <c r="F238" s="144"/>
      <c r="G238" s="144"/>
      <c r="H238" s="144"/>
      <c r="I238" s="144"/>
      <c r="J238" s="144"/>
      <c r="K238" s="144"/>
      <c r="M238" s="144"/>
      <c r="N238" s="144"/>
      <c r="O238" s="144"/>
      <c r="P238" s="144"/>
      <c r="Q238" s="144"/>
      <c r="R238" s="144"/>
      <c r="S238" s="144"/>
      <c r="T238" s="144"/>
      <c r="U238" s="144"/>
      <c r="V238" s="144"/>
      <c r="W238" s="144"/>
      <c r="Y238" s="144"/>
      <c r="Z238" s="144"/>
      <c r="AA238" s="144"/>
      <c r="AB238" s="144"/>
      <c r="AC238" s="144"/>
    </row>
    <row r="239" spans="1:29" x14ac:dyDescent="0.2">
      <c r="A239" s="144"/>
      <c r="B239" s="145"/>
      <c r="C239" s="144"/>
      <c r="D239" s="144"/>
      <c r="E239" s="144"/>
      <c r="F239" s="144"/>
      <c r="G239" s="144"/>
      <c r="H239" s="144"/>
      <c r="I239" s="144"/>
      <c r="J239" s="144"/>
      <c r="K239" s="144"/>
      <c r="M239" s="144"/>
      <c r="N239" s="144"/>
      <c r="O239" s="144"/>
      <c r="P239" s="144"/>
      <c r="Q239" s="144"/>
      <c r="R239" s="144"/>
      <c r="S239" s="144"/>
      <c r="T239" s="144"/>
      <c r="U239" s="144"/>
      <c r="V239" s="144"/>
      <c r="W239" s="144"/>
      <c r="Y239" s="144"/>
      <c r="Z239" s="144"/>
      <c r="AA239" s="144"/>
      <c r="AB239" s="144"/>
      <c r="AC239" s="144"/>
    </row>
    <row r="240" spans="1:29" x14ac:dyDescent="0.2">
      <c r="A240" s="144"/>
      <c r="B240" s="145"/>
      <c r="C240" s="144"/>
      <c r="D240" s="144"/>
      <c r="E240" s="144"/>
      <c r="F240" s="144"/>
      <c r="G240" s="144"/>
      <c r="H240" s="144"/>
      <c r="I240" s="144"/>
      <c r="J240" s="144"/>
      <c r="K240" s="144"/>
      <c r="M240" s="144"/>
      <c r="N240" s="144"/>
      <c r="O240" s="144"/>
      <c r="P240" s="144"/>
      <c r="Q240" s="144"/>
      <c r="R240" s="144"/>
      <c r="S240" s="144"/>
      <c r="T240" s="144"/>
      <c r="U240" s="144"/>
      <c r="V240" s="144"/>
      <c r="W240" s="144"/>
      <c r="Y240" s="144"/>
      <c r="Z240" s="144"/>
      <c r="AA240" s="144"/>
      <c r="AB240" s="144"/>
      <c r="AC240" s="144"/>
    </row>
    <row r="241" spans="1:29" x14ac:dyDescent="0.2">
      <c r="A241" s="144"/>
      <c r="B241" s="145"/>
      <c r="C241" s="144"/>
      <c r="D241" s="144"/>
      <c r="E241" s="144"/>
      <c r="F241" s="144"/>
      <c r="G241" s="144"/>
      <c r="H241" s="144"/>
      <c r="I241" s="144"/>
      <c r="J241" s="144"/>
      <c r="K241" s="144"/>
      <c r="M241" s="144"/>
      <c r="N241" s="144"/>
      <c r="O241" s="144"/>
      <c r="P241" s="144"/>
      <c r="Q241" s="144"/>
      <c r="R241" s="144"/>
      <c r="S241" s="144"/>
      <c r="T241" s="144"/>
      <c r="U241" s="144"/>
      <c r="V241" s="144"/>
      <c r="W241" s="144"/>
      <c r="Y241" s="144"/>
      <c r="Z241" s="144"/>
      <c r="AA241" s="144"/>
      <c r="AB241" s="144"/>
      <c r="AC241" s="144"/>
    </row>
    <row r="242" spans="1:29" x14ac:dyDescent="0.2">
      <c r="A242" s="144"/>
      <c r="B242" s="145"/>
      <c r="C242" s="144"/>
      <c r="D242" s="144"/>
      <c r="E242" s="144"/>
      <c r="F242" s="144"/>
      <c r="G242" s="144"/>
      <c r="H242" s="144"/>
      <c r="I242" s="144"/>
      <c r="J242" s="144"/>
      <c r="K242" s="144"/>
      <c r="M242" s="144"/>
      <c r="N242" s="144"/>
      <c r="O242" s="144"/>
      <c r="P242" s="144"/>
      <c r="Q242" s="144"/>
      <c r="R242" s="144"/>
      <c r="S242" s="144"/>
      <c r="T242" s="144"/>
      <c r="U242" s="144"/>
      <c r="V242" s="144"/>
      <c r="W242" s="144"/>
      <c r="Y242" s="144"/>
      <c r="Z242" s="144"/>
      <c r="AA242" s="144"/>
      <c r="AB242" s="144"/>
      <c r="AC242" s="144"/>
    </row>
    <row r="243" spans="1:29" x14ac:dyDescent="0.2">
      <c r="A243" s="144"/>
      <c r="B243" s="145"/>
      <c r="C243" s="144"/>
      <c r="D243" s="144"/>
      <c r="E243" s="144"/>
      <c r="F243" s="144"/>
      <c r="G243" s="144"/>
      <c r="H243" s="144"/>
      <c r="I243" s="144"/>
      <c r="J243" s="144"/>
      <c r="K243" s="144"/>
      <c r="M243" s="144"/>
      <c r="N243" s="144"/>
      <c r="O243" s="144"/>
      <c r="P243" s="144"/>
      <c r="Q243" s="144"/>
      <c r="R243" s="144"/>
      <c r="S243" s="144"/>
      <c r="T243" s="144"/>
      <c r="U243" s="144"/>
      <c r="V243" s="144"/>
      <c r="W243" s="144"/>
      <c r="Y243" s="144"/>
      <c r="Z243" s="144"/>
      <c r="AA243" s="144"/>
      <c r="AB243" s="144"/>
      <c r="AC243" s="144"/>
    </row>
    <row r="244" spans="1:29" x14ac:dyDescent="0.2">
      <c r="A244" s="144"/>
      <c r="B244" s="145"/>
      <c r="C244" s="144"/>
      <c r="D244" s="144"/>
      <c r="E244" s="144"/>
      <c r="F244" s="144"/>
      <c r="G244" s="144"/>
      <c r="H244" s="144"/>
      <c r="I244" s="144"/>
      <c r="J244" s="144"/>
      <c r="K244" s="144"/>
      <c r="M244" s="144"/>
      <c r="N244" s="144"/>
      <c r="O244" s="144"/>
      <c r="P244" s="144"/>
      <c r="Q244" s="144"/>
      <c r="R244" s="144"/>
      <c r="S244" s="144"/>
      <c r="T244" s="144"/>
      <c r="U244" s="144"/>
      <c r="V244" s="144"/>
      <c r="W244" s="144"/>
      <c r="Y244" s="144"/>
      <c r="Z244" s="144"/>
      <c r="AA244" s="144"/>
      <c r="AB244" s="144"/>
      <c r="AC244" s="144"/>
    </row>
    <row r="245" spans="1:29" x14ac:dyDescent="0.2">
      <c r="A245" s="144"/>
      <c r="B245" s="145"/>
      <c r="C245" s="144"/>
      <c r="D245" s="144"/>
      <c r="E245" s="144"/>
      <c r="F245" s="144"/>
      <c r="G245" s="144"/>
      <c r="H245" s="144"/>
      <c r="I245" s="144"/>
      <c r="J245" s="144"/>
      <c r="K245" s="144"/>
      <c r="M245" s="144"/>
      <c r="N245" s="144"/>
      <c r="O245" s="144"/>
      <c r="P245" s="144"/>
      <c r="Q245" s="144"/>
      <c r="R245" s="144"/>
      <c r="S245" s="144"/>
      <c r="T245" s="144"/>
      <c r="U245" s="144"/>
      <c r="V245" s="144"/>
      <c r="W245" s="144"/>
      <c r="Y245" s="144"/>
      <c r="Z245" s="144"/>
      <c r="AA245" s="144"/>
      <c r="AB245" s="144"/>
      <c r="AC245" s="144"/>
    </row>
    <row r="246" spans="1:29" x14ac:dyDescent="0.2">
      <c r="A246" s="144"/>
      <c r="B246" s="145"/>
      <c r="C246" s="144"/>
      <c r="D246" s="144"/>
      <c r="E246" s="144"/>
      <c r="F246" s="144"/>
      <c r="G246" s="144"/>
      <c r="H246" s="144"/>
      <c r="I246" s="144"/>
      <c r="J246" s="144"/>
      <c r="K246" s="144"/>
      <c r="M246" s="144"/>
      <c r="N246" s="144"/>
      <c r="O246" s="144"/>
      <c r="P246" s="144"/>
      <c r="Q246" s="144"/>
      <c r="R246" s="144"/>
      <c r="S246" s="144"/>
      <c r="T246" s="144"/>
      <c r="U246" s="144"/>
      <c r="V246" s="144"/>
      <c r="W246" s="144"/>
      <c r="Y246" s="144"/>
      <c r="Z246" s="144"/>
      <c r="AA246" s="144"/>
      <c r="AB246" s="144"/>
      <c r="AC246" s="144"/>
    </row>
    <row r="247" spans="1:29" x14ac:dyDescent="0.2">
      <c r="A247" s="144"/>
      <c r="B247" s="145"/>
      <c r="C247" s="144"/>
      <c r="D247" s="144"/>
      <c r="E247" s="144"/>
      <c r="F247" s="144"/>
      <c r="G247" s="144"/>
      <c r="H247" s="144"/>
      <c r="I247" s="144"/>
      <c r="J247" s="144"/>
      <c r="K247" s="144"/>
      <c r="M247" s="144"/>
      <c r="N247" s="144"/>
      <c r="O247" s="144"/>
      <c r="P247" s="144"/>
      <c r="Q247" s="144"/>
      <c r="R247" s="144"/>
      <c r="S247" s="144"/>
      <c r="T247" s="144"/>
      <c r="U247" s="144"/>
      <c r="V247" s="144"/>
      <c r="W247" s="144"/>
      <c r="Y247" s="144"/>
      <c r="Z247" s="144"/>
      <c r="AA247" s="144"/>
      <c r="AB247" s="144"/>
      <c r="AC247" s="144"/>
    </row>
    <row r="248" spans="1:29" x14ac:dyDescent="0.2">
      <c r="A248" s="144"/>
      <c r="B248" s="145"/>
      <c r="C248" s="144"/>
      <c r="D248" s="144"/>
      <c r="E248" s="144"/>
      <c r="F248" s="144"/>
      <c r="G248" s="144"/>
      <c r="H248" s="144"/>
      <c r="I248" s="144"/>
      <c r="J248" s="144"/>
      <c r="K248" s="144"/>
      <c r="M248" s="144"/>
      <c r="N248" s="144"/>
      <c r="O248" s="144"/>
      <c r="P248" s="144"/>
      <c r="Q248" s="144"/>
      <c r="R248" s="144"/>
      <c r="S248" s="144"/>
      <c r="T248" s="144"/>
      <c r="U248" s="144"/>
      <c r="V248" s="144"/>
      <c r="W248" s="144"/>
      <c r="Y248" s="144"/>
      <c r="Z248" s="144"/>
      <c r="AA248" s="144"/>
      <c r="AB248" s="144"/>
      <c r="AC248" s="144"/>
    </row>
    <row r="249" spans="1:29" x14ac:dyDescent="0.2">
      <c r="A249" s="144"/>
      <c r="B249" s="145"/>
      <c r="C249" s="144"/>
      <c r="D249" s="144"/>
      <c r="E249" s="144"/>
      <c r="F249" s="144"/>
      <c r="G249" s="144"/>
      <c r="H249" s="144"/>
      <c r="I249" s="144"/>
      <c r="J249" s="144"/>
      <c r="K249" s="144"/>
      <c r="M249" s="144"/>
      <c r="N249" s="144"/>
      <c r="O249" s="144"/>
      <c r="P249" s="144"/>
      <c r="Q249" s="144"/>
      <c r="R249" s="144"/>
      <c r="S249" s="144"/>
      <c r="T249" s="144"/>
      <c r="U249" s="144"/>
      <c r="V249" s="144"/>
      <c r="W249" s="144"/>
      <c r="Y249" s="144"/>
      <c r="Z249" s="144"/>
      <c r="AA249" s="144"/>
      <c r="AB249" s="144"/>
      <c r="AC249" s="144"/>
    </row>
    <row r="250" spans="1:29" x14ac:dyDescent="0.2">
      <c r="A250" s="144"/>
      <c r="B250" s="145"/>
      <c r="C250" s="144"/>
      <c r="D250" s="144"/>
      <c r="E250" s="144"/>
      <c r="F250" s="144"/>
      <c r="G250" s="144"/>
      <c r="H250" s="144"/>
      <c r="I250" s="144"/>
      <c r="J250" s="144"/>
      <c r="K250" s="144"/>
      <c r="M250" s="144"/>
      <c r="N250" s="144"/>
      <c r="O250" s="144"/>
      <c r="P250" s="144"/>
      <c r="Q250" s="144"/>
      <c r="R250" s="144"/>
      <c r="S250" s="144"/>
      <c r="T250" s="144"/>
      <c r="U250" s="144"/>
      <c r="V250" s="144"/>
      <c r="W250" s="144"/>
      <c r="Y250" s="144"/>
      <c r="Z250" s="144"/>
      <c r="AA250" s="144"/>
      <c r="AB250" s="144"/>
      <c r="AC250" s="144"/>
    </row>
    <row r="251" spans="1:29" x14ac:dyDescent="0.2">
      <c r="A251" s="144"/>
      <c r="B251" s="145"/>
      <c r="C251" s="144"/>
      <c r="D251" s="144"/>
      <c r="E251" s="144"/>
      <c r="F251" s="144"/>
      <c r="G251" s="144"/>
      <c r="H251" s="144"/>
      <c r="I251" s="144"/>
      <c r="J251" s="144"/>
      <c r="K251" s="144"/>
      <c r="M251" s="144"/>
      <c r="N251" s="144"/>
      <c r="O251" s="144"/>
      <c r="P251" s="144"/>
      <c r="Q251" s="144"/>
      <c r="R251" s="144"/>
      <c r="S251" s="144"/>
      <c r="T251" s="144"/>
      <c r="U251" s="144"/>
      <c r="V251" s="144"/>
      <c r="W251" s="144"/>
      <c r="Y251" s="144"/>
      <c r="Z251" s="144"/>
      <c r="AA251" s="144"/>
      <c r="AB251" s="144"/>
      <c r="AC251" s="144"/>
    </row>
    <row r="252" spans="1:29" x14ac:dyDescent="0.2">
      <c r="A252" s="144"/>
      <c r="B252" s="145"/>
      <c r="C252" s="144"/>
      <c r="D252" s="144"/>
      <c r="E252" s="144"/>
      <c r="F252" s="144"/>
      <c r="G252" s="144"/>
      <c r="H252" s="144"/>
      <c r="I252" s="144"/>
      <c r="J252" s="144"/>
      <c r="K252" s="144"/>
      <c r="M252" s="144"/>
      <c r="N252" s="144"/>
      <c r="O252" s="144"/>
      <c r="P252" s="144"/>
      <c r="Q252" s="144"/>
      <c r="R252" s="144"/>
      <c r="S252" s="144"/>
      <c r="T252" s="144"/>
      <c r="U252" s="144"/>
      <c r="V252" s="144"/>
      <c r="W252" s="144"/>
      <c r="Y252" s="144"/>
      <c r="Z252" s="144"/>
      <c r="AA252" s="144"/>
      <c r="AB252" s="144"/>
      <c r="AC252" s="144"/>
    </row>
    <row r="253" spans="1:29" x14ac:dyDescent="0.2">
      <c r="A253" s="144"/>
      <c r="B253" s="145"/>
      <c r="C253" s="144"/>
      <c r="D253" s="144"/>
      <c r="E253" s="144"/>
      <c r="F253" s="144"/>
      <c r="G253" s="144"/>
      <c r="H253" s="144"/>
      <c r="I253" s="144"/>
      <c r="J253" s="144"/>
      <c r="K253" s="144"/>
      <c r="M253" s="144"/>
      <c r="N253" s="144"/>
      <c r="O253" s="144"/>
      <c r="P253" s="144"/>
      <c r="Q253" s="144"/>
      <c r="R253" s="144"/>
      <c r="S253" s="144"/>
      <c r="T253" s="144"/>
      <c r="U253" s="144"/>
      <c r="V253" s="144"/>
      <c r="W253" s="144"/>
      <c r="Y253" s="144"/>
      <c r="Z253" s="144"/>
      <c r="AA253" s="144"/>
      <c r="AB253" s="144"/>
      <c r="AC253" s="144"/>
    </row>
    <row r="254" spans="1:29" x14ac:dyDescent="0.2">
      <c r="A254" s="144"/>
      <c r="B254" s="145"/>
      <c r="C254" s="144"/>
      <c r="D254" s="144"/>
      <c r="E254" s="144"/>
      <c r="F254" s="144"/>
      <c r="G254" s="144"/>
      <c r="H254" s="144"/>
      <c r="I254" s="144"/>
      <c r="J254" s="144"/>
      <c r="K254" s="144"/>
      <c r="M254" s="144"/>
      <c r="N254" s="144"/>
      <c r="O254" s="144"/>
      <c r="P254" s="144"/>
      <c r="Q254" s="144"/>
      <c r="R254" s="144"/>
      <c r="S254" s="144"/>
      <c r="T254" s="144"/>
      <c r="U254" s="144"/>
      <c r="V254" s="144"/>
      <c r="W254" s="144"/>
      <c r="Y254" s="144"/>
      <c r="Z254" s="144"/>
      <c r="AA254" s="144"/>
      <c r="AB254" s="144"/>
      <c r="AC254" s="144"/>
    </row>
    <row r="255" spans="1:29" x14ac:dyDescent="0.2">
      <c r="A255" s="144"/>
      <c r="B255" s="145"/>
      <c r="C255" s="144"/>
      <c r="D255" s="144"/>
      <c r="E255" s="144"/>
      <c r="F255" s="144"/>
      <c r="G255" s="144"/>
      <c r="H255" s="144"/>
      <c r="I255" s="144"/>
      <c r="J255" s="144"/>
      <c r="K255" s="144"/>
      <c r="M255" s="144"/>
      <c r="N255" s="144"/>
      <c r="O255" s="144"/>
      <c r="P255" s="144"/>
      <c r="Q255" s="144"/>
      <c r="R255" s="144"/>
      <c r="S255" s="144"/>
      <c r="T255" s="144"/>
      <c r="U255" s="144"/>
      <c r="V255" s="144"/>
      <c r="W255" s="144"/>
      <c r="Y255" s="144"/>
      <c r="Z255" s="144"/>
      <c r="AA255" s="144"/>
      <c r="AB255" s="144"/>
      <c r="AC255" s="144"/>
    </row>
    <row r="256" spans="1:29" x14ac:dyDescent="0.2">
      <c r="A256" s="144"/>
      <c r="B256" s="145"/>
      <c r="C256" s="144"/>
      <c r="D256" s="144"/>
      <c r="E256" s="144"/>
      <c r="F256" s="144"/>
      <c r="G256" s="144"/>
      <c r="H256" s="144"/>
      <c r="I256" s="144"/>
      <c r="J256" s="144"/>
      <c r="K256" s="144"/>
      <c r="M256" s="144"/>
      <c r="N256" s="144"/>
      <c r="O256" s="144"/>
      <c r="P256" s="144"/>
      <c r="Q256" s="144"/>
      <c r="R256" s="144"/>
      <c r="S256" s="144"/>
      <c r="T256" s="144"/>
      <c r="U256" s="144"/>
      <c r="V256" s="144"/>
      <c r="W256" s="144"/>
      <c r="Y256" s="144"/>
      <c r="Z256" s="144"/>
      <c r="AA256" s="144"/>
      <c r="AB256" s="144"/>
      <c r="AC256" s="144"/>
    </row>
    <row r="257" spans="1:29" x14ac:dyDescent="0.2">
      <c r="A257" s="144"/>
      <c r="B257" s="145"/>
      <c r="C257" s="144"/>
      <c r="D257" s="144"/>
      <c r="E257" s="144"/>
      <c r="F257" s="144"/>
      <c r="G257" s="144"/>
      <c r="H257" s="144"/>
      <c r="I257" s="144"/>
      <c r="J257" s="144"/>
      <c r="K257" s="144"/>
      <c r="M257" s="144"/>
      <c r="N257" s="144"/>
      <c r="O257" s="144"/>
      <c r="P257" s="144"/>
      <c r="Q257" s="144"/>
      <c r="R257" s="144"/>
      <c r="S257" s="144"/>
      <c r="T257" s="144"/>
      <c r="U257" s="144"/>
      <c r="V257" s="144"/>
      <c r="W257" s="144"/>
      <c r="Y257" s="144"/>
      <c r="Z257" s="144"/>
      <c r="AA257" s="144"/>
      <c r="AB257" s="144"/>
      <c r="AC257" s="144"/>
    </row>
    <row r="258" spans="1:29" x14ac:dyDescent="0.2">
      <c r="A258" s="144"/>
      <c r="B258" s="145"/>
      <c r="C258" s="144"/>
      <c r="D258" s="144"/>
      <c r="E258" s="144"/>
      <c r="F258" s="144"/>
      <c r="G258" s="144"/>
      <c r="H258" s="144"/>
      <c r="I258" s="144"/>
      <c r="J258" s="144"/>
      <c r="K258" s="144"/>
      <c r="M258" s="144"/>
      <c r="N258" s="144"/>
      <c r="O258" s="144"/>
      <c r="P258" s="144"/>
      <c r="Q258" s="144"/>
      <c r="R258" s="144"/>
      <c r="S258" s="144"/>
      <c r="T258" s="144"/>
      <c r="U258" s="144"/>
      <c r="V258" s="144"/>
      <c r="W258" s="144"/>
      <c r="Y258" s="144"/>
      <c r="Z258" s="144"/>
      <c r="AA258" s="144"/>
      <c r="AB258" s="144"/>
      <c r="AC258" s="144"/>
    </row>
    <row r="259" spans="1:29" x14ac:dyDescent="0.2">
      <c r="A259" s="144"/>
      <c r="B259" s="145"/>
      <c r="C259" s="144"/>
      <c r="D259" s="144"/>
      <c r="E259" s="144"/>
      <c r="F259" s="144"/>
      <c r="G259" s="144"/>
      <c r="H259" s="144"/>
      <c r="I259" s="144"/>
      <c r="J259" s="144"/>
      <c r="K259" s="144"/>
      <c r="M259" s="144"/>
      <c r="N259" s="144"/>
      <c r="O259" s="144"/>
      <c r="P259" s="144"/>
      <c r="Q259" s="144"/>
      <c r="R259" s="144"/>
      <c r="S259" s="144"/>
      <c r="T259" s="144"/>
      <c r="U259" s="144"/>
      <c r="V259" s="144"/>
      <c r="W259" s="144"/>
      <c r="Y259" s="144"/>
      <c r="Z259" s="144"/>
      <c r="AA259" s="144"/>
      <c r="AB259" s="144"/>
      <c r="AC259" s="144"/>
    </row>
    <row r="260" spans="1:29" x14ac:dyDescent="0.2">
      <c r="A260" s="144"/>
      <c r="B260" s="145"/>
      <c r="C260" s="144"/>
      <c r="D260" s="144"/>
      <c r="E260" s="144"/>
      <c r="F260" s="144"/>
      <c r="G260" s="144"/>
      <c r="H260" s="144"/>
      <c r="I260" s="144"/>
      <c r="J260" s="144"/>
      <c r="K260" s="144"/>
      <c r="M260" s="144"/>
      <c r="N260" s="144"/>
      <c r="O260" s="144"/>
      <c r="P260" s="144"/>
      <c r="Q260" s="144"/>
      <c r="R260" s="144"/>
      <c r="S260" s="144"/>
      <c r="T260" s="144"/>
      <c r="U260" s="144"/>
      <c r="V260" s="144"/>
      <c r="W260" s="144"/>
      <c r="Y260" s="144"/>
      <c r="Z260" s="144"/>
      <c r="AA260" s="144"/>
      <c r="AB260" s="144"/>
      <c r="AC260" s="144"/>
    </row>
    <row r="261" spans="1:29" x14ac:dyDescent="0.2">
      <c r="A261" s="144"/>
      <c r="B261" s="145"/>
      <c r="C261" s="144"/>
      <c r="D261" s="144"/>
      <c r="E261" s="144"/>
      <c r="F261" s="144"/>
      <c r="G261" s="144"/>
      <c r="H261" s="144"/>
      <c r="I261" s="144"/>
      <c r="J261" s="144"/>
      <c r="K261" s="144"/>
      <c r="M261" s="144"/>
      <c r="N261" s="144"/>
      <c r="O261" s="144"/>
      <c r="P261" s="144"/>
      <c r="Q261" s="144"/>
      <c r="R261" s="144"/>
      <c r="S261" s="144"/>
      <c r="T261" s="144"/>
      <c r="U261" s="144"/>
      <c r="V261" s="144"/>
      <c r="W261" s="144"/>
      <c r="Y261" s="144"/>
      <c r="Z261" s="144"/>
      <c r="AA261" s="144"/>
      <c r="AB261" s="144"/>
      <c r="AC261" s="144"/>
    </row>
    <row r="262" spans="1:29" x14ac:dyDescent="0.2">
      <c r="A262" s="144"/>
      <c r="B262" s="145"/>
      <c r="C262" s="144"/>
      <c r="D262" s="144"/>
      <c r="E262" s="144"/>
      <c r="F262" s="144"/>
      <c r="G262" s="144"/>
      <c r="H262" s="144"/>
      <c r="I262" s="144"/>
      <c r="J262" s="144"/>
      <c r="K262" s="144"/>
      <c r="M262" s="144"/>
      <c r="N262" s="144"/>
      <c r="O262" s="144"/>
      <c r="P262" s="144"/>
      <c r="Q262" s="144"/>
      <c r="R262" s="144"/>
      <c r="S262" s="144"/>
      <c r="T262" s="144"/>
      <c r="U262" s="144"/>
      <c r="V262" s="144"/>
      <c r="W262" s="144"/>
      <c r="Y262" s="144"/>
      <c r="Z262" s="144"/>
      <c r="AA262" s="144"/>
      <c r="AB262" s="144"/>
      <c r="AC262" s="144"/>
    </row>
    <row r="263" spans="1:29" x14ac:dyDescent="0.2">
      <c r="A263" s="144"/>
      <c r="B263" s="145"/>
      <c r="C263" s="144"/>
      <c r="D263" s="144"/>
      <c r="E263" s="144"/>
      <c r="F263" s="144"/>
      <c r="G263" s="144"/>
      <c r="H263" s="144"/>
      <c r="I263" s="144"/>
      <c r="J263" s="144"/>
      <c r="K263" s="144"/>
      <c r="M263" s="144"/>
      <c r="N263" s="144"/>
      <c r="O263" s="144"/>
      <c r="P263" s="144"/>
      <c r="Q263" s="144"/>
      <c r="R263" s="144"/>
      <c r="S263" s="144"/>
      <c r="T263" s="144"/>
      <c r="U263" s="144"/>
      <c r="V263" s="144"/>
      <c r="W263" s="144"/>
      <c r="Y263" s="144"/>
      <c r="Z263" s="144"/>
      <c r="AA263" s="144"/>
      <c r="AB263" s="144"/>
      <c r="AC263" s="144"/>
    </row>
    <row r="264" spans="1:29" x14ac:dyDescent="0.2">
      <c r="A264" s="144"/>
      <c r="B264" s="145"/>
      <c r="C264" s="144"/>
      <c r="D264" s="144"/>
      <c r="E264" s="144"/>
      <c r="F264" s="144"/>
      <c r="G264" s="144"/>
      <c r="H264" s="144"/>
      <c r="I264" s="144"/>
      <c r="J264" s="144"/>
      <c r="K264" s="144"/>
      <c r="M264" s="144"/>
      <c r="N264" s="144"/>
      <c r="O264" s="144"/>
      <c r="P264" s="144"/>
      <c r="Q264" s="144"/>
      <c r="R264" s="144"/>
      <c r="S264" s="144"/>
      <c r="T264" s="144"/>
      <c r="U264" s="144"/>
      <c r="V264" s="144"/>
      <c r="W264" s="144"/>
      <c r="Y264" s="144"/>
      <c r="Z264" s="144"/>
      <c r="AA264" s="144"/>
      <c r="AB264" s="144"/>
      <c r="AC264" s="144"/>
    </row>
    <row r="265" spans="1:29" x14ac:dyDescent="0.2">
      <c r="A265" s="144"/>
      <c r="B265" s="145"/>
      <c r="C265" s="144"/>
      <c r="D265" s="144"/>
      <c r="E265" s="144"/>
      <c r="F265" s="144"/>
      <c r="G265" s="144"/>
      <c r="H265" s="144"/>
      <c r="I265" s="144"/>
      <c r="J265" s="144"/>
      <c r="K265" s="144"/>
      <c r="M265" s="144"/>
      <c r="N265" s="144"/>
      <c r="O265" s="144"/>
      <c r="P265" s="144"/>
      <c r="Q265" s="144"/>
      <c r="R265" s="144"/>
      <c r="S265" s="144"/>
      <c r="T265" s="144"/>
      <c r="U265" s="144"/>
      <c r="V265" s="144"/>
      <c r="W265" s="144"/>
      <c r="Y265" s="144"/>
      <c r="Z265" s="144"/>
      <c r="AA265" s="144"/>
      <c r="AB265" s="144"/>
      <c r="AC265" s="144"/>
    </row>
    <row r="266" spans="1:29" x14ac:dyDescent="0.2">
      <c r="A266" s="144"/>
      <c r="B266" s="145"/>
      <c r="C266" s="144"/>
      <c r="D266" s="144"/>
      <c r="E266" s="144"/>
      <c r="F266" s="144"/>
      <c r="G266" s="144"/>
      <c r="H266" s="144"/>
      <c r="I266" s="144"/>
      <c r="J266" s="144"/>
      <c r="K266" s="144"/>
      <c r="M266" s="144"/>
      <c r="N266" s="144"/>
      <c r="O266" s="144"/>
      <c r="P266" s="144"/>
      <c r="Q266" s="144"/>
      <c r="R266" s="144"/>
      <c r="S266" s="144"/>
      <c r="T266" s="144"/>
      <c r="U266" s="144"/>
      <c r="V266" s="144"/>
      <c r="W266" s="144"/>
      <c r="Y266" s="144"/>
      <c r="Z266" s="144"/>
      <c r="AA266" s="144"/>
      <c r="AB266" s="144"/>
      <c r="AC266" s="144"/>
    </row>
    <row r="267" spans="1:29" x14ac:dyDescent="0.2">
      <c r="A267" s="144"/>
      <c r="B267" s="145"/>
      <c r="C267" s="144"/>
      <c r="D267" s="144"/>
      <c r="E267" s="144"/>
      <c r="F267" s="144"/>
      <c r="G267" s="144"/>
      <c r="H267" s="144"/>
      <c r="I267" s="144"/>
      <c r="J267" s="144"/>
      <c r="K267" s="144"/>
      <c r="M267" s="144"/>
      <c r="N267" s="144"/>
      <c r="O267" s="144"/>
      <c r="P267" s="144"/>
      <c r="Q267" s="144"/>
      <c r="R267" s="144"/>
      <c r="S267" s="144"/>
      <c r="T267" s="144"/>
      <c r="U267" s="144"/>
      <c r="V267" s="144"/>
      <c r="W267" s="144"/>
      <c r="Y267" s="144"/>
      <c r="Z267" s="144"/>
      <c r="AA267" s="144"/>
      <c r="AB267" s="144"/>
      <c r="AC267" s="144"/>
    </row>
    <row r="268" spans="1:29" x14ac:dyDescent="0.2">
      <c r="A268" s="144"/>
      <c r="B268" s="145"/>
      <c r="C268" s="144"/>
      <c r="D268" s="144"/>
      <c r="E268" s="144"/>
      <c r="F268" s="144"/>
      <c r="G268" s="144"/>
      <c r="H268" s="144"/>
      <c r="I268" s="144"/>
      <c r="J268" s="144"/>
      <c r="K268" s="144"/>
      <c r="M268" s="144"/>
      <c r="N268" s="144"/>
      <c r="O268" s="144"/>
      <c r="P268" s="144"/>
      <c r="Q268" s="144"/>
      <c r="R268" s="144"/>
      <c r="S268" s="144"/>
      <c r="T268" s="144"/>
      <c r="U268" s="144"/>
      <c r="V268" s="144"/>
      <c r="W268" s="144"/>
      <c r="Y268" s="144"/>
      <c r="Z268" s="144"/>
      <c r="AA268" s="144"/>
      <c r="AB268" s="144"/>
      <c r="AC268" s="144"/>
    </row>
    <row r="269" spans="1:29" x14ac:dyDescent="0.2">
      <c r="A269" s="144"/>
      <c r="B269" s="145"/>
      <c r="C269" s="144"/>
      <c r="D269" s="144"/>
      <c r="E269" s="144"/>
      <c r="F269" s="144"/>
      <c r="G269" s="144"/>
      <c r="H269" s="144"/>
      <c r="I269" s="144"/>
      <c r="J269" s="144"/>
      <c r="K269" s="144"/>
      <c r="M269" s="144"/>
      <c r="N269" s="144"/>
      <c r="O269" s="144"/>
      <c r="P269" s="144"/>
      <c r="Q269" s="144"/>
      <c r="R269" s="144"/>
      <c r="S269" s="144"/>
      <c r="T269" s="144"/>
      <c r="U269" s="144"/>
      <c r="V269" s="144"/>
      <c r="W269" s="144"/>
      <c r="Y269" s="144"/>
      <c r="Z269" s="144"/>
      <c r="AA269" s="144"/>
      <c r="AB269" s="144"/>
      <c r="AC269" s="144"/>
    </row>
    <row r="270" spans="1:29" x14ac:dyDescent="0.2">
      <c r="A270" s="144"/>
      <c r="B270" s="145"/>
      <c r="C270" s="144"/>
      <c r="D270" s="144"/>
      <c r="E270" s="144"/>
      <c r="F270" s="144"/>
      <c r="G270" s="144"/>
      <c r="H270" s="144"/>
      <c r="I270" s="144"/>
      <c r="J270" s="144"/>
      <c r="K270" s="144"/>
      <c r="M270" s="144"/>
      <c r="N270" s="144"/>
      <c r="O270" s="144"/>
      <c r="P270" s="144"/>
      <c r="Q270" s="144"/>
      <c r="R270" s="144"/>
      <c r="S270" s="144"/>
      <c r="T270" s="144"/>
      <c r="U270" s="144"/>
      <c r="V270" s="144"/>
      <c r="W270" s="144"/>
      <c r="Y270" s="144"/>
      <c r="Z270" s="144"/>
      <c r="AA270" s="144"/>
      <c r="AB270" s="144"/>
      <c r="AC270" s="144"/>
    </row>
    <row r="271" spans="1:29" x14ac:dyDescent="0.2">
      <c r="A271" s="144"/>
      <c r="B271" s="145"/>
      <c r="C271" s="144"/>
      <c r="D271" s="144"/>
      <c r="E271" s="144"/>
      <c r="F271" s="144"/>
      <c r="G271" s="144"/>
      <c r="H271" s="144"/>
      <c r="I271" s="144"/>
      <c r="J271" s="144"/>
      <c r="K271" s="144"/>
      <c r="M271" s="144"/>
      <c r="N271" s="144"/>
      <c r="O271" s="144"/>
      <c r="P271" s="144"/>
      <c r="Q271" s="144"/>
      <c r="R271" s="144"/>
      <c r="S271" s="144"/>
      <c r="T271" s="144"/>
      <c r="U271" s="144"/>
      <c r="V271" s="144"/>
      <c r="W271" s="144"/>
      <c r="Y271" s="144"/>
      <c r="Z271" s="144"/>
      <c r="AA271" s="144"/>
      <c r="AB271" s="144"/>
      <c r="AC271" s="144"/>
    </row>
    <row r="272" spans="1:29" x14ac:dyDescent="0.2">
      <c r="A272" s="144"/>
      <c r="B272" s="145"/>
      <c r="C272" s="144"/>
      <c r="D272" s="144"/>
      <c r="E272" s="144"/>
      <c r="F272" s="144"/>
      <c r="G272" s="144"/>
      <c r="H272" s="144"/>
      <c r="I272" s="144"/>
      <c r="J272" s="144"/>
      <c r="K272" s="144"/>
      <c r="M272" s="144"/>
      <c r="N272" s="144"/>
      <c r="O272" s="144"/>
      <c r="P272" s="144"/>
      <c r="Q272" s="144"/>
      <c r="R272" s="144"/>
      <c r="S272" s="144"/>
      <c r="T272" s="144"/>
      <c r="U272" s="144"/>
      <c r="V272" s="144"/>
      <c r="W272" s="144"/>
      <c r="Y272" s="144"/>
      <c r="Z272" s="144"/>
      <c r="AA272" s="144"/>
      <c r="AB272" s="144"/>
      <c r="AC272" s="144"/>
    </row>
    <row r="273" spans="1:29" x14ac:dyDescent="0.2">
      <c r="A273" s="144"/>
      <c r="B273" s="145"/>
      <c r="C273" s="144"/>
      <c r="D273" s="144"/>
      <c r="E273" s="144"/>
      <c r="F273" s="144"/>
      <c r="G273" s="144"/>
      <c r="H273" s="144"/>
      <c r="I273" s="144"/>
      <c r="J273" s="144"/>
      <c r="K273" s="144"/>
      <c r="M273" s="144"/>
      <c r="N273" s="144"/>
      <c r="O273" s="144"/>
      <c r="P273" s="144"/>
      <c r="Q273" s="144"/>
      <c r="R273" s="144"/>
      <c r="S273" s="144"/>
      <c r="T273" s="144"/>
      <c r="U273" s="144"/>
      <c r="V273" s="144"/>
      <c r="W273" s="144"/>
      <c r="Y273" s="144"/>
      <c r="Z273" s="144"/>
      <c r="AA273" s="144"/>
      <c r="AB273" s="144"/>
      <c r="AC273" s="144"/>
    </row>
    <row r="274" spans="1:29" x14ac:dyDescent="0.2">
      <c r="A274" s="144"/>
      <c r="B274" s="145"/>
      <c r="C274" s="144"/>
      <c r="D274" s="144"/>
      <c r="E274" s="144"/>
      <c r="F274" s="144"/>
      <c r="G274" s="144"/>
      <c r="H274" s="144"/>
      <c r="I274" s="144"/>
      <c r="J274" s="144"/>
      <c r="K274" s="144"/>
      <c r="M274" s="144"/>
      <c r="N274" s="144"/>
      <c r="O274" s="144"/>
      <c r="P274" s="144"/>
      <c r="Q274" s="144"/>
      <c r="R274" s="144"/>
      <c r="S274" s="144"/>
      <c r="T274" s="144"/>
      <c r="U274" s="144"/>
      <c r="V274" s="144"/>
      <c r="W274" s="144"/>
      <c r="Y274" s="144"/>
      <c r="Z274" s="144"/>
      <c r="AA274" s="144"/>
      <c r="AB274" s="144"/>
      <c r="AC274" s="144"/>
    </row>
    <row r="275" spans="1:29" x14ac:dyDescent="0.2">
      <c r="A275" s="144"/>
      <c r="B275" s="145"/>
      <c r="C275" s="144"/>
      <c r="D275" s="144"/>
      <c r="E275" s="144"/>
      <c r="F275" s="144"/>
      <c r="G275" s="144"/>
      <c r="H275" s="144"/>
      <c r="I275" s="144"/>
      <c r="J275" s="144"/>
      <c r="K275" s="144"/>
      <c r="M275" s="144"/>
      <c r="N275" s="144"/>
      <c r="O275" s="144"/>
      <c r="P275" s="144"/>
      <c r="Q275" s="144"/>
      <c r="R275" s="144"/>
      <c r="S275" s="144"/>
      <c r="T275" s="144"/>
      <c r="U275" s="144"/>
      <c r="V275" s="144"/>
      <c r="W275" s="144"/>
      <c r="Y275" s="144"/>
      <c r="Z275" s="144"/>
      <c r="AA275" s="144"/>
      <c r="AB275" s="144"/>
      <c r="AC275" s="144"/>
    </row>
    <row r="276" spans="1:29" x14ac:dyDescent="0.2">
      <c r="A276" s="144"/>
      <c r="B276" s="145"/>
      <c r="C276" s="144"/>
      <c r="D276" s="144"/>
      <c r="E276" s="144"/>
      <c r="F276" s="144"/>
      <c r="G276" s="144"/>
      <c r="H276" s="144"/>
      <c r="I276" s="144"/>
      <c r="J276" s="144"/>
      <c r="K276" s="144"/>
      <c r="M276" s="144"/>
      <c r="N276" s="144"/>
      <c r="O276" s="144"/>
      <c r="P276" s="144"/>
      <c r="Q276" s="144"/>
      <c r="R276" s="144"/>
      <c r="S276" s="144"/>
      <c r="T276" s="144"/>
      <c r="U276" s="144"/>
      <c r="V276" s="144"/>
      <c r="W276" s="144"/>
      <c r="Y276" s="144"/>
      <c r="Z276" s="144"/>
      <c r="AA276" s="144"/>
      <c r="AB276" s="144"/>
      <c r="AC276" s="144"/>
    </row>
    <row r="277" spans="1:29" x14ac:dyDescent="0.2">
      <c r="A277" s="144"/>
      <c r="B277" s="145"/>
      <c r="C277" s="144"/>
      <c r="D277" s="144"/>
      <c r="E277" s="144"/>
      <c r="F277" s="144"/>
      <c r="G277" s="144"/>
      <c r="H277" s="144"/>
      <c r="I277" s="144"/>
      <c r="J277" s="144"/>
      <c r="K277" s="144"/>
      <c r="M277" s="144"/>
      <c r="N277" s="144"/>
      <c r="O277" s="144"/>
      <c r="P277" s="144"/>
      <c r="Q277" s="144"/>
      <c r="R277" s="144"/>
      <c r="S277" s="144"/>
      <c r="T277" s="144"/>
      <c r="U277" s="144"/>
      <c r="V277" s="144"/>
      <c r="W277" s="144"/>
      <c r="Y277" s="144"/>
      <c r="Z277" s="144"/>
      <c r="AA277" s="144"/>
      <c r="AB277" s="144"/>
      <c r="AC277" s="144"/>
    </row>
    <row r="278" spans="1:29" x14ac:dyDescent="0.2">
      <c r="A278" s="144"/>
      <c r="B278" s="145"/>
      <c r="C278" s="144"/>
      <c r="D278" s="144"/>
      <c r="E278" s="144"/>
      <c r="F278" s="144"/>
      <c r="G278" s="144"/>
      <c r="H278" s="144"/>
      <c r="I278" s="144"/>
      <c r="J278" s="144"/>
      <c r="K278" s="144"/>
      <c r="M278" s="144"/>
      <c r="N278" s="144"/>
      <c r="O278" s="144"/>
      <c r="P278" s="144"/>
      <c r="Q278" s="144"/>
      <c r="R278" s="144"/>
      <c r="S278" s="144"/>
      <c r="T278" s="144"/>
      <c r="U278" s="144"/>
      <c r="V278" s="144"/>
      <c r="W278" s="144"/>
      <c r="Y278" s="144"/>
      <c r="Z278" s="144"/>
      <c r="AA278" s="144"/>
      <c r="AB278" s="144"/>
      <c r="AC278" s="144"/>
    </row>
    <row r="279" spans="1:29" x14ac:dyDescent="0.2">
      <c r="A279" s="144"/>
      <c r="B279" s="145"/>
      <c r="C279" s="144"/>
      <c r="D279" s="144"/>
      <c r="E279" s="144"/>
      <c r="F279" s="144"/>
      <c r="G279" s="144"/>
      <c r="H279" s="144"/>
      <c r="I279" s="144"/>
      <c r="J279" s="144"/>
      <c r="K279" s="144"/>
      <c r="M279" s="144"/>
      <c r="N279" s="144"/>
      <c r="O279" s="144"/>
      <c r="P279" s="144"/>
      <c r="Q279" s="144"/>
      <c r="R279" s="144"/>
      <c r="S279" s="144"/>
      <c r="T279" s="144"/>
      <c r="U279" s="144"/>
      <c r="V279" s="144"/>
      <c r="W279" s="144"/>
      <c r="Y279" s="144"/>
      <c r="Z279" s="144"/>
      <c r="AA279" s="144"/>
      <c r="AB279" s="144"/>
      <c r="AC279" s="144"/>
    </row>
    <row r="280" spans="1:29" x14ac:dyDescent="0.2">
      <c r="A280" s="144"/>
      <c r="B280" s="145"/>
      <c r="C280" s="144"/>
      <c r="D280" s="144"/>
      <c r="E280" s="144"/>
      <c r="F280" s="144"/>
      <c r="G280" s="144"/>
      <c r="H280" s="144"/>
      <c r="I280" s="144"/>
      <c r="J280" s="144"/>
      <c r="K280" s="144"/>
      <c r="M280" s="144"/>
      <c r="N280" s="144"/>
      <c r="O280" s="144"/>
      <c r="P280" s="144"/>
      <c r="Q280" s="144"/>
      <c r="R280" s="144"/>
      <c r="S280" s="144"/>
      <c r="T280" s="144"/>
      <c r="U280" s="144"/>
      <c r="V280" s="144"/>
      <c r="W280" s="144"/>
      <c r="Y280" s="144"/>
      <c r="Z280" s="144"/>
      <c r="AA280" s="144"/>
      <c r="AB280" s="144"/>
      <c r="AC280" s="144"/>
    </row>
    <row r="281" spans="1:29" x14ac:dyDescent="0.2">
      <c r="A281" s="144"/>
      <c r="B281" s="145"/>
      <c r="C281" s="144"/>
      <c r="D281" s="144"/>
      <c r="E281" s="144"/>
      <c r="F281" s="144"/>
      <c r="G281" s="144"/>
      <c r="H281" s="144"/>
      <c r="I281" s="144"/>
      <c r="J281" s="144"/>
      <c r="K281" s="144"/>
      <c r="M281" s="144"/>
      <c r="N281" s="144"/>
      <c r="O281" s="144"/>
      <c r="P281" s="144"/>
      <c r="Q281" s="144"/>
      <c r="R281" s="144"/>
      <c r="S281" s="144"/>
      <c r="T281" s="144"/>
      <c r="U281" s="144"/>
      <c r="V281" s="144"/>
      <c r="W281" s="144"/>
      <c r="Y281" s="144"/>
      <c r="Z281" s="144"/>
      <c r="AA281" s="144"/>
      <c r="AB281" s="144"/>
      <c r="AC281" s="144"/>
    </row>
    <row r="282" spans="1:29" x14ac:dyDescent="0.2">
      <c r="A282" s="144"/>
      <c r="B282" s="145"/>
      <c r="C282" s="144"/>
      <c r="D282" s="144"/>
      <c r="E282" s="144"/>
      <c r="F282" s="144"/>
      <c r="G282" s="144"/>
      <c r="H282" s="144"/>
      <c r="I282" s="144"/>
      <c r="J282" s="144"/>
      <c r="K282" s="144"/>
      <c r="M282" s="144"/>
      <c r="N282" s="144"/>
      <c r="O282" s="144"/>
      <c r="P282" s="144"/>
      <c r="Q282" s="144"/>
      <c r="R282" s="144"/>
      <c r="S282" s="144"/>
      <c r="T282" s="144"/>
      <c r="U282" s="144"/>
      <c r="V282" s="144"/>
      <c r="W282" s="144"/>
      <c r="Y282" s="144"/>
      <c r="Z282" s="144"/>
      <c r="AA282" s="144"/>
      <c r="AB282" s="144"/>
      <c r="AC282" s="144"/>
    </row>
    <row r="283" spans="1:29" x14ac:dyDescent="0.2">
      <c r="A283" s="144"/>
      <c r="B283" s="145"/>
      <c r="C283" s="144"/>
      <c r="D283" s="144"/>
      <c r="E283" s="144"/>
      <c r="F283" s="144"/>
      <c r="G283" s="144"/>
      <c r="H283" s="144"/>
      <c r="I283" s="144"/>
      <c r="J283" s="144"/>
      <c r="K283" s="144"/>
      <c r="M283" s="144"/>
      <c r="N283" s="144"/>
      <c r="O283" s="144"/>
      <c r="P283" s="144"/>
      <c r="Q283" s="144"/>
      <c r="R283" s="144"/>
      <c r="S283" s="144"/>
      <c r="T283" s="144"/>
      <c r="U283" s="144"/>
      <c r="V283" s="144"/>
      <c r="W283" s="144"/>
      <c r="Y283" s="144"/>
      <c r="Z283" s="144"/>
      <c r="AA283" s="144"/>
      <c r="AB283" s="144"/>
      <c r="AC283" s="144"/>
    </row>
    <row r="284" spans="1:29" x14ac:dyDescent="0.2">
      <c r="A284" s="144"/>
      <c r="B284" s="145"/>
      <c r="C284" s="144"/>
      <c r="D284" s="144"/>
      <c r="E284" s="144"/>
      <c r="F284" s="144"/>
      <c r="G284" s="144"/>
      <c r="H284" s="144"/>
      <c r="I284" s="144"/>
      <c r="J284" s="144"/>
      <c r="K284" s="144"/>
      <c r="M284" s="144"/>
      <c r="N284" s="144"/>
      <c r="O284" s="144"/>
      <c r="P284" s="144"/>
      <c r="Q284" s="144"/>
      <c r="R284" s="144"/>
      <c r="S284" s="144"/>
      <c r="T284" s="144"/>
      <c r="U284" s="144"/>
      <c r="V284" s="144"/>
      <c r="W284" s="144"/>
      <c r="Y284" s="144"/>
      <c r="Z284" s="144"/>
      <c r="AA284" s="144"/>
      <c r="AB284" s="144"/>
      <c r="AC284" s="144"/>
    </row>
    <row r="285" spans="1:29" x14ac:dyDescent="0.2">
      <c r="A285" s="144"/>
      <c r="B285" s="145"/>
      <c r="C285" s="144"/>
      <c r="D285" s="144"/>
      <c r="E285" s="144"/>
      <c r="F285" s="144"/>
      <c r="G285" s="144"/>
      <c r="H285" s="144"/>
      <c r="I285" s="144"/>
      <c r="J285" s="144"/>
      <c r="K285" s="144"/>
      <c r="M285" s="144"/>
      <c r="N285" s="144"/>
      <c r="O285" s="144"/>
      <c r="P285" s="144"/>
      <c r="Q285" s="144"/>
      <c r="R285" s="144"/>
      <c r="S285" s="144"/>
      <c r="T285" s="144"/>
      <c r="U285" s="144"/>
      <c r="V285" s="144"/>
      <c r="W285" s="144"/>
      <c r="Y285" s="144"/>
      <c r="Z285" s="144"/>
      <c r="AA285" s="144"/>
      <c r="AB285" s="144"/>
      <c r="AC285" s="144"/>
    </row>
    <row r="286" spans="1:29" x14ac:dyDescent="0.2">
      <c r="A286" s="144"/>
      <c r="B286" s="145"/>
      <c r="C286" s="144"/>
      <c r="D286" s="144"/>
      <c r="E286" s="144"/>
      <c r="F286" s="144"/>
      <c r="G286" s="144"/>
      <c r="H286" s="144"/>
      <c r="I286" s="144"/>
      <c r="J286" s="144"/>
      <c r="K286" s="144"/>
      <c r="M286" s="144"/>
      <c r="N286" s="144"/>
      <c r="O286" s="144"/>
      <c r="P286" s="144"/>
      <c r="Q286" s="144"/>
      <c r="R286" s="144"/>
      <c r="S286" s="144"/>
      <c r="T286" s="144"/>
      <c r="U286" s="144"/>
      <c r="V286" s="144"/>
      <c r="W286" s="144"/>
      <c r="Y286" s="144"/>
      <c r="Z286" s="144"/>
      <c r="AA286" s="144"/>
      <c r="AB286" s="144"/>
      <c r="AC286" s="144"/>
    </row>
    <row r="287" spans="1:29" x14ac:dyDescent="0.2">
      <c r="A287" s="144"/>
      <c r="B287" s="145"/>
      <c r="C287" s="144"/>
      <c r="D287" s="144"/>
      <c r="E287" s="144"/>
      <c r="F287" s="144"/>
      <c r="G287" s="144"/>
      <c r="H287" s="144"/>
      <c r="I287" s="144"/>
      <c r="J287" s="144"/>
      <c r="K287" s="144"/>
      <c r="M287" s="144"/>
      <c r="N287" s="144"/>
      <c r="O287" s="144"/>
      <c r="P287" s="144"/>
      <c r="Q287" s="144"/>
      <c r="R287" s="144"/>
      <c r="S287" s="144"/>
      <c r="T287" s="144"/>
      <c r="U287" s="144"/>
      <c r="V287" s="144"/>
      <c r="W287" s="144"/>
      <c r="Y287" s="144"/>
      <c r="Z287" s="144"/>
      <c r="AA287" s="144"/>
      <c r="AB287" s="144"/>
      <c r="AC287" s="144"/>
    </row>
    <row r="288" spans="1:29" x14ac:dyDescent="0.2">
      <c r="A288" s="144"/>
      <c r="B288" s="145"/>
      <c r="C288" s="144"/>
      <c r="D288" s="144"/>
      <c r="E288" s="144"/>
      <c r="F288" s="144"/>
      <c r="G288" s="144"/>
      <c r="H288" s="144"/>
      <c r="I288" s="144"/>
      <c r="J288" s="144"/>
      <c r="K288" s="144"/>
      <c r="M288" s="144"/>
      <c r="N288" s="144"/>
      <c r="O288" s="144"/>
      <c r="P288" s="144"/>
      <c r="Q288" s="144"/>
      <c r="R288" s="144"/>
      <c r="S288" s="144"/>
      <c r="T288" s="144"/>
      <c r="U288" s="144"/>
      <c r="V288" s="144"/>
      <c r="W288" s="144"/>
      <c r="Y288" s="144"/>
      <c r="Z288" s="144"/>
      <c r="AA288" s="144"/>
      <c r="AB288" s="144"/>
      <c r="AC288" s="144"/>
    </row>
    <row r="289" spans="1:29" x14ac:dyDescent="0.2">
      <c r="A289" s="144"/>
      <c r="B289" s="145"/>
      <c r="C289" s="144"/>
      <c r="D289" s="144"/>
      <c r="E289" s="144"/>
      <c r="F289" s="144"/>
      <c r="G289" s="144"/>
      <c r="H289" s="144"/>
      <c r="I289" s="144"/>
      <c r="J289" s="144"/>
      <c r="K289" s="144"/>
      <c r="M289" s="144"/>
      <c r="N289" s="144"/>
      <c r="O289" s="144"/>
      <c r="P289" s="144"/>
      <c r="Q289" s="144"/>
      <c r="R289" s="144"/>
      <c r="S289" s="144"/>
      <c r="T289" s="144"/>
      <c r="U289" s="144"/>
      <c r="V289" s="144"/>
      <c r="W289" s="144"/>
      <c r="Y289" s="144"/>
      <c r="Z289" s="144"/>
      <c r="AA289" s="144"/>
      <c r="AB289" s="144"/>
      <c r="AC289" s="144"/>
    </row>
    <row r="290" spans="1:29" x14ac:dyDescent="0.2">
      <c r="A290" s="144"/>
      <c r="B290" s="145"/>
      <c r="C290" s="144"/>
      <c r="D290" s="144"/>
      <c r="E290" s="144"/>
      <c r="F290" s="144"/>
      <c r="G290" s="144"/>
      <c r="H290" s="144"/>
      <c r="I290" s="144"/>
      <c r="J290" s="144"/>
      <c r="K290" s="144"/>
      <c r="M290" s="144"/>
      <c r="N290" s="144"/>
      <c r="O290" s="144"/>
      <c r="P290" s="144"/>
      <c r="Q290" s="144"/>
      <c r="R290" s="144"/>
      <c r="S290" s="144"/>
      <c r="T290" s="144"/>
      <c r="U290" s="144"/>
      <c r="V290" s="144"/>
      <c r="W290" s="144"/>
      <c r="Y290" s="144"/>
      <c r="Z290" s="144"/>
      <c r="AA290" s="144"/>
      <c r="AB290" s="144"/>
      <c r="AC290" s="144"/>
    </row>
    <row r="291" spans="1:29" x14ac:dyDescent="0.2">
      <c r="A291" s="144"/>
      <c r="B291" s="145"/>
      <c r="C291" s="144"/>
      <c r="D291" s="144"/>
      <c r="E291" s="144"/>
      <c r="F291" s="144"/>
      <c r="G291" s="144"/>
      <c r="H291" s="144"/>
      <c r="I291" s="144"/>
      <c r="J291" s="144"/>
      <c r="K291" s="144"/>
      <c r="M291" s="144"/>
      <c r="N291" s="144"/>
      <c r="O291" s="144"/>
      <c r="P291" s="144"/>
      <c r="Q291" s="144"/>
      <c r="R291" s="144"/>
      <c r="S291" s="144"/>
      <c r="T291" s="144"/>
      <c r="U291" s="144"/>
      <c r="V291" s="144"/>
      <c r="W291" s="144"/>
      <c r="Y291" s="144"/>
      <c r="Z291" s="144"/>
      <c r="AA291" s="144"/>
      <c r="AB291" s="144"/>
      <c r="AC291" s="144"/>
    </row>
    <row r="292" spans="1:29" x14ac:dyDescent="0.2">
      <c r="A292" s="144"/>
      <c r="B292" s="145"/>
      <c r="C292" s="144"/>
      <c r="D292" s="144"/>
      <c r="E292" s="144"/>
      <c r="F292" s="144"/>
      <c r="G292" s="144"/>
      <c r="H292" s="144"/>
      <c r="I292" s="144"/>
      <c r="J292" s="144"/>
      <c r="K292" s="144"/>
      <c r="M292" s="144"/>
      <c r="N292" s="144"/>
      <c r="O292" s="144"/>
      <c r="P292" s="144"/>
      <c r="Q292" s="144"/>
      <c r="R292" s="144"/>
      <c r="S292" s="144"/>
      <c r="T292" s="144"/>
      <c r="U292" s="144"/>
      <c r="V292" s="144"/>
      <c r="W292" s="144"/>
      <c r="Y292" s="144"/>
      <c r="Z292" s="144"/>
      <c r="AA292" s="144"/>
      <c r="AB292" s="144"/>
      <c r="AC292" s="144"/>
    </row>
    <row r="293" spans="1:29" x14ac:dyDescent="0.2">
      <c r="A293" s="144"/>
      <c r="B293" s="145"/>
      <c r="C293" s="144"/>
      <c r="D293" s="144"/>
      <c r="E293" s="144"/>
      <c r="F293" s="144"/>
      <c r="G293" s="144"/>
      <c r="H293" s="144"/>
      <c r="I293" s="144"/>
      <c r="J293" s="144"/>
      <c r="K293" s="144"/>
      <c r="M293" s="144"/>
      <c r="N293" s="144"/>
      <c r="O293" s="144"/>
      <c r="P293" s="144"/>
      <c r="Q293" s="144"/>
      <c r="R293" s="144"/>
      <c r="S293" s="144"/>
      <c r="T293" s="144"/>
      <c r="U293" s="144"/>
      <c r="V293" s="144"/>
      <c r="W293" s="144"/>
      <c r="Y293" s="144"/>
      <c r="Z293" s="144"/>
      <c r="AA293" s="144"/>
      <c r="AB293" s="144"/>
      <c r="AC293" s="144"/>
    </row>
    <row r="294" spans="1:29" x14ac:dyDescent="0.2">
      <c r="A294" s="144"/>
      <c r="B294" s="145"/>
      <c r="C294" s="144"/>
      <c r="D294" s="144"/>
      <c r="E294" s="144"/>
      <c r="F294" s="144"/>
      <c r="G294" s="144"/>
      <c r="H294" s="144"/>
      <c r="I294" s="144"/>
      <c r="J294" s="144"/>
      <c r="K294" s="144"/>
      <c r="M294" s="144"/>
      <c r="N294" s="144"/>
      <c r="O294" s="144"/>
      <c r="P294" s="144"/>
      <c r="Q294" s="144"/>
      <c r="R294" s="144"/>
      <c r="S294" s="144"/>
      <c r="T294" s="144"/>
      <c r="U294" s="144"/>
      <c r="V294" s="144"/>
      <c r="W294" s="144"/>
      <c r="Y294" s="144"/>
      <c r="Z294" s="144"/>
      <c r="AA294" s="144"/>
      <c r="AB294" s="144"/>
      <c r="AC294" s="144"/>
    </row>
    <row r="295" spans="1:29" x14ac:dyDescent="0.2">
      <c r="A295" s="144"/>
      <c r="B295" s="145"/>
      <c r="C295" s="144"/>
      <c r="D295" s="144"/>
      <c r="E295" s="144"/>
      <c r="F295" s="144"/>
      <c r="G295" s="144"/>
      <c r="H295" s="144"/>
      <c r="I295" s="144"/>
      <c r="J295" s="144"/>
      <c r="K295" s="144"/>
      <c r="M295" s="144"/>
      <c r="N295" s="144"/>
      <c r="O295" s="144"/>
      <c r="P295" s="144"/>
      <c r="Q295" s="144"/>
      <c r="R295" s="144"/>
      <c r="S295" s="144"/>
      <c r="T295" s="144"/>
      <c r="U295" s="144"/>
      <c r="V295" s="144"/>
      <c r="W295" s="144"/>
      <c r="Y295" s="144"/>
      <c r="Z295" s="144"/>
      <c r="AA295" s="144"/>
      <c r="AB295" s="144"/>
      <c r="AC295" s="144"/>
    </row>
    <row r="296" spans="1:29" x14ac:dyDescent="0.2">
      <c r="A296" s="144"/>
      <c r="B296" s="145"/>
      <c r="C296" s="144"/>
      <c r="D296" s="144"/>
      <c r="E296" s="144"/>
      <c r="F296" s="144"/>
      <c r="G296" s="144"/>
      <c r="H296" s="144"/>
      <c r="I296" s="144"/>
      <c r="J296" s="144"/>
      <c r="K296" s="144"/>
      <c r="M296" s="144"/>
      <c r="N296" s="144"/>
      <c r="O296" s="144"/>
      <c r="P296" s="144"/>
      <c r="Q296" s="144"/>
      <c r="R296" s="144"/>
      <c r="S296" s="144"/>
      <c r="T296" s="144"/>
      <c r="U296" s="144"/>
      <c r="V296" s="144"/>
      <c r="W296" s="144"/>
      <c r="Y296" s="144"/>
      <c r="Z296" s="144"/>
      <c r="AA296" s="144"/>
      <c r="AB296" s="144"/>
      <c r="AC296" s="144"/>
    </row>
    <row r="297" spans="1:29" x14ac:dyDescent="0.2">
      <c r="A297" s="144"/>
      <c r="B297" s="145"/>
      <c r="C297" s="144"/>
      <c r="D297" s="144"/>
      <c r="E297" s="144"/>
      <c r="F297" s="144"/>
      <c r="G297" s="144"/>
      <c r="H297" s="144"/>
      <c r="I297" s="144"/>
      <c r="J297" s="144"/>
      <c r="K297" s="144"/>
      <c r="M297" s="144"/>
      <c r="N297" s="144"/>
      <c r="O297" s="144"/>
      <c r="P297" s="144"/>
      <c r="Q297" s="144"/>
      <c r="R297" s="144"/>
      <c r="S297" s="144"/>
      <c r="T297" s="144"/>
      <c r="U297" s="144"/>
      <c r="V297" s="144"/>
      <c r="W297" s="144"/>
      <c r="Y297" s="144"/>
      <c r="Z297" s="144"/>
      <c r="AA297" s="144"/>
      <c r="AB297" s="144"/>
      <c r="AC297" s="144"/>
    </row>
    <row r="298" spans="1:29" x14ac:dyDescent="0.2">
      <c r="A298" s="144"/>
      <c r="B298" s="145"/>
      <c r="C298" s="144"/>
      <c r="D298" s="144"/>
      <c r="E298" s="144"/>
      <c r="F298" s="144"/>
      <c r="G298" s="144"/>
      <c r="H298" s="144"/>
      <c r="I298" s="144"/>
      <c r="J298" s="144"/>
      <c r="K298" s="144"/>
      <c r="M298" s="144"/>
      <c r="N298" s="144"/>
      <c r="O298" s="144"/>
      <c r="P298" s="144"/>
      <c r="Q298" s="144"/>
      <c r="R298" s="144"/>
      <c r="S298" s="144"/>
      <c r="T298" s="144"/>
      <c r="U298" s="144"/>
      <c r="V298" s="144"/>
      <c r="W298" s="144"/>
      <c r="Y298" s="144"/>
      <c r="Z298" s="144"/>
      <c r="AA298" s="144"/>
      <c r="AB298" s="144"/>
      <c r="AC298" s="144"/>
    </row>
    <row r="299" spans="1:29" x14ac:dyDescent="0.2">
      <c r="A299" s="144"/>
      <c r="B299" s="145"/>
      <c r="C299" s="144"/>
      <c r="D299" s="144"/>
      <c r="E299" s="144"/>
      <c r="F299" s="144"/>
      <c r="G299" s="144"/>
      <c r="H299" s="144"/>
      <c r="I299" s="144"/>
      <c r="J299" s="144"/>
      <c r="K299" s="144"/>
      <c r="M299" s="144"/>
      <c r="N299" s="144"/>
      <c r="O299" s="144"/>
      <c r="P299" s="144"/>
      <c r="Q299" s="144"/>
      <c r="R299" s="144"/>
      <c r="S299" s="144"/>
      <c r="T299" s="144"/>
      <c r="U299" s="144"/>
      <c r="V299" s="144"/>
      <c r="W299" s="144"/>
      <c r="Y299" s="144"/>
      <c r="Z299" s="144"/>
      <c r="AA299" s="144"/>
      <c r="AB299" s="144"/>
      <c r="AC299" s="144"/>
    </row>
    <row r="300" spans="1:29" x14ac:dyDescent="0.2">
      <c r="A300" s="144"/>
      <c r="B300" s="145"/>
      <c r="C300" s="144"/>
      <c r="D300" s="144"/>
      <c r="E300" s="144"/>
      <c r="F300" s="144"/>
      <c r="G300" s="144"/>
      <c r="H300" s="144"/>
      <c r="I300" s="144"/>
      <c r="J300" s="144"/>
      <c r="K300" s="144"/>
      <c r="M300" s="144"/>
      <c r="N300" s="144"/>
      <c r="O300" s="144"/>
      <c r="P300" s="144"/>
      <c r="Q300" s="144"/>
      <c r="R300" s="144"/>
      <c r="S300" s="144"/>
      <c r="T300" s="144"/>
      <c r="U300" s="144"/>
      <c r="V300" s="144"/>
      <c r="W300" s="144"/>
      <c r="Y300" s="144"/>
      <c r="Z300" s="144"/>
      <c r="AA300" s="144"/>
      <c r="AB300" s="144"/>
      <c r="AC300" s="144"/>
    </row>
    <row r="301" spans="1:29" x14ac:dyDescent="0.2">
      <c r="A301" s="144"/>
      <c r="B301" s="145"/>
      <c r="C301" s="144"/>
      <c r="D301" s="144"/>
      <c r="E301" s="144"/>
      <c r="F301" s="144"/>
      <c r="G301" s="144"/>
      <c r="H301" s="144"/>
      <c r="I301" s="144"/>
      <c r="J301" s="144"/>
      <c r="K301" s="144"/>
      <c r="M301" s="144"/>
      <c r="N301" s="144"/>
      <c r="O301" s="144"/>
      <c r="P301" s="144"/>
      <c r="Q301" s="144"/>
      <c r="R301" s="144"/>
      <c r="S301" s="144"/>
      <c r="T301" s="144"/>
      <c r="U301" s="144"/>
      <c r="V301" s="144"/>
      <c r="W301" s="144"/>
      <c r="Y301" s="144"/>
      <c r="Z301" s="144"/>
      <c r="AA301" s="144"/>
      <c r="AB301" s="144"/>
      <c r="AC301" s="144"/>
    </row>
    <row r="302" spans="1:29" x14ac:dyDescent="0.2">
      <c r="A302" s="144"/>
      <c r="B302" s="145"/>
      <c r="C302" s="144"/>
      <c r="D302" s="144"/>
      <c r="E302" s="144"/>
      <c r="F302" s="144"/>
      <c r="G302" s="144"/>
      <c r="H302" s="144"/>
      <c r="I302" s="144"/>
      <c r="J302" s="144"/>
      <c r="K302" s="144"/>
      <c r="M302" s="144"/>
      <c r="N302" s="144"/>
      <c r="O302" s="144"/>
      <c r="P302" s="144"/>
      <c r="Q302" s="144"/>
      <c r="R302" s="144"/>
      <c r="S302" s="144"/>
      <c r="T302" s="144"/>
      <c r="U302" s="144"/>
      <c r="V302" s="144"/>
      <c r="W302" s="144"/>
      <c r="Y302" s="144"/>
      <c r="Z302" s="144"/>
      <c r="AA302" s="144"/>
      <c r="AB302" s="144"/>
      <c r="AC302" s="144"/>
    </row>
    <row r="303" spans="1:29" x14ac:dyDescent="0.2">
      <c r="A303" s="144"/>
      <c r="B303" s="145"/>
      <c r="C303" s="144"/>
      <c r="D303" s="144"/>
      <c r="E303" s="144"/>
      <c r="F303" s="144"/>
      <c r="G303" s="144"/>
      <c r="H303" s="144"/>
      <c r="I303" s="144"/>
      <c r="J303" s="144"/>
      <c r="K303" s="144"/>
      <c r="M303" s="144"/>
      <c r="N303" s="144"/>
      <c r="O303" s="144"/>
      <c r="P303" s="144"/>
      <c r="Q303" s="144"/>
      <c r="R303" s="144"/>
      <c r="S303" s="144"/>
      <c r="T303" s="144"/>
      <c r="U303" s="144"/>
      <c r="V303" s="144"/>
      <c r="W303" s="144"/>
      <c r="Y303" s="144"/>
      <c r="Z303" s="144"/>
      <c r="AA303" s="144"/>
      <c r="AB303" s="144"/>
      <c r="AC303" s="144"/>
    </row>
    <row r="304" spans="1:29" x14ac:dyDescent="0.2">
      <c r="A304" s="144"/>
      <c r="B304" s="145"/>
      <c r="C304" s="144"/>
      <c r="D304" s="144"/>
      <c r="E304" s="144"/>
      <c r="F304" s="144"/>
      <c r="G304" s="144"/>
      <c r="H304" s="144"/>
      <c r="I304" s="144"/>
      <c r="J304" s="144"/>
      <c r="K304" s="144"/>
      <c r="M304" s="144"/>
      <c r="N304" s="144"/>
      <c r="O304" s="144"/>
      <c r="P304" s="144"/>
      <c r="Q304" s="144"/>
      <c r="R304" s="144"/>
      <c r="S304" s="144"/>
      <c r="T304" s="144"/>
      <c r="U304" s="144"/>
      <c r="V304" s="144"/>
      <c r="W304" s="144"/>
      <c r="Y304" s="144"/>
      <c r="Z304" s="144"/>
      <c r="AA304" s="144"/>
      <c r="AB304" s="144"/>
      <c r="AC304" s="144"/>
    </row>
    <row r="305" spans="1:29" x14ac:dyDescent="0.2">
      <c r="A305" s="144"/>
      <c r="B305" s="145"/>
      <c r="C305" s="144"/>
      <c r="D305" s="144"/>
      <c r="E305" s="144"/>
      <c r="F305" s="144"/>
      <c r="G305" s="144"/>
      <c r="H305" s="144"/>
      <c r="I305" s="144"/>
      <c r="J305" s="144"/>
      <c r="K305" s="144"/>
      <c r="M305" s="144"/>
      <c r="N305" s="144"/>
      <c r="O305" s="144"/>
      <c r="P305" s="144"/>
      <c r="Q305" s="144"/>
      <c r="R305" s="144"/>
      <c r="S305" s="144"/>
      <c r="T305" s="144"/>
      <c r="U305" s="144"/>
      <c r="V305" s="144"/>
      <c r="W305" s="144"/>
      <c r="Y305" s="144"/>
      <c r="Z305" s="144"/>
      <c r="AA305" s="144"/>
      <c r="AB305" s="144"/>
      <c r="AC305" s="144"/>
    </row>
    <row r="306" spans="1:29" x14ac:dyDescent="0.2">
      <c r="A306" s="144"/>
      <c r="B306" s="145"/>
      <c r="C306" s="144"/>
      <c r="D306" s="144"/>
      <c r="E306" s="144"/>
      <c r="F306" s="144"/>
      <c r="G306" s="144"/>
      <c r="H306" s="144"/>
      <c r="I306" s="144"/>
      <c r="J306" s="144"/>
      <c r="K306" s="144"/>
      <c r="M306" s="144"/>
      <c r="N306" s="144"/>
      <c r="O306" s="144"/>
      <c r="P306" s="144"/>
      <c r="Q306" s="144"/>
      <c r="R306" s="144"/>
      <c r="S306" s="144"/>
      <c r="T306" s="144"/>
      <c r="U306" s="144"/>
      <c r="V306" s="144"/>
      <c r="W306" s="144"/>
      <c r="Y306" s="144"/>
      <c r="Z306" s="144"/>
      <c r="AA306" s="144"/>
      <c r="AB306" s="144"/>
      <c r="AC306" s="144"/>
    </row>
    <row r="307" spans="1:29" x14ac:dyDescent="0.2">
      <c r="A307" s="144"/>
      <c r="B307" s="145"/>
      <c r="C307" s="144"/>
      <c r="D307" s="144"/>
      <c r="E307" s="144"/>
      <c r="F307" s="144"/>
      <c r="G307" s="144"/>
      <c r="H307" s="144"/>
      <c r="I307" s="144"/>
      <c r="J307" s="144"/>
      <c r="K307" s="144"/>
      <c r="M307" s="144"/>
      <c r="N307" s="144"/>
      <c r="O307" s="144"/>
      <c r="P307" s="144"/>
      <c r="Q307" s="144"/>
      <c r="R307" s="144"/>
      <c r="S307" s="144"/>
      <c r="T307" s="144"/>
      <c r="U307" s="144"/>
      <c r="V307" s="144"/>
      <c r="W307" s="144"/>
      <c r="Y307" s="144"/>
      <c r="Z307" s="144"/>
      <c r="AA307" s="144"/>
      <c r="AB307" s="144"/>
      <c r="AC307" s="144"/>
    </row>
    <row r="308" spans="1:29" x14ac:dyDescent="0.2">
      <c r="A308" s="144"/>
      <c r="B308" s="145"/>
      <c r="C308" s="144"/>
      <c r="D308" s="144"/>
      <c r="E308" s="144"/>
      <c r="F308" s="144"/>
      <c r="G308" s="144"/>
      <c r="H308" s="144"/>
      <c r="I308" s="144"/>
      <c r="J308" s="144"/>
      <c r="K308" s="144"/>
      <c r="M308" s="144"/>
      <c r="N308" s="144"/>
      <c r="O308" s="144"/>
      <c r="P308" s="144"/>
      <c r="Q308" s="144"/>
      <c r="R308" s="144"/>
      <c r="S308" s="144"/>
      <c r="T308" s="144"/>
      <c r="U308" s="144"/>
      <c r="V308" s="144"/>
      <c r="W308" s="144"/>
      <c r="Y308" s="144"/>
      <c r="Z308" s="144"/>
      <c r="AA308" s="144"/>
      <c r="AB308" s="144"/>
      <c r="AC308" s="144"/>
    </row>
    <row r="309" spans="1:29" x14ac:dyDescent="0.2">
      <c r="A309" s="144"/>
      <c r="B309" s="145"/>
      <c r="C309" s="144"/>
      <c r="D309" s="144"/>
      <c r="E309" s="144"/>
      <c r="F309" s="144"/>
      <c r="G309" s="144"/>
      <c r="H309" s="144"/>
      <c r="I309" s="144"/>
      <c r="J309" s="144"/>
      <c r="K309" s="144"/>
      <c r="M309" s="144"/>
      <c r="N309" s="144"/>
      <c r="O309" s="144"/>
      <c r="P309" s="144"/>
      <c r="Q309" s="144"/>
      <c r="R309" s="144"/>
      <c r="S309" s="144"/>
      <c r="T309" s="144"/>
      <c r="U309" s="144"/>
      <c r="V309" s="144"/>
      <c r="W309" s="144"/>
      <c r="Y309" s="144"/>
      <c r="Z309" s="144"/>
      <c r="AA309" s="144"/>
      <c r="AB309" s="144"/>
      <c r="AC309" s="144"/>
    </row>
    <row r="310" spans="1:29" x14ac:dyDescent="0.2">
      <c r="A310" s="144"/>
      <c r="B310" s="145"/>
      <c r="C310" s="144"/>
      <c r="D310" s="144"/>
      <c r="E310" s="144"/>
      <c r="F310" s="144"/>
      <c r="G310" s="144"/>
      <c r="H310" s="144"/>
      <c r="I310" s="144"/>
      <c r="J310" s="144"/>
      <c r="K310" s="144"/>
      <c r="M310" s="144"/>
      <c r="N310" s="144"/>
      <c r="O310" s="144"/>
      <c r="P310" s="144"/>
      <c r="Q310" s="144"/>
      <c r="R310" s="144"/>
      <c r="S310" s="144"/>
      <c r="T310" s="144"/>
      <c r="U310" s="144"/>
      <c r="V310" s="144"/>
      <c r="W310" s="144"/>
      <c r="Y310" s="144"/>
      <c r="Z310" s="144"/>
      <c r="AA310" s="144"/>
      <c r="AB310" s="144"/>
      <c r="AC310" s="144"/>
    </row>
    <row r="311" spans="1:29" x14ac:dyDescent="0.2">
      <c r="A311" s="144"/>
      <c r="B311" s="145"/>
      <c r="C311" s="144"/>
      <c r="D311" s="144"/>
      <c r="E311" s="144"/>
      <c r="F311" s="144"/>
      <c r="G311" s="144"/>
      <c r="H311" s="144"/>
      <c r="I311" s="144"/>
      <c r="J311" s="144"/>
      <c r="K311" s="144"/>
      <c r="M311" s="144"/>
      <c r="N311" s="144"/>
      <c r="O311" s="144"/>
      <c r="P311" s="144"/>
      <c r="Q311" s="144"/>
      <c r="R311" s="144"/>
      <c r="S311" s="144"/>
      <c r="T311" s="144"/>
      <c r="U311" s="144"/>
      <c r="V311" s="144"/>
      <c r="W311" s="144"/>
      <c r="Y311" s="144"/>
      <c r="Z311" s="144"/>
      <c r="AA311" s="144"/>
      <c r="AB311" s="144"/>
      <c r="AC311" s="144"/>
    </row>
    <row r="312" spans="1:29" x14ac:dyDescent="0.2">
      <c r="A312" s="144"/>
      <c r="B312" s="145"/>
      <c r="C312" s="144"/>
      <c r="D312" s="144"/>
      <c r="E312" s="144"/>
      <c r="F312" s="144"/>
      <c r="G312" s="144"/>
      <c r="H312" s="144"/>
      <c r="I312" s="144"/>
      <c r="J312" s="144"/>
      <c r="K312" s="144"/>
      <c r="M312" s="144"/>
      <c r="N312" s="144"/>
      <c r="O312" s="144"/>
      <c r="P312" s="144"/>
      <c r="Q312" s="144"/>
      <c r="R312" s="144"/>
      <c r="S312" s="144"/>
      <c r="T312" s="144"/>
      <c r="U312" s="144"/>
      <c r="V312" s="144"/>
      <c r="W312" s="144"/>
      <c r="Y312" s="144"/>
      <c r="Z312" s="144"/>
      <c r="AA312" s="144"/>
      <c r="AB312" s="144"/>
      <c r="AC312" s="144"/>
    </row>
    <row r="313" spans="1:29" x14ac:dyDescent="0.2">
      <c r="A313" s="144"/>
      <c r="B313" s="145"/>
      <c r="C313" s="144"/>
      <c r="D313" s="144"/>
      <c r="E313" s="144"/>
      <c r="F313" s="144"/>
      <c r="G313" s="144"/>
      <c r="H313" s="144"/>
      <c r="I313" s="144"/>
      <c r="J313" s="144"/>
      <c r="K313" s="144"/>
      <c r="M313" s="144"/>
      <c r="N313" s="144"/>
      <c r="O313" s="144"/>
      <c r="P313" s="144"/>
      <c r="Q313" s="144"/>
      <c r="R313" s="144"/>
      <c r="S313" s="144"/>
      <c r="T313" s="144"/>
      <c r="U313" s="144"/>
      <c r="V313" s="144"/>
      <c r="W313" s="144"/>
      <c r="Y313" s="144"/>
      <c r="Z313" s="144"/>
      <c r="AA313" s="144"/>
      <c r="AB313" s="144"/>
      <c r="AC313" s="144"/>
    </row>
    <row r="314" spans="1:29" x14ac:dyDescent="0.2">
      <c r="A314" s="144"/>
      <c r="B314" s="145"/>
      <c r="C314" s="144"/>
      <c r="D314" s="144"/>
      <c r="E314" s="144"/>
      <c r="F314" s="144"/>
      <c r="G314" s="144"/>
      <c r="H314" s="144"/>
      <c r="I314" s="144"/>
      <c r="J314" s="144"/>
      <c r="K314" s="144"/>
      <c r="M314" s="144"/>
      <c r="N314" s="144"/>
      <c r="O314" s="144"/>
      <c r="P314" s="144"/>
      <c r="Q314" s="144"/>
      <c r="R314" s="144"/>
      <c r="S314" s="144"/>
      <c r="T314" s="144"/>
      <c r="U314" s="144"/>
      <c r="V314" s="144"/>
      <c r="W314" s="144"/>
      <c r="Y314" s="144"/>
      <c r="Z314" s="144"/>
      <c r="AA314" s="144"/>
      <c r="AB314" s="144"/>
      <c r="AC314" s="144"/>
    </row>
    <row r="315" spans="1:29" x14ac:dyDescent="0.2">
      <c r="A315" s="144"/>
      <c r="B315" s="145"/>
      <c r="C315" s="144"/>
      <c r="D315" s="144"/>
      <c r="E315" s="144"/>
      <c r="F315" s="144"/>
      <c r="G315" s="144"/>
      <c r="H315" s="144"/>
      <c r="I315" s="144"/>
      <c r="J315" s="144"/>
      <c r="K315" s="144"/>
      <c r="M315" s="144"/>
      <c r="N315" s="144"/>
      <c r="O315" s="144"/>
      <c r="P315" s="144"/>
      <c r="Q315" s="144"/>
      <c r="R315" s="144"/>
      <c r="S315" s="144"/>
      <c r="T315" s="144"/>
      <c r="U315" s="144"/>
      <c r="V315" s="144"/>
      <c r="W315" s="144"/>
      <c r="Y315" s="144"/>
      <c r="Z315" s="144"/>
      <c r="AA315" s="144"/>
      <c r="AB315" s="144"/>
      <c r="AC315" s="144"/>
    </row>
    <row r="316" spans="1:29" x14ac:dyDescent="0.2">
      <c r="A316" s="144"/>
      <c r="B316" s="145"/>
      <c r="C316" s="144"/>
      <c r="D316" s="144"/>
      <c r="E316" s="144"/>
      <c r="F316" s="144"/>
      <c r="G316" s="144"/>
      <c r="H316" s="144"/>
      <c r="I316" s="144"/>
      <c r="J316" s="144"/>
      <c r="K316" s="144"/>
      <c r="M316" s="144"/>
      <c r="N316" s="144"/>
      <c r="O316" s="144"/>
      <c r="P316" s="144"/>
      <c r="Q316" s="144"/>
      <c r="R316" s="144"/>
      <c r="S316" s="144"/>
      <c r="T316" s="144"/>
      <c r="U316" s="144"/>
      <c r="V316" s="144"/>
      <c r="W316" s="144"/>
      <c r="Y316" s="144"/>
      <c r="Z316" s="144"/>
      <c r="AA316" s="144"/>
      <c r="AB316" s="144"/>
      <c r="AC316" s="144"/>
    </row>
    <row r="317" spans="1:29" x14ac:dyDescent="0.2">
      <c r="A317" s="144"/>
      <c r="B317" s="145"/>
      <c r="C317" s="144"/>
      <c r="D317" s="144"/>
      <c r="E317" s="144"/>
      <c r="F317" s="144"/>
      <c r="G317" s="144"/>
      <c r="H317" s="144"/>
      <c r="I317" s="144"/>
      <c r="J317" s="144"/>
      <c r="K317" s="144"/>
      <c r="M317" s="144"/>
      <c r="N317" s="144"/>
      <c r="O317" s="144"/>
      <c r="P317" s="144"/>
      <c r="Q317" s="144"/>
      <c r="R317" s="144"/>
      <c r="S317" s="144"/>
      <c r="T317" s="144"/>
      <c r="U317" s="144"/>
      <c r="V317" s="144"/>
      <c r="W317" s="144"/>
      <c r="Y317" s="144"/>
      <c r="Z317" s="144"/>
      <c r="AA317" s="144"/>
      <c r="AB317" s="144"/>
      <c r="AC317" s="144"/>
    </row>
    <row r="318" spans="1:29" x14ac:dyDescent="0.2">
      <c r="A318" s="144"/>
      <c r="B318" s="145"/>
      <c r="C318" s="144"/>
      <c r="D318" s="144"/>
      <c r="E318" s="144"/>
      <c r="F318" s="144"/>
      <c r="G318" s="144"/>
      <c r="H318" s="144"/>
      <c r="I318" s="144"/>
      <c r="J318" s="144"/>
      <c r="K318" s="144"/>
      <c r="M318" s="144"/>
      <c r="N318" s="144"/>
      <c r="O318" s="144"/>
      <c r="P318" s="144"/>
      <c r="Q318" s="144"/>
      <c r="R318" s="144"/>
      <c r="S318" s="144"/>
      <c r="T318" s="144"/>
      <c r="U318" s="144"/>
      <c r="V318" s="144"/>
      <c r="W318" s="144"/>
      <c r="Y318" s="144"/>
      <c r="Z318" s="144"/>
      <c r="AA318" s="144"/>
      <c r="AB318" s="144"/>
      <c r="AC318" s="144"/>
    </row>
    <row r="319" spans="1:29" x14ac:dyDescent="0.2">
      <c r="A319" s="144"/>
      <c r="B319" s="145"/>
      <c r="C319" s="144"/>
      <c r="D319" s="144"/>
      <c r="E319" s="144"/>
      <c r="F319" s="144"/>
      <c r="G319" s="144"/>
      <c r="H319" s="144"/>
      <c r="I319" s="144"/>
      <c r="J319" s="144"/>
      <c r="K319" s="144"/>
      <c r="M319" s="144"/>
      <c r="N319" s="144"/>
      <c r="O319" s="144"/>
      <c r="P319" s="144"/>
      <c r="Q319" s="144"/>
      <c r="R319" s="144"/>
      <c r="S319" s="144"/>
      <c r="T319" s="144"/>
      <c r="U319" s="144"/>
      <c r="V319" s="144"/>
      <c r="W319" s="144"/>
      <c r="Y319" s="144"/>
      <c r="Z319" s="144"/>
      <c r="AA319" s="144"/>
      <c r="AB319" s="144"/>
      <c r="AC319" s="144"/>
    </row>
    <row r="320" spans="1:29" x14ac:dyDescent="0.2">
      <c r="A320" s="144"/>
      <c r="B320" s="145"/>
      <c r="C320" s="144"/>
      <c r="D320" s="144"/>
      <c r="E320" s="144"/>
      <c r="F320" s="144"/>
      <c r="G320" s="144"/>
      <c r="H320" s="144"/>
      <c r="I320" s="144"/>
      <c r="J320" s="144"/>
      <c r="K320" s="144"/>
      <c r="M320" s="144"/>
      <c r="N320" s="144"/>
      <c r="O320" s="144"/>
      <c r="P320" s="144"/>
      <c r="Q320" s="144"/>
      <c r="R320" s="144"/>
      <c r="S320" s="144"/>
      <c r="T320" s="144"/>
      <c r="U320" s="144"/>
      <c r="V320" s="144"/>
      <c r="W320" s="144"/>
      <c r="Y320" s="144"/>
      <c r="Z320" s="144"/>
      <c r="AA320" s="144"/>
      <c r="AB320" s="144"/>
      <c r="AC320" s="144"/>
    </row>
    <row r="321" spans="1:29" x14ac:dyDescent="0.2">
      <c r="A321" s="144"/>
      <c r="B321" s="145"/>
      <c r="C321" s="144"/>
      <c r="D321" s="144"/>
      <c r="E321" s="144"/>
      <c r="F321" s="144"/>
      <c r="G321" s="144"/>
      <c r="H321" s="144"/>
      <c r="I321" s="144"/>
      <c r="J321" s="144"/>
      <c r="K321" s="144"/>
      <c r="M321" s="144"/>
      <c r="N321" s="144"/>
      <c r="O321" s="144"/>
      <c r="P321" s="144"/>
      <c r="Q321" s="144"/>
      <c r="R321" s="144"/>
      <c r="S321" s="144"/>
      <c r="T321" s="144"/>
      <c r="U321" s="144"/>
      <c r="V321" s="144"/>
      <c r="W321" s="144"/>
      <c r="Y321" s="144"/>
      <c r="Z321" s="144"/>
      <c r="AA321" s="144"/>
      <c r="AB321" s="144"/>
      <c r="AC321" s="144"/>
    </row>
    <row r="322" spans="1:29" x14ac:dyDescent="0.2">
      <c r="A322" s="144"/>
      <c r="B322" s="145"/>
      <c r="C322" s="144"/>
      <c r="D322" s="144"/>
      <c r="E322" s="144"/>
      <c r="F322" s="144"/>
      <c r="G322" s="144"/>
      <c r="H322" s="144"/>
      <c r="I322" s="144"/>
      <c r="J322" s="144"/>
      <c r="K322" s="144"/>
      <c r="M322" s="144"/>
      <c r="N322" s="144"/>
      <c r="O322" s="144"/>
      <c r="P322" s="144"/>
      <c r="Q322" s="144"/>
      <c r="R322" s="144"/>
      <c r="S322" s="144"/>
      <c r="T322" s="144"/>
      <c r="U322" s="144"/>
      <c r="V322" s="144"/>
      <c r="W322" s="144"/>
      <c r="Y322" s="144"/>
      <c r="Z322" s="144"/>
      <c r="AA322" s="144"/>
      <c r="AB322" s="144"/>
      <c r="AC322" s="144"/>
    </row>
    <row r="323" spans="1:29" x14ac:dyDescent="0.2">
      <c r="A323" s="144"/>
      <c r="B323" s="145"/>
      <c r="C323" s="144"/>
      <c r="D323" s="144"/>
      <c r="E323" s="144"/>
      <c r="F323" s="144"/>
      <c r="G323" s="144"/>
      <c r="H323" s="144"/>
      <c r="I323" s="144"/>
      <c r="J323" s="144"/>
      <c r="K323" s="144"/>
      <c r="M323" s="144"/>
      <c r="N323" s="144"/>
      <c r="O323" s="144"/>
      <c r="P323" s="144"/>
      <c r="Q323" s="144"/>
      <c r="R323" s="144"/>
      <c r="S323" s="144"/>
      <c r="T323" s="144"/>
      <c r="U323" s="144"/>
      <c r="V323" s="144"/>
      <c r="W323" s="144"/>
      <c r="Y323" s="144"/>
      <c r="Z323" s="144"/>
      <c r="AA323" s="144"/>
      <c r="AB323" s="144"/>
      <c r="AC323" s="144"/>
    </row>
    <row r="324" spans="1:29" x14ac:dyDescent="0.2">
      <c r="A324" s="144"/>
      <c r="B324" s="145"/>
      <c r="C324" s="144"/>
      <c r="D324" s="144"/>
      <c r="E324" s="144"/>
      <c r="F324" s="144"/>
      <c r="G324" s="144"/>
      <c r="H324" s="144"/>
      <c r="I324" s="144"/>
      <c r="J324" s="144"/>
      <c r="K324" s="144"/>
      <c r="M324" s="144"/>
      <c r="N324" s="144"/>
      <c r="O324" s="144"/>
      <c r="P324" s="144"/>
      <c r="Q324" s="144"/>
      <c r="R324" s="144"/>
      <c r="S324" s="144"/>
      <c r="T324" s="144"/>
      <c r="U324" s="144"/>
      <c r="V324" s="144"/>
      <c r="W324" s="144"/>
      <c r="Y324" s="144"/>
      <c r="Z324" s="144"/>
      <c r="AA324" s="144"/>
      <c r="AB324" s="144"/>
      <c r="AC324" s="144"/>
    </row>
    <row r="325" spans="1:29" x14ac:dyDescent="0.2">
      <c r="A325" s="144"/>
      <c r="B325" s="145"/>
      <c r="C325" s="144"/>
      <c r="D325" s="144"/>
      <c r="E325" s="144"/>
      <c r="F325" s="144"/>
      <c r="G325" s="144"/>
      <c r="H325" s="144"/>
      <c r="I325" s="144"/>
      <c r="J325" s="144"/>
      <c r="K325" s="144"/>
      <c r="M325" s="144"/>
      <c r="N325" s="144"/>
      <c r="O325" s="144"/>
      <c r="P325" s="144"/>
      <c r="Q325" s="144"/>
      <c r="R325" s="144"/>
      <c r="S325" s="144"/>
      <c r="T325" s="144"/>
      <c r="U325" s="144"/>
      <c r="V325" s="144"/>
      <c r="W325" s="144"/>
      <c r="Y325" s="144"/>
      <c r="Z325" s="144"/>
      <c r="AA325" s="144"/>
      <c r="AB325" s="144"/>
      <c r="AC325" s="144"/>
    </row>
    <row r="326" spans="1:29" x14ac:dyDescent="0.2">
      <c r="A326" s="144"/>
      <c r="B326" s="145"/>
      <c r="C326" s="144"/>
      <c r="D326" s="144"/>
      <c r="E326" s="144"/>
      <c r="F326" s="144"/>
      <c r="G326" s="144"/>
      <c r="H326" s="144"/>
      <c r="I326" s="144"/>
      <c r="J326" s="144"/>
      <c r="K326" s="144"/>
      <c r="M326" s="144"/>
      <c r="N326" s="144"/>
      <c r="O326" s="144"/>
      <c r="P326" s="144"/>
      <c r="Q326" s="144"/>
      <c r="R326" s="144"/>
      <c r="S326" s="144"/>
      <c r="T326" s="144"/>
      <c r="U326" s="144"/>
      <c r="V326" s="144"/>
      <c r="W326" s="144"/>
      <c r="Y326" s="144"/>
      <c r="Z326" s="144"/>
      <c r="AA326" s="144"/>
      <c r="AB326" s="144"/>
      <c r="AC326" s="144"/>
    </row>
    <row r="327" spans="1:29" x14ac:dyDescent="0.2">
      <c r="A327" s="144"/>
      <c r="B327" s="145"/>
      <c r="C327" s="144"/>
      <c r="D327" s="144"/>
      <c r="E327" s="144"/>
      <c r="F327" s="144"/>
      <c r="G327" s="144"/>
      <c r="H327" s="144"/>
      <c r="I327" s="144"/>
      <c r="J327" s="144"/>
      <c r="K327" s="144"/>
      <c r="M327" s="144"/>
      <c r="N327" s="144"/>
      <c r="O327" s="144"/>
      <c r="P327" s="144"/>
      <c r="Q327" s="144"/>
      <c r="R327" s="144"/>
      <c r="S327" s="144"/>
      <c r="T327" s="144"/>
      <c r="U327" s="144"/>
      <c r="V327" s="144"/>
      <c r="W327" s="144"/>
      <c r="Y327" s="144"/>
      <c r="Z327" s="144"/>
      <c r="AA327" s="144"/>
      <c r="AB327" s="144"/>
      <c r="AC327" s="144"/>
    </row>
    <row r="328" spans="1:29" x14ac:dyDescent="0.2">
      <c r="A328" s="144"/>
      <c r="B328" s="145"/>
      <c r="C328" s="144"/>
      <c r="D328" s="144"/>
      <c r="E328" s="144"/>
      <c r="F328" s="144"/>
      <c r="G328" s="144"/>
      <c r="H328" s="144"/>
      <c r="I328" s="144"/>
      <c r="J328" s="144"/>
      <c r="K328" s="144"/>
      <c r="M328" s="144"/>
      <c r="N328" s="144"/>
      <c r="O328" s="144"/>
      <c r="P328" s="144"/>
      <c r="Q328" s="144"/>
      <c r="R328" s="144"/>
      <c r="S328" s="144"/>
      <c r="T328" s="144"/>
      <c r="U328" s="144"/>
      <c r="V328" s="144"/>
      <c r="W328" s="144"/>
      <c r="Y328" s="144"/>
      <c r="Z328" s="144"/>
      <c r="AA328" s="144"/>
      <c r="AB328" s="144"/>
      <c r="AC328" s="144"/>
    </row>
    <row r="329" spans="1:29" x14ac:dyDescent="0.2">
      <c r="A329" s="144"/>
      <c r="B329" s="145"/>
      <c r="C329" s="144"/>
      <c r="D329" s="144"/>
      <c r="E329" s="144"/>
      <c r="F329" s="144"/>
      <c r="G329" s="144"/>
      <c r="H329" s="144"/>
      <c r="I329" s="144"/>
      <c r="J329" s="144"/>
      <c r="K329" s="144"/>
      <c r="M329" s="144"/>
      <c r="N329" s="144"/>
      <c r="O329" s="144"/>
      <c r="P329" s="144"/>
      <c r="Q329" s="144"/>
      <c r="R329" s="144"/>
      <c r="S329" s="144"/>
      <c r="T329" s="144"/>
      <c r="U329" s="144"/>
      <c r="V329" s="144"/>
      <c r="W329" s="144"/>
      <c r="Y329" s="144"/>
      <c r="Z329" s="144"/>
      <c r="AA329" s="144"/>
      <c r="AB329" s="144"/>
      <c r="AC329" s="144"/>
    </row>
    <row r="330" spans="1:29" x14ac:dyDescent="0.2">
      <c r="A330" s="144"/>
      <c r="B330" s="145"/>
      <c r="C330" s="144"/>
      <c r="D330" s="144"/>
      <c r="E330" s="144"/>
      <c r="F330" s="144"/>
      <c r="G330" s="144"/>
      <c r="H330" s="144"/>
      <c r="I330" s="144"/>
      <c r="J330" s="144"/>
      <c r="K330" s="144"/>
      <c r="M330" s="144"/>
      <c r="N330" s="144"/>
      <c r="O330" s="144"/>
      <c r="P330" s="144"/>
      <c r="Q330" s="144"/>
      <c r="R330" s="144"/>
      <c r="S330" s="144"/>
      <c r="T330" s="144"/>
      <c r="U330" s="144"/>
      <c r="V330" s="144"/>
      <c r="W330" s="144"/>
      <c r="Y330" s="144"/>
      <c r="Z330" s="144"/>
      <c r="AA330" s="144"/>
      <c r="AB330" s="144"/>
      <c r="AC330" s="144"/>
    </row>
    <row r="331" spans="1:29" x14ac:dyDescent="0.2">
      <c r="A331" s="144"/>
      <c r="B331" s="145"/>
      <c r="C331" s="144"/>
      <c r="D331" s="144"/>
      <c r="E331" s="144"/>
      <c r="F331" s="144"/>
      <c r="G331" s="144"/>
      <c r="H331" s="144"/>
      <c r="I331" s="144"/>
      <c r="J331" s="144"/>
      <c r="K331" s="144"/>
      <c r="M331" s="144"/>
      <c r="N331" s="144"/>
      <c r="O331" s="144"/>
      <c r="P331" s="144"/>
      <c r="Q331" s="144"/>
      <c r="R331" s="144"/>
      <c r="S331" s="144"/>
      <c r="T331" s="144"/>
      <c r="U331" s="144"/>
      <c r="V331" s="144"/>
      <c r="W331" s="144"/>
      <c r="Y331" s="144"/>
      <c r="Z331" s="144"/>
      <c r="AA331" s="144"/>
      <c r="AB331" s="144"/>
      <c r="AC331" s="144"/>
    </row>
    <row r="332" spans="1:29" x14ac:dyDescent="0.2">
      <c r="A332" s="144"/>
      <c r="B332" s="145"/>
      <c r="C332" s="144"/>
      <c r="D332" s="144"/>
      <c r="E332" s="144"/>
      <c r="F332" s="144"/>
      <c r="G332" s="144"/>
      <c r="H332" s="144"/>
      <c r="I332" s="144"/>
      <c r="J332" s="144"/>
      <c r="K332" s="144"/>
      <c r="M332" s="144"/>
      <c r="N332" s="144"/>
      <c r="O332" s="144"/>
      <c r="P332" s="144"/>
      <c r="Q332" s="144"/>
      <c r="R332" s="144"/>
      <c r="S332" s="144"/>
      <c r="T332" s="144"/>
      <c r="U332" s="144"/>
      <c r="V332" s="144"/>
      <c r="W332" s="144"/>
      <c r="Y332" s="144"/>
      <c r="Z332" s="144"/>
      <c r="AA332" s="144"/>
      <c r="AB332" s="144"/>
      <c r="AC332" s="144"/>
    </row>
    <row r="333" spans="1:29" x14ac:dyDescent="0.2">
      <c r="A333" s="144"/>
      <c r="B333" s="145"/>
      <c r="C333" s="144"/>
      <c r="D333" s="144"/>
      <c r="E333" s="144"/>
      <c r="F333" s="144"/>
      <c r="G333" s="144"/>
      <c r="H333" s="144"/>
      <c r="I333" s="144"/>
      <c r="J333" s="144"/>
      <c r="K333" s="144"/>
      <c r="M333" s="144"/>
      <c r="N333" s="144"/>
      <c r="O333" s="144"/>
      <c r="P333" s="144"/>
      <c r="Q333" s="144"/>
      <c r="R333" s="144"/>
      <c r="S333" s="144"/>
      <c r="T333" s="144"/>
      <c r="U333" s="144"/>
      <c r="V333" s="144"/>
      <c r="W333" s="144"/>
      <c r="Y333" s="144"/>
      <c r="Z333" s="144"/>
      <c r="AA333" s="144"/>
      <c r="AB333" s="144"/>
      <c r="AC333" s="144"/>
    </row>
    <row r="334" spans="1:29" x14ac:dyDescent="0.2">
      <c r="A334" s="144"/>
      <c r="B334" s="145"/>
      <c r="C334" s="144"/>
      <c r="D334" s="144"/>
      <c r="E334" s="144"/>
      <c r="F334" s="144"/>
      <c r="G334" s="144"/>
      <c r="H334" s="144"/>
      <c r="I334" s="144"/>
      <c r="J334" s="144"/>
      <c r="K334" s="144"/>
      <c r="M334" s="144"/>
      <c r="N334" s="144"/>
      <c r="O334" s="144"/>
      <c r="P334" s="144"/>
      <c r="Q334" s="144"/>
      <c r="R334" s="144"/>
      <c r="S334" s="144"/>
      <c r="T334" s="144"/>
      <c r="U334" s="144"/>
      <c r="V334" s="144"/>
      <c r="W334" s="144"/>
      <c r="Y334" s="144"/>
      <c r="Z334" s="144"/>
      <c r="AA334" s="144"/>
      <c r="AB334" s="144"/>
      <c r="AC334" s="144"/>
    </row>
    <row r="335" spans="1:29" x14ac:dyDescent="0.2">
      <c r="A335" s="144"/>
      <c r="B335" s="145"/>
      <c r="C335" s="144"/>
      <c r="D335" s="144"/>
      <c r="E335" s="144"/>
      <c r="F335" s="144"/>
      <c r="G335" s="144"/>
      <c r="H335" s="144"/>
      <c r="I335" s="144"/>
      <c r="J335" s="144"/>
      <c r="K335" s="144"/>
      <c r="M335" s="144"/>
      <c r="N335" s="144"/>
      <c r="O335" s="144"/>
      <c r="P335" s="144"/>
      <c r="Q335" s="144"/>
      <c r="R335" s="144"/>
      <c r="S335" s="144"/>
      <c r="T335" s="144"/>
      <c r="U335" s="144"/>
      <c r="V335" s="144"/>
      <c r="W335" s="144"/>
      <c r="Y335" s="144"/>
      <c r="Z335" s="144"/>
      <c r="AA335" s="144"/>
      <c r="AB335" s="144"/>
      <c r="AC335" s="144"/>
    </row>
    <row r="336" spans="1:29" x14ac:dyDescent="0.2">
      <c r="A336" s="144"/>
      <c r="B336" s="145"/>
      <c r="C336" s="144"/>
      <c r="D336" s="144"/>
      <c r="E336" s="144"/>
      <c r="F336" s="144"/>
      <c r="G336" s="144"/>
      <c r="H336" s="144"/>
      <c r="I336" s="144"/>
      <c r="J336" s="144"/>
      <c r="K336" s="144"/>
      <c r="M336" s="144"/>
      <c r="N336" s="144"/>
      <c r="O336" s="144"/>
      <c r="P336" s="144"/>
      <c r="Q336" s="144"/>
      <c r="R336" s="144"/>
      <c r="S336" s="144"/>
      <c r="T336" s="144"/>
      <c r="U336" s="144"/>
      <c r="V336" s="144"/>
      <c r="W336" s="144"/>
      <c r="Y336" s="144"/>
      <c r="Z336" s="144"/>
      <c r="AA336" s="144"/>
      <c r="AB336" s="144"/>
      <c r="AC336" s="144"/>
    </row>
    <row r="337" spans="1:29" x14ac:dyDescent="0.2">
      <c r="A337" s="144"/>
      <c r="B337" s="145"/>
      <c r="C337" s="144"/>
      <c r="D337" s="144"/>
      <c r="E337" s="144"/>
      <c r="F337" s="144"/>
      <c r="G337" s="144"/>
      <c r="H337" s="144"/>
      <c r="I337" s="144"/>
      <c r="J337" s="144"/>
      <c r="K337" s="144"/>
      <c r="M337" s="144"/>
      <c r="N337" s="144"/>
      <c r="O337" s="144"/>
      <c r="P337" s="144"/>
      <c r="Q337" s="144"/>
      <c r="R337" s="144"/>
      <c r="S337" s="144"/>
      <c r="T337" s="144"/>
      <c r="U337" s="144"/>
      <c r="V337" s="144"/>
      <c r="W337" s="144"/>
      <c r="Y337" s="144"/>
      <c r="Z337" s="144"/>
      <c r="AA337" s="144"/>
      <c r="AB337" s="144"/>
      <c r="AC337" s="144"/>
    </row>
    <row r="338" spans="1:29" x14ac:dyDescent="0.2">
      <c r="A338" s="144"/>
      <c r="B338" s="145"/>
      <c r="C338" s="144"/>
      <c r="D338" s="144"/>
      <c r="E338" s="144"/>
      <c r="F338" s="144"/>
      <c r="G338" s="144"/>
      <c r="H338" s="144"/>
      <c r="I338" s="144"/>
      <c r="J338" s="144"/>
      <c r="K338" s="144"/>
      <c r="M338" s="144"/>
      <c r="N338" s="144"/>
      <c r="O338" s="144"/>
      <c r="P338" s="144"/>
      <c r="Q338" s="144"/>
      <c r="R338" s="144"/>
      <c r="S338" s="144"/>
      <c r="T338" s="144"/>
      <c r="U338" s="144"/>
      <c r="V338" s="144"/>
      <c r="W338" s="144"/>
      <c r="Y338" s="144"/>
      <c r="Z338" s="144"/>
      <c r="AA338" s="144"/>
      <c r="AB338" s="144"/>
      <c r="AC338" s="144"/>
    </row>
    <row r="339" spans="1:29" x14ac:dyDescent="0.2">
      <c r="A339" s="144"/>
      <c r="B339" s="145"/>
      <c r="C339" s="144"/>
      <c r="D339" s="144"/>
      <c r="E339" s="144"/>
      <c r="F339" s="144"/>
      <c r="G339" s="144"/>
      <c r="H339" s="144"/>
      <c r="I339" s="144"/>
      <c r="J339" s="144"/>
      <c r="K339" s="144"/>
      <c r="M339" s="144"/>
      <c r="N339" s="144"/>
      <c r="O339" s="144"/>
      <c r="P339" s="144"/>
      <c r="Q339" s="144"/>
      <c r="R339" s="144"/>
      <c r="S339" s="144"/>
      <c r="T339" s="144"/>
      <c r="U339" s="144"/>
      <c r="V339" s="144"/>
      <c r="W339" s="144"/>
      <c r="Y339" s="144"/>
      <c r="Z339" s="144"/>
      <c r="AA339" s="144"/>
      <c r="AB339" s="144"/>
      <c r="AC339" s="144"/>
    </row>
    <row r="340" spans="1:29" x14ac:dyDescent="0.2">
      <c r="A340" s="144"/>
      <c r="B340" s="145"/>
      <c r="C340" s="144"/>
      <c r="D340" s="144"/>
      <c r="E340" s="144"/>
      <c r="F340" s="144"/>
      <c r="G340" s="144"/>
      <c r="H340" s="144"/>
      <c r="I340" s="144"/>
      <c r="J340" s="144"/>
      <c r="K340" s="144"/>
      <c r="M340" s="144"/>
      <c r="N340" s="144"/>
      <c r="O340" s="144"/>
      <c r="P340" s="144"/>
      <c r="Q340" s="144"/>
      <c r="R340" s="144"/>
      <c r="S340" s="144"/>
      <c r="T340" s="144"/>
      <c r="U340" s="144"/>
      <c r="V340" s="144"/>
      <c r="W340" s="144"/>
      <c r="Y340" s="144"/>
      <c r="Z340" s="144"/>
      <c r="AA340" s="144"/>
      <c r="AB340" s="144"/>
      <c r="AC340" s="144"/>
    </row>
    <row r="341" spans="1:29" x14ac:dyDescent="0.2">
      <c r="A341" s="144"/>
      <c r="B341" s="145"/>
      <c r="C341" s="144"/>
      <c r="D341" s="144"/>
      <c r="E341" s="144"/>
      <c r="F341" s="144"/>
      <c r="G341" s="144"/>
      <c r="H341" s="144"/>
      <c r="I341" s="144"/>
      <c r="J341" s="144"/>
      <c r="K341" s="144"/>
      <c r="M341" s="144"/>
      <c r="N341" s="144"/>
      <c r="O341" s="144"/>
      <c r="P341" s="144"/>
      <c r="Q341" s="144"/>
      <c r="R341" s="144"/>
      <c r="S341" s="144"/>
      <c r="T341" s="144"/>
      <c r="U341" s="144"/>
      <c r="V341" s="144"/>
      <c r="W341" s="144"/>
      <c r="Y341" s="144"/>
      <c r="Z341" s="144"/>
      <c r="AA341" s="144"/>
      <c r="AB341" s="144"/>
      <c r="AC341" s="144"/>
    </row>
    <row r="342" spans="1:29" x14ac:dyDescent="0.2">
      <c r="A342" s="144"/>
      <c r="B342" s="145"/>
      <c r="C342" s="144"/>
      <c r="D342" s="144"/>
      <c r="E342" s="144"/>
      <c r="F342" s="144"/>
      <c r="G342" s="144"/>
      <c r="H342" s="144"/>
      <c r="I342" s="144"/>
      <c r="J342" s="144"/>
      <c r="K342" s="144"/>
      <c r="M342" s="144"/>
      <c r="N342" s="144"/>
      <c r="O342" s="144"/>
      <c r="P342" s="144"/>
      <c r="Q342" s="144"/>
      <c r="R342" s="144"/>
      <c r="S342" s="144"/>
      <c r="T342" s="144"/>
      <c r="U342" s="144"/>
      <c r="V342" s="144"/>
      <c r="W342" s="144"/>
      <c r="Y342" s="144"/>
      <c r="Z342" s="144"/>
      <c r="AA342" s="144"/>
      <c r="AB342" s="144"/>
      <c r="AC342" s="144"/>
    </row>
    <row r="343" spans="1:29" x14ac:dyDescent="0.2">
      <c r="A343" s="144"/>
      <c r="B343" s="145"/>
      <c r="C343" s="144"/>
      <c r="D343" s="144"/>
      <c r="E343" s="144"/>
      <c r="F343" s="144"/>
      <c r="G343" s="144"/>
      <c r="H343" s="144"/>
      <c r="I343" s="144"/>
      <c r="J343" s="144"/>
      <c r="K343" s="144"/>
      <c r="M343" s="144"/>
      <c r="N343" s="144"/>
      <c r="O343" s="144"/>
      <c r="P343" s="144"/>
      <c r="Q343" s="144"/>
      <c r="R343" s="144"/>
      <c r="S343" s="144"/>
      <c r="T343" s="144"/>
      <c r="U343" s="144"/>
      <c r="V343" s="144"/>
      <c r="W343" s="144"/>
      <c r="Y343" s="144"/>
      <c r="Z343" s="144"/>
      <c r="AA343" s="144"/>
      <c r="AB343" s="144"/>
      <c r="AC343" s="144"/>
    </row>
    <row r="344" spans="1:29" x14ac:dyDescent="0.2">
      <c r="A344" s="144"/>
      <c r="B344" s="145"/>
      <c r="C344" s="144"/>
      <c r="D344" s="144"/>
      <c r="E344" s="144"/>
      <c r="F344" s="144"/>
      <c r="G344" s="144"/>
      <c r="H344" s="144"/>
      <c r="I344" s="144"/>
      <c r="J344" s="144"/>
      <c r="K344" s="144"/>
      <c r="M344" s="144"/>
      <c r="N344" s="144"/>
      <c r="O344" s="144"/>
      <c r="P344" s="144"/>
      <c r="Q344" s="144"/>
      <c r="R344" s="144"/>
      <c r="S344" s="144"/>
      <c r="T344" s="144"/>
      <c r="U344" s="144"/>
      <c r="V344" s="144"/>
      <c r="W344" s="144"/>
      <c r="Y344" s="144"/>
      <c r="Z344" s="144"/>
      <c r="AA344" s="144"/>
      <c r="AB344" s="144"/>
      <c r="AC344" s="144"/>
    </row>
    <row r="345" spans="1:29" x14ac:dyDescent="0.2">
      <c r="A345" s="144"/>
      <c r="B345" s="145"/>
      <c r="C345" s="144"/>
      <c r="D345" s="144"/>
      <c r="E345" s="144"/>
      <c r="F345" s="144"/>
      <c r="G345" s="144"/>
      <c r="H345" s="144"/>
      <c r="I345" s="144"/>
      <c r="J345" s="144"/>
      <c r="K345" s="144"/>
      <c r="M345" s="144"/>
      <c r="N345" s="144"/>
      <c r="O345" s="144"/>
      <c r="P345" s="144"/>
      <c r="Q345" s="144"/>
      <c r="R345" s="144"/>
      <c r="S345" s="144"/>
      <c r="T345" s="144"/>
      <c r="U345" s="144"/>
      <c r="V345" s="144"/>
      <c r="W345" s="144"/>
      <c r="Y345" s="144"/>
      <c r="Z345" s="144"/>
      <c r="AA345" s="144"/>
      <c r="AB345" s="144"/>
      <c r="AC345" s="144"/>
    </row>
    <row r="346" spans="1:29" x14ac:dyDescent="0.2">
      <c r="A346" s="144"/>
      <c r="B346" s="145"/>
      <c r="C346" s="144"/>
      <c r="D346" s="144"/>
      <c r="E346" s="144"/>
      <c r="F346" s="144"/>
      <c r="G346" s="144"/>
      <c r="H346" s="144"/>
      <c r="I346" s="144"/>
      <c r="J346" s="144"/>
      <c r="K346" s="144"/>
      <c r="M346" s="144"/>
      <c r="N346" s="144"/>
      <c r="O346" s="144"/>
      <c r="P346" s="144"/>
      <c r="Q346" s="144"/>
      <c r="R346" s="144"/>
      <c r="S346" s="144"/>
      <c r="T346" s="144"/>
      <c r="U346" s="144"/>
      <c r="V346" s="144"/>
      <c r="W346" s="144"/>
      <c r="Y346" s="144"/>
      <c r="Z346" s="144"/>
      <c r="AA346" s="144"/>
      <c r="AB346" s="144"/>
      <c r="AC346" s="144"/>
    </row>
    <row r="347" spans="1:29" x14ac:dyDescent="0.2">
      <c r="A347" s="144"/>
      <c r="B347" s="145"/>
      <c r="C347" s="144"/>
      <c r="D347" s="144"/>
      <c r="E347" s="144"/>
      <c r="F347" s="144"/>
      <c r="G347" s="144"/>
      <c r="H347" s="144"/>
      <c r="I347" s="144"/>
      <c r="J347" s="144"/>
      <c r="K347" s="144"/>
      <c r="M347" s="144"/>
      <c r="N347" s="144"/>
      <c r="O347" s="144"/>
      <c r="P347" s="144"/>
      <c r="Q347" s="144"/>
      <c r="R347" s="144"/>
      <c r="S347" s="144"/>
      <c r="T347" s="144"/>
      <c r="U347" s="144"/>
      <c r="V347" s="144"/>
      <c r="W347" s="144"/>
      <c r="Y347" s="144"/>
      <c r="Z347" s="144"/>
      <c r="AA347" s="144"/>
      <c r="AB347" s="144"/>
      <c r="AC347" s="144"/>
    </row>
    <row r="348" spans="1:29" x14ac:dyDescent="0.2">
      <c r="A348" s="144"/>
      <c r="B348" s="145"/>
      <c r="C348" s="144"/>
      <c r="D348" s="144"/>
      <c r="E348" s="144"/>
      <c r="F348" s="144"/>
      <c r="G348" s="144"/>
      <c r="H348" s="144"/>
      <c r="I348" s="144"/>
      <c r="J348" s="144"/>
      <c r="K348" s="144"/>
      <c r="M348" s="144"/>
      <c r="N348" s="144"/>
      <c r="O348" s="144"/>
      <c r="P348" s="144"/>
      <c r="Q348" s="144"/>
      <c r="R348" s="144"/>
      <c r="S348" s="144"/>
      <c r="T348" s="144"/>
      <c r="U348" s="144"/>
      <c r="V348" s="144"/>
      <c r="W348" s="144"/>
      <c r="Y348" s="144"/>
      <c r="Z348" s="144"/>
      <c r="AA348" s="144"/>
      <c r="AB348" s="144"/>
      <c r="AC348" s="144"/>
    </row>
    <row r="349" spans="1:29" x14ac:dyDescent="0.2">
      <c r="A349" s="144"/>
      <c r="B349" s="145"/>
      <c r="C349" s="144"/>
      <c r="D349" s="144"/>
      <c r="E349" s="144"/>
      <c r="F349" s="144"/>
      <c r="G349" s="144"/>
      <c r="H349" s="144"/>
      <c r="I349" s="144"/>
      <c r="J349" s="144"/>
      <c r="K349" s="144"/>
      <c r="M349" s="144"/>
      <c r="N349" s="144"/>
      <c r="O349" s="144"/>
      <c r="P349" s="144"/>
      <c r="Q349" s="144"/>
      <c r="R349" s="144"/>
      <c r="S349" s="144"/>
      <c r="T349" s="144"/>
      <c r="U349" s="144"/>
      <c r="V349" s="144"/>
      <c r="W349" s="144"/>
      <c r="Y349" s="144"/>
      <c r="Z349" s="144"/>
      <c r="AA349" s="144"/>
      <c r="AB349" s="144"/>
      <c r="AC349" s="144"/>
    </row>
    <row r="350" spans="1:29" x14ac:dyDescent="0.2">
      <c r="A350" s="144"/>
      <c r="B350" s="145"/>
      <c r="C350" s="144"/>
      <c r="D350" s="144"/>
      <c r="E350" s="144"/>
      <c r="F350" s="144"/>
      <c r="G350" s="144"/>
      <c r="H350" s="144"/>
      <c r="I350" s="144"/>
      <c r="J350" s="144"/>
      <c r="K350" s="144"/>
      <c r="M350" s="144"/>
      <c r="N350" s="144"/>
      <c r="O350" s="144"/>
      <c r="P350" s="144"/>
      <c r="Q350" s="144"/>
      <c r="R350" s="144"/>
      <c r="S350" s="144"/>
      <c r="T350" s="144"/>
      <c r="U350" s="144"/>
      <c r="V350" s="144"/>
      <c r="W350" s="144"/>
      <c r="Y350" s="144"/>
      <c r="Z350" s="144"/>
      <c r="AA350" s="144"/>
      <c r="AB350" s="144"/>
      <c r="AC350" s="144"/>
    </row>
    <row r="351" spans="1:29" x14ac:dyDescent="0.2">
      <c r="A351" s="144"/>
      <c r="B351" s="145"/>
      <c r="C351" s="144"/>
      <c r="D351" s="144"/>
      <c r="E351" s="144"/>
      <c r="F351" s="144"/>
      <c r="G351" s="144"/>
      <c r="H351" s="144"/>
      <c r="I351" s="144"/>
      <c r="J351" s="144"/>
      <c r="K351" s="144"/>
      <c r="M351" s="144"/>
      <c r="N351" s="144"/>
      <c r="O351" s="144"/>
      <c r="P351" s="144"/>
      <c r="Q351" s="144"/>
      <c r="R351" s="144"/>
      <c r="S351" s="144"/>
      <c r="T351" s="144"/>
      <c r="U351" s="144"/>
      <c r="V351" s="144"/>
      <c r="W351" s="144"/>
      <c r="Y351" s="144"/>
      <c r="Z351" s="144"/>
      <c r="AA351" s="144"/>
      <c r="AB351" s="144"/>
      <c r="AC351" s="144"/>
    </row>
    <row r="352" spans="1:29" x14ac:dyDescent="0.2">
      <c r="A352" s="144"/>
      <c r="B352" s="145"/>
      <c r="C352" s="144"/>
      <c r="D352" s="144"/>
      <c r="E352" s="144"/>
      <c r="F352" s="144"/>
      <c r="G352" s="144"/>
      <c r="H352" s="144"/>
      <c r="I352" s="144"/>
      <c r="J352" s="144"/>
      <c r="K352" s="144"/>
      <c r="M352" s="144"/>
      <c r="N352" s="144"/>
      <c r="O352" s="144"/>
      <c r="P352" s="144"/>
      <c r="Q352" s="144"/>
      <c r="R352" s="144"/>
      <c r="S352" s="144"/>
      <c r="T352" s="144"/>
      <c r="U352" s="144"/>
      <c r="V352" s="144"/>
      <c r="W352" s="144"/>
      <c r="Y352" s="144"/>
      <c r="Z352" s="144"/>
      <c r="AA352" s="144"/>
      <c r="AB352" s="144"/>
      <c r="AC352" s="144"/>
    </row>
    <row r="353" spans="1:29" x14ac:dyDescent="0.2">
      <c r="A353" s="144"/>
      <c r="B353" s="145"/>
      <c r="C353" s="144"/>
      <c r="D353" s="144"/>
      <c r="E353" s="144"/>
      <c r="F353" s="144"/>
      <c r="G353" s="144"/>
      <c r="H353" s="144"/>
      <c r="I353" s="144"/>
      <c r="J353" s="144"/>
      <c r="K353" s="144"/>
      <c r="M353" s="144"/>
      <c r="N353" s="144"/>
      <c r="O353" s="144"/>
      <c r="P353" s="144"/>
      <c r="Q353" s="144"/>
      <c r="R353" s="144"/>
      <c r="S353" s="144"/>
      <c r="T353" s="144"/>
      <c r="U353" s="144"/>
      <c r="V353" s="144"/>
      <c r="W353" s="144"/>
      <c r="Y353" s="144"/>
      <c r="Z353" s="144"/>
      <c r="AA353" s="144"/>
      <c r="AB353" s="144"/>
      <c r="AC353" s="144"/>
    </row>
    <row r="354" spans="1:29" x14ac:dyDescent="0.2">
      <c r="A354" s="144"/>
      <c r="B354" s="145"/>
      <c r="C354" s="144"/>
      <c r="D354" s="144"/>
      <c r="E354" s="144"/>
      <c r="F354" s="144"/>
      <c r="G354" s="144"/>
      <c r="H354" s="144"/>
      <c r="I354" s="144"/>
      <c r="J354" s="144"/>
      <c r="K354" s="144"/>
      <c r="M354" s="144"/>
      <c r="N354" s="144"/>
      <c r="O354" s="144"/>
      <c r="P354" s="144"/>
      <c r="Q354" s="144"/>
      <c r="R354" s="144"/>
      <c r="S354" s="144"/>
      <c r="T354" s="144"/>
      <c r="U354" s="144"/>
      <c r="V354" s="144"/>
      <c r="W354" s="144"/>
      <c r="Y354" s="144"/>
      <c r="Z354" s="144"/>
      <c r="AA354" s="144"/>
      <c r="AB354" s="144"/>
      <c r="AC354" s="144"/>
    </row>
    <row r="355" spans="1:29" x14ac:dyDescent="0.2">
      <c r="A355" s="144"/>
      <c r="B355" s="145"/>
      <c r="C355" s="144"/>
      <c r="D355" s="144"/>
      <c r="E355" s="144"/>
      <c r="F355" s="144"/>
      <c r="G355" s="144"/>
      <c r="H355" s="144"/>
      <c r="I355" s="144"/>
      <c r="J355" s="144"/>
      <c r="K355" s="144"/>
      <c r="M355" s="144"/>
      <c r="N355" s="144"/>
      <c r="O355" s="144"/>
      <c r="P355" s="144"/>
      <c r="Q355" s="144"/>
      <c r="R355" s="144"/>
      <c r="S355" s="144"/>
      <c r="T355" s="144"/>
      <c r="U355" s="144"/>
      <c r="V355" s="144"/>
      <c r="W355" s="144"/>
      <c r="Y355" s="144"/>
      <c r="Z355" s="144"/>
      <c r="AA355" s="144"/>
      <c r="AB355" s="144"/>
      <c r="AC355" s="144"/>
    </row>
    <row r="356" spans="1:29" x14ac:dyDescent="0.2">
      <c r="A356" s="144"/>
      <c r="B356" s="145"/>
      <c r="C356" s="144"/>
      <c r="D356" s="144"/>
      <c r="E356" s="144"/>
      <c r="F356" s="144"/>
      <c r="G356" s="144"/>
      <c r="H356" s="144"/>
      <c r="I356" s="144"/>
      <c r="J356" s="144"/>
      <c r="K356" s="144"/>
      <c r="M356" s="144"/>
      <c r="N356" s="144"/>
      <c r="O356" s="144"/>
      <c r="P356" s="144"/>
      <c r="Q356" s="144"/>
      <c r="R356" s="144"/>
      <c r="S356" s="144"/>
      <c r="T356" s="144"/>
      <c r="U356" s="144"/>
      <c r="V356" s="144"/>
      <c r="W356" s="144"/>
      <c r="Y356" s="144"/>
      <c r="Z356" s="144"/>
      <c r="AA356" s="144"/>
      <c r="AB356" s="144"/>
      <c r="AC356" s="144"/>
    </row>
    <row r="357" spans="1:29" x14ac:dyDescent="0.2">
      <c r="A357" s="144"/>
      <c r="B357" s="145"/>
      <c r="C357" s="144"/>
      <c r="D357" s="144"/>
      <c r="E357" s="144"/>
      <c r="F357" s="144"/>
      <c r="G357" s="144"/>
      <c r="H357" s="144"/>
      <c r="I357" s="144"/>
      <c r="J357" s="144"/>
      <c r="K357" s="144"/>
      <c r="M357" s="144"/>
      <c r="N357" s="144"/>
      <c r="O357" s="144"/>
      <c r="P357" s="144"/>
      <c r="Q357" s="144"/>
      <c r="R357" s="144"/>
      <c r="S357" s="144"/>
      <c r="T357" s="144"/>
      <c r="U357" s="144"/>
      <c r="V357" s="144"/>
      <c r="W357" s="144"/>
      <c r="Y357" s="144"/>
      <c r="Z357" s="144"/>
      <c r="AA357" s="144"/>
      <c r="AB357" s="144"/>
      <c r="AC357" s="144"/>
    </row>
    <row r="358" spans="1:29" x14ac:dyDescent="0.2">
      <c r="A358" s="144"/>
      <c r="B358" s="145"/>
      <c r="C358" s="144"/>
      <c r="D358" s="144"/>
      <c r="E358" s="144"/>
      <c r="F358" s="144"/>
      <c r="G358" s="144"/>
      <c r="H358" s="144"/>
      <c r="I358" s="144"/>
      <c r="J358" s="144"/>
      <c r="K358" s="144"/>
      <c r="M358" s="144"/>
      <c r="N358" s="144"/>
      <c r="O358" s="144"/>
      <c r="P358" s="144"/>
      <c r="Q358" s="144"/>
      <c r="R358" s="144"/>
      <c r="S358" s="144"/>
      <c r="T358" s="144"/>
      <c r="U358" s="144"/>
      <c r="V358" s="144"/>
      <c r="W358" s="144"/>
      <c r="Y358" s="144"/>
      <c r="Z358" s="144"/>
      <c r="AA358" s="144"/>
      <c r="AB358" s="144"/>
      <c r="AC358" s="144"/>
    </row>
    <row r="359" spans="1:29" x14ac:dyDescent="0.2">
      <c r="A359" s="144"/>
      <c r="B359" s="145"/>
      <c r="C359" s="144"/>
      <c r="D359" s="144"/>
      <c r="E359" s="144"/>
      <c r="F359" s="144"/>
      <c r="G359" s="144"/>
      <c r="H359" s="144"/>
      <c r="I359" s="144"/>
      <c r="J359" s="144"/>
      <c r="K359" s="144"/>
      <c r="M359" s="144"/>
      <c r="N359" s="144"/>
      <c r="O359" s="144"/>
      <c r="P359" s="144"/>
      <c r="Q359" s="144"/>
      <c r="R359" s="144"/>
      <c r="S359" s="144"/>
      <c r="T359" s="144"/>
      <c r="U359" s="144"/>
      <c r="V359" s="144"/>
      <c r="W359" s="144"/>
      <c r="Y359" s="144"/>
      <c r="Z359" s="144"/>
      <c r="AA359" s="144"/>
      <c r="AB359" s="144"/>
      <c r="AC359" s="144"/>
    </row>
    <row r="360" spans="1:29" x14ac:dyDescent="0.2">
      <c r="A360" s="144"/>
      <c r="B360" s="145"/>
      <c r="C360" s="144"/>
      <c r="D360" s="144"/>
      <c r="E360" s="144"/>
      <c r="F360" s="144"/>
      <c r="G360" s="144"/>
      <c r="H360" s="144"/>
      <c r="I360" s="144"/>
      <c r="J360" s="144"/>
      <c r="K360" s="144"/>
      <c r="M360" s="144"/>
      <c r="N360" s="144"/>
      <c r="O360" s="144"/>
      <c r="P360" s="144"/>
      <c r="Q360" s="144"/>
      <c r="R360" s="144"/>
      <c r="S360" s="144"/>
      <c r="T360" s="144"/>
      <c r="U360" s="144"/>
      <c r="V360" s="144"/>
      <c r="W360" s="144"/>
      <c r="Y360" s="144"/>
      <c r="Z360" s="144"/>
      <c r="AA360" s="144"/>
      <c r="AB360" s="144"/>
      <c r="AC360" s="144"/>
    </row>
    <row r="361" spans="1:29" x14ac:dyDescent="0.2">
      <c r="A361" s="144"/>
      <c r="B361" s="145"/>
      <c r="C361" s="144"/>
      <c r="D361" s="144"/>
      <c r="E361" s="144"/>
      <c r="F361" s="144"/>
      <c r="G361" s="144"/>
      <c r="H361" s="144"/>
      <c r="I361" s="144"/>
      <c r="J361" s="144"/>
      <c r="K361" s="144"/>
      <c r="M361" s="144"/>
      <c r="N361" s="144"/>
      <c r="O361" s="144"/>
      <c r="P361" s="144"/>
      <c r="Q361" s="144"/>
      <c r="R361" s="144"/>
      <c r="S361" s="144"/>
      <c r="T361" s="144"/>
      <c r="U361" s="144"/>
      <c r="V361" s="144"/>
      <c r="W361" s="144"/>
      <c r="Y361" s="144"/>
      <c r="Z361" s="144"/>
      <c r="AA361" s="144"/>
      <c r="AB361" s="144"/>
      <c r="AC361" s="144"/>
    </row>
    <row r="362" spans="1:29" x14ac:dyDescent="0.2">
      <c r="A362" s="144"/>
      <c r="B362" s="145"/>
      <c r="C362" s="144"/>
      <c r="D362" s="144"/>
      <c r="E362" s="144"/>
      <c r="F362" s="144"/>
      <c r="G362" s="144"/>
      <c r="H362" s="144"/>
      <c r="I362" s="144"/>
      <c r="J362" s="144"/>
      <c r="K362" s="144"/>
      <c r="M362" s="144"/>
      <c r="N362" s="144"/>
      <c r="O362" s="144"/>
      <c r="P362" s="144"/>
      <c r="Q362" s="144"/>
      <c r="R362" s="144"/>
      <c r="S362" s="144"/>
      <c r="T362" s="144"/>
      <c r="U362" s="144"/>
      <c r="V362" s="144"/>
      <c r="W362" s="144"/>
      <c r="Y362" s="144"/>
      <c r="Z362" s="144"/>
      <c r="AA362" s="144"/>
      <c r="AB362" s="144"/>
      <c r="AC362" s="144"/>
    </row>
    <row r="363" spans="1:29" x14ac:dyDescent="0.2">
      <c r="A363" s="144"/>
      <c r="B363" s="145"/>
      <c r="C363" s="144"/>
      <c r="D363" s="144"/>
      <c r="E363" s="144"/>
      <c r="F363" s="144"/>
      <c r="G363" s="144"/>
      <c r="H363" s="144"/>
      <c r="I363" s="144"/>
      <c r="J363" s="144"/>
      <c r="K363" s="144"/>
      <c r="M363" s="144"/>
      <c r="N363" s="144"/>
      <c r="O363" s="144"/>
      <c r="P363" s="144"/>
      <c r="Q363" s="144"/>
      <c r="R363" s="144"/>
      <c r="S363" s="144"/>
      <c r="T363" s="144"/>
      <c r="U363" s="144"/>
      <c r="V363" s="144"/>
      <c r="W363" s="144"/>
      <c r="Y363" s="144"/>
      <c r="Z363" s="144"/>
      <c r="AA363" s="144"/>
      <c r="AB363" s="144"/>
      <c r="AC363" s="144"/>
    </row>
    <row r="364" spans="1:29" x14ac:dyDescent="0.2">
      <c r="A364" s="144"/>
      <c r="B364" s="145"/>
      <c r="C364" s="144"/>
      <c r="D364" s="144"/>
      <c r="E364" s="144"/>
      <c r="F364" s="144"/>
      <c r="G364" s="144"/>
      <c r="H364" s="144"/>
      <c r="I364" s="144"/>
      <c r="J364" s="144"/>
      <c r="K364" s="144"/>
      <c r="M364" s="144"/>
      <c r="N364" s="144"/>
      <c r="O364" s="144"/>
      <c r="P364" s="144"/>
      <c r="Q364" s="144"/>
      <c r="R364" s="144"/>
      <c r="S364" s="144"/>
      <c r="T364" s="144"/>
      <c r="U364" s="144"/>
      <c r="V364" s="144"/>
      <c r="W364" s="144"/>
      <c r="Y364" s="144"/>
      <c r="Z364" s="144"/>
      <c r="AA364" s="144"/>
      <c r="AB364" s="144"/>
      <c r="AC364" s="144"/>
    </row>
    <row r="365" spans="1:29" x14ac:dyDescent="0.2">
      <c r="A365" s="144"/>
      <c r="B365" s="145"/>
      <c r="C365" s="144"/>
      <c r="D365" s="144"/>
      <c r="E365" s="144"/>
      <c r="F365" s="144"/>
      <c r="G365" s="144"/>
      <c r="H365" s="144"/>
      <c r="I365" s="144"/>
      <c r="J365" s="144"/>
      <c r="K365" s="144"/>
      <c r="M365" s="144"/>
      <c r="N365" s="144"/>
      <c r="O365" s="144"/>
      <c r="P365" s="144"/>
      <c r="Q365" s="144"/>
      <c r="R365" s="144"/>
      <c r="S365" s="144"/>
      <c r="T365" s="144"/>
      <c r="U365" s="144"/>
      <c r="V365" s="144"/>
      <c r="W365" s="144"/>
      <c r="Y365" s="144"/>
      <c r="Z365" s="144"/>
      <c r="AA365" s="144"/>
      <c r="AB365" s="144"/>
      <c r="AC365" s="144"/>
    </row>
    <row r="366" spans="1:29" x14ac:dyDescent="0.2">
      <c r="A366" s="144"/>
      <c r="B366" s="145"/>
      <c r="C366" s="144"/>
      <c r="D366" s="144"/>
      <c r="E366" s="144"/>
      <c r="F366" s="144"/>
      <c r="G366" s="144"/>
      <c r="H366" s="144"/>
      <c r="I366" s="144"/>
      <c r="J366" s="144"/>
      <c r="K366" s="144"/>
      <c r="M366" s="144"/>
      <c r="N366" s="144"/>
      <c r="O366" s="144"/>
      <c r="P366" s="144"/>
      <c r="Q366" s="144"/>
      <c r="R366" s="144"/>
      <c r="S366" s="144"/>
      <c r="T366" s="144"/>
      <c r="U366" s="144"/>
      <c r="V366" s="144"/>
      <c r="W366" s="144"/>
      <c r="Y366" s="144"/>
      <c r="Z366" s="144"/>
      <c r="AA366" s="144"/>
      <c r="AB366" s="144"/>
      <c r="AC366" s="144"/>
    </row>
    <row r="367" spans="1:29" x14ac:dyDescent="0.2">
      <c r="A367" s="144"/>
      <c r="B367" s="145"/>
      <c r="C367" s="144"/>
      <c r="D367" s="144"/>
      <c r="E367" s="144"/>
      <c r="F367" s="144"/>
      <c r="G367" s="144"/>
      <c r="H367" s="144"/>
      <c r="I367" s="144"/>
      <c r="J367" s="144"/>
      <c r="K367" s="144"/>
      <c r="M367" s="144"/>
      <c r="N367" s="144"/>
      <c r="O367" s="144"/>
      <c r="P367" s="144"/>
      <c r="Q367" s="144"/>
      <c r="R367" s="144"/>
      <c r="S367" s="144"/>
      <c r="T367" s="144"/>
      <c r="U367" s="144"/>
      <c r="V367" s="144"/>
      <c r="W367" s="144"/>
      <c r="Y367" s="144"/>
      <c r="Z367" s="144"/>
      <c r="AA367" s="144"/>
      <c r="AB367" s="144"/>
      <c r="AC367" s="144"/>
    </row>
    <row r="368" spans="1:29" x14ac:dyDescent="0.2">
      <c r="A368" s="144"/>
      <c r="B368" s="145"/>
      <c r="C368" s="144"/>
      <c r="D368" s="144"/>
      <c r="E368" s="144"/>
      <c r="F368" s="144"/>
      <c r="G368" s="144"/>
      <c r="H368" s="144"/>
      <c r="I368" s="144"/>
      <c r="J368" s="144"/>
      <c r="K368" s="144"/>
      <c r="M368" s="144"/>
      <c r="N368" s="144"/>
      <c r="O368" s="144"/>
      <c r="P368" s="144"/>
      <c r="Q368" s="144"/>
      <c r="R368" s="144"/>
      <c r="S368" s="144"/>
      <c r="T368" s="144"/>
      <c r="U368" s="144"/>
      <c r="V368" s="144"/>
      <c r="W368" s="144"/>
      <c r="Y368" s="144"/>
      <c r="Z368" s="144"/>
      <c r="AA368" s="144"/>
      <c r="AB368" s="144"/>
      <c r="AC368" s="144"/>
    </row>
    <row r="369" spans="1:29" x14ac:dyDescent="0.2">
      <c r="A369" s="144"/>
      <c r="B369" s="145"/>
      <c r="C369" s="144"/>
      <c r="D369" s="144"/>
      <c r="E369" s="144"/>
      <c r="F369" s="144"/>
      <c r="G369" s="144"/>
      <c r="H369" s="144"/>
      <c r="I369" s="144"/>
      <c r="J369" s="144"/>
      <c r="K369" s="144"/>
      <c r="M369" s="144"/>
      <c r="N369" s="144"/>
      <c r="O369" s="144"/>
      <c r="P369" s="144"/>
      <c r="Q369" s="144"/>
      <c r="R369" s="144"/>
      <c r="S369" s="144"/>
      <c r="T369" s="144"/>
      <c r="U369" s="144"/>
      <c r="V369" s="144"/>
      <c r="W369" s="144"/>
      <c r="Y369" s="144"/>
      <c r="Z369" s="144"/>
      <c r="AA369" s="144"/>
      <c r="AB369" s="144"/>
      <c r="AC369" s="144"/>
    </row>
    <row r="370" spans="1:29" x14ac:dyDescent="0.2">
      <c r="A370" s="144"/>
      <c r="B370" s="145"/>
      <c r="C370" s="144"/>
      <c r="D370" s="144"/>
      <c r="E370" s="144"/>
      <c r="F370" s="144"/>
      <c r="G370" s="144"/>
      <c r="H370" s="144"/>
      <c r="I370" s="144"/>
      <c r="J370" s="144"/>
      <c r="K370" s="144"/>
      <c r="M370" s="144"/>
      <c r="N370" s="144"/>
      <c r="O370" s="144"/>
      <c r="P370" s="144"/>
      <c r="Q370" s="144"/>
      <c r="R370" s="144"/>
      <c r="S370" s="144"/>
      <c r="T370" s="144"/>
      <c r="U370" s="144"/>
      <c r="V370" s="144"/>
      <c r="W370" s="144"/>
      <c r="Y370" s="144"/>
      <c r="Z370" s="144"/>
      <c r="AA370" s="144"/>
      <c r="AB370" s="144"/>
      <c r="AC370" s="144"/>
    </row>
    <row r="371" spans="1:29" x14ac:dyDescent="0.2">
      <c r="A371" s="144"/>
      <c r="B371" s="145"/>
      <c r="C371" s="144"/>
      <c r="D371" s="144"/>
      <c r="E371" s="144"/>
      <c r="F371" s="144"/>
      <c r="G371" s="144"/>
      <c r="H371" s="144"/>
      <c r="I371" s="144"/>
      <c r="J371" s="144"/>
      <c r="K371" s="144"/>
      <c r="M371" s="144"/>
      <c r="N371" s="144"/>
      <c r="O371" s="144"/>
      <c r="P371" s="144"/>
      <c r="Q371" s="144"/>
      <c r="R371" s="144"/>
      <c r="S371" s="144"/>
      <c r="T371" s="144"/>
      <c r="U371" s="144"/>
      <c r="V371" s="144"/>
      <c r="W371" s="144"/>
      <c r="Y371" s="144"/>
      <c r="Z371" s="144"/>
      <c r="AA371" s="144"/>
      <c r="AB371" s="144"/>
      <c r="AC371" s="144"/>
    </row>
    <row r="372" spans="1:29" x14ac:dyDescent="0.2">
      <c r="A372" s="144"/>
      <c r="B372" s="145"/>
      <c r="C372" s="144"/>
      <c r="D372" s="144"/>
      <c r="E372" s="144"/>
      <c r="F372" s="144"/>
      <c r="G372" s="144"/>
      <c r="H372" s="144"/>
      <c r="I372" s="144"/>
      <c r="J372" s="144"/>
      <c r="K372" s="144"/>
      <c r="M372" s="144"/>
      <c r="N372" s="144"/>
      <c r="O372" s="144"/>
      <c r="P372" s="144"/>
      <c r="Q372" s="144"/>
      <c r="R372" s="144"/>
      <c r="S372" s="144"/>
      <c r="T372" s="144"/>
      <c r="U372" s="144"/>
      <c r="V372" s="144"/>
      <c r="W372" s="144"/>
      <c r="Y372" s="144"/>
      <c r="Z372" s="144"/>
      <c r="AA372" s="144"/>
      <c r="AB372" s="144"/>
      <c r="AC372" s="144"/>
    </row>
    <row r="373" spans="1:29" x14ac:dyDescent="0.2">
      <c r="A373" s="144"/>
      <c r="B373" s="145"/>
      <c r="C373" s="144"/>
      <c r="D373" s="144"/>
      <c r="E373" s="144"/>
      <c r="F373" s="144"/>
      <c r="G373" s="144"/>
      <c r="H373" s="144"/>
      <c r="I373" s="144"/>
      <c r="J373" s="144"/>
      <c r="K373" s="144"/>
      <c r="M373" s="144"/>
      <c r="N373" s="144"/>
      <c r="O373" s="144"/>
      <c r="P373" s="144"/>
      <c r="Q373" s="144"/>
      <c r="R373" s="144"/>
      <c r="S373" s="144"/>
      <c r="T373" s="144"/>
      <c r="U373" s="144"/>
      <c r="V373" s="144"/>
      <c r="W373" s="144"/>
      <c r="Y373" s="144"/>
      <c r="Z373" s="144"/>
      <c r="AA373" s="144"/>
      <c r="AB373" s="144"/>
      <c r="AC373" s="144"/>
    </row>
    <row r="374" spans="1:29" x14ac:dyDescent="0.2">
      <c r="A374" s="144"/>
      <c r="B374" s="145"/>
      <c r="C374" s="144"/>
      <c r="D374" s="144"/>
      <c r="E374" s="144"/>
      <c r="F374" s="144"/>
      <c r="G374" s="144"/>
      <c r="H374" s="144"/>
      <c r="I374" s="144"/>
      <c r="J374" s="144"/>
      <c r="K374" s="144"/>
      <c r="M374" s="144"/>
      <c r="N374" s="144"/>
      <c r="O374" s="144"/>
      <c r="P374" s="144"/>
      <c r="Q374" s="144"/>
      <c r="R374" s="144"/>
      <c r="S374" s="144"/>
      <c r="T374" s="144"/>
      <c r="U374" s="144"/>
      <c r="V374" s="144"/>
      <c r="W374" s="144"/>
      <c r="Y374" s="144"/>
      <c r="Z374" s="144"/>
      <c r="AA374" s="144"/>
      <c r="AB374" s="144"/>
      <c r="AC374" s="144"/>
    </row>
    <row r="375" spans="1:29" x14ac:dyDescent="0.2">
      <c r="A375" s="144"/>
      <c r="B375" s="145"/>
      <c r="C375" s="144"/>
      <c r="D375" s="144"/>
      <c r="E375" s="144"/>
      <c r="F375" s="144"/>
      <c r="G375" s="144"/>
      <c r="H375" s="144"/>
      <c r="I375" s="144"/>
      <c r="J375" s="144"/>
      <c r="K375" s="144"/>
      <c r="M375" s="144"/>
      <c r="N375" s="144"/>
      <c r="O375" s="144"/>
      <c r="P375" s="144"/>
      <c r="Q375" s="144"/>
      <c r="R375" s="144"/>
      <c r="S375" s="144"/>
      <c r="T375" s="144"/>
      <c r="U375" s="144"/>
      <c r="V375" s="144"/>
      <c r="W375" s="144"/>
      <c r="Y375" s="144"/>
      <c r="Z375" s="144"/>
      <c r="AA375" s="144"/>
      <c r="AB375" s="144"/>
      <c r="AC375" s="144"/>
    </row>
    <row r="376" spans="1:29" x14ac:dyDescent="0.2">
      <c r="A376" s="144"/>
      <c r="B376" s="145"/>
      <c r="C376" s="144"/>
      <c r="D376" s="144"/>
      <c r="E376" s="144"/>
      <c r="F376" s="144"/>
      <c r="G376" s="144"/>
      <c r="H376" s="144"/>
      <c r="I376" s="144"/>
      <c r="J376" s="144"/>
      <c r="K376" s="144"/>
      <c r="M376" s="144"/>
      <c r="N376" s="144"/>
      <c r="O376" s="144"/>
      <c r="P376" s="144"/>
      <c r="Q376" s="144"/>
      <c r="R376" s="144"/>
      <c r="S376" s="144"/>
      <c r="T376" s="144"/>
      <c r="U376" s="144"/>
      <c r="V376" s="144"/>
      <c r="W376" s="144"/>
      <c r="Y376" s="144"/>
      <c r="Z376" s="144"/>
      <c r="AA376" s="144"/>
      <c r="AB376" s="144"/>
      <c r="AC376" s="144"/>
    </row>
    <row r="377" spans="1:29" x14ac:dyDescent="0.2">
      <c r="A377" s="144"/>
      <c r="B377" s="145"/>
      <c r="C377" s="144"/>
      <c r="D377" s="144"/>
      <c r="E377" s="144"/>
      <c r="F377" s="144"/>
      <c r="G377" s="144"/>
      <c r="H377" s="144"/>
      <c r="I377" s="144"/>
      <c r="J377" s="144"/>
      <c r="K377" s="144"/>
      <c r="M377" s="144"/>
      <c r="N377" s="144"/>
      <c r="O377" s="144"/>
      <c r="P377" s="144"/>
      <c r="Q377" s="144"/>
      <c r="R377" s="144"/>
      <c r="S377" s="144"/>
      <c r="T377" s="144"/>
      <c r="U377" s="144"/>
      <c r="V377" s="144"/>
      <c r="W377" s="144"/>
      <c r="Y377" s="144"/>
      <c r="Z377" s="144"/>
      <c r="AA377" s="144"/>
      <c r="AB377" s="144"/>
      <c r="AC377" s="144"/>
    </row>
    <row r="378" spans="1:29" x14ac:dyDescent="0.2">
      <c r="A378" s="144"/>
      <c r="B378" s="145"/>
      <c r="C378" s="144"/>
      <c r="D378" s="144"/>
      <c r="E378" s="144"/>
      <c r="F378" s="144"/>
      <c r="G378" s="144"/>
      <c r="H378" s="144"/>
      <c r="I378" s="144"/>
      <c r="J378" s="144"/>
      <c r="K378" s="144"/>
      <c r="M378" s="144"/>
      <c r="N378" s="144"/>
      <c r="O378" s="144"/>
      <c r="P378" s="144"/>
      <c r="Q378" s="144"/>
      <c r="R378" s="144"/>
      <c r="S378" s="144"/>
      <c r="T378" s="144"/>
      <c r="U378" s="144"/>
      <c r="V378" s="144"/>
      <c r="W378" s="144"/>
      <c r="Y378" s="144"/>
      <c r="Z378" s="144"/>
      <c r="AA378" s="144"/>
      <c r="AB378" s="144"/>
      <c r="AC378" s="144"/>
    </row>
    <row r="379" spans="1:29" x14ac:dyDescent="0.2">
      <c r="A379" s="144"/>
      <c r="B379" s="145"/>
      <c r="C379" s="144"/>
      <c r="D379" s="144"/>
      <c r="E379" s="144"/>
      <c r="F379" s="144"/>
      <c r="G379" s="144"/>
      <c r="H379" s="144"/>
      <c r="I379" s="144"/>
      <c r="J379" s="144"/>
      <c r="K379" s="144"/>
      <c r="M379" s="144"/>
      <c r="N379" s="144"/>
      <c r="O379" s="144"/>
      <c r="P379" s="144"/>
      <c r="Q379" s="144"/>
      <c r="R379" s="144"/>
      <c r="S379" s="144"/>
      <c r="T379" s="144"/>
      <c r="U379" s="144"/>
      <c r="V379" s="144"/>
      <c r="W379" s="144"/>
      <c r="Y379" s="144"/>
      <c r="Z379" s="144"/>
      <c r="AA379" s="144"/>
      <c r="AB379" s="144"/>
      <c r="AC379" s="144"/>
    </row>
    <row r="380" spans="1:29" x14ac:dyDescent="0.2">
      <c r="A380" s="144"/>
      <c r="B380" s="145"/>
      <c r="C380" s="144"/>
      <c r="D380" s="144"/>
      <c r="E380" s="144"/>
      <c r="F380" s="144"/>
      <c r="G380" s="144"/>
      <c r="H380" s="144"/>
      <c r="I380" s="144"/>
      <c r="J380" s="144"/>
      <c r="K380" s="144"/>
      <c r="M380" s="144"/>
      <c r="N380" s="144"/>
      <c r="O380" s="144"/>
      <c r="P380" s="144"/>
      <c r="Q380" s="144"/>
      <c r="R380" s="144"/>
      <c r="S380" s="144"/>
      <c r="T380" s="144"/>
      <c r="U380" s="144"/>
      <c r="V380" s="144"/>
      <c r="W380" s="144"/>
      <c r="Y380" s="144"/>
      <c r="Z380" s="144"/>
      <c r="AA380" s="144"/>
      <c r="AB380" s="144"/>
      <c r="AC380" s="144"/>
    </row>
    <row r="381" spans="1:29" x14ac:dyDescent="0.2">
      <c r="A381" s="144"/>
      <c r="B381" s="145"/>
      <c r="C381" s="144"/>
      <c r="D381" s="144"/>
      <c r="E381" s="144"/>
      <c r="F381" s="144"/>
      <c r="G381" s="144"/>
      <c r="H381" s="144"/>
      <c r="I381" s="144"/>
      <c r="J381" s="144"/>
      <c r="K381" s="144"/>
      <c r="M381" s="144"/>
      <c r="N381" s="144"/>
      <c r="O381" s="144"/>
      <c r="P381" s="144"/>
      <c r="Q381" s="144"/>
      <c r="R381" s="144"/>
      <c r="S381" s="144"/>
      <c r="T381" s="144"/>
      <c r="U381" s="144"/>
      <c r="V381" s="144"/>
      <c r="W381" s="144"/>
      <c r="Y381" s="144"/>
      <c r="Z381" s="144"/>
      <c r="AA381" s="144"/>
      <c r="AB381" s="144"/>
      <c r="AC381" s="144"/>
    </row>
    <row r="382" spans="1:29" x14ac:dyDescent="0.2">
      <c r="A382" s="144"/>
      <c r="B382" s="145"/>
      <c r="C382" s="144"/>
      <c r="D382" s="144"/>
      <c r="E382" s="144"/>
      <c r="F382" s="144"/>
      <c r="G382" s="144"/>
      <c r="H382" s="144"/>
      <c r="I382" s="144"/>
      <c r="J382" s="144"/>
      <c r="K382" s="144"/>
      <c r="M382" s="144"/>
      <c r="N382" s="144"/>
      <c r="O382" s="144"/>
      <c r="P382" s="144"/>
      <c r="Q382" s="144"/>
      <c r="R382" s="144"/>
      <c r="S382" s="144"/>
      <c r="T382" s="144"/>
      <c r="U382" s="144"/>
      <c r="V382" s="144"/>
      <c r="W382" s="144"/>
      <c r="Y382" s="144"/>
      <c r="Z382" s="144"/>
      <c r="AA382" s="144"/>
      <c r="AB382" s="144"/>
      <c r="AC382" s="144"/>
    </row>
    <row r="383" spans="1:29" x14ac:dyDescent="0.2">
      <c r="A383" s="144"/>
      <c r="B383" s="145"/>
      <c r="C383" s="144"/>
      <c r="D383" s="144"/>
      <c r="E383" s="144"/>
      <c r="F383" s="144"/>
      <c r="G383" s="144"/>
      <c r="H383" s="144"/>
      <c r="I383" s="144"/>
      <c r="J383" s="144"/>
      <c r="K383" s="144"/>
      <c r="M383" s="144"/>
      <c r="N383" s="144"/>
      <c r="O383" s="144"/>
      <c r="P383" s="144"/>
      <c r="Q383" s="144"/>
      <c r="R383" s="144"/>
      <c r="S383" s="144"/>
      <c r="T383" s="144"/>
      <c r="U383" s="144"/>
      <c r="V383" s="144"/>
      <c r="W383" s="144"/>
      <c r="Y383" s="144"/>
      <c r="Z383" s="144"/>
      <c r="AA383" s="144"/>
      <c r="AB383" s="144"/>
      <c r="AC383" s="144"/>
    </row>
    <row r="384" spans="1:29" x14ac:dyDescent="0.2">
      <c r="A384" s="144"/>
      <c r="B384" s="145"/>
      <c r="C384" s="144"/>
      <c r="D384" s="144"/>
      <c r="E384" s="144"/>
      <c r="F384" s="144"/>
      <c r="G384" s="144"/>
      <c r="H384" s="144"/>
      <c r="I384" s="144"/>
      <c r="J384" s="144"/>
      <c r="K384" s="144"/>
      <c r="M384" s="144"/>
      <c r="N384" s="144"/>
      <c r="O384" s="144"/>
      <c r="P384" s="144"/>
      <c r="Q384" s="144"/>
      <c r="R384" s="144"/>
      <c r="S384" s="144"/>
      <c r="T384" s="144"/>
      <c r="U384" s="144"/>
      <c r="V384" s="144"/>
      <c r="W384" s="144"/>
      <c r="Y384" s="144"/>
      <c r="Z384" s="144"/>
      <c r="AA384" s="144"/>
      <c r="AB384" s="144"/>
      <c r="AC384" s="144"/>
    </row>
    <row r="385" spans="1:29" x14ac:dyDescent="0.2">
      <c r="A385" s="144"/>
      <c r="B385" s="145"/>
      <c r="C385" s="144"/>
      <c r="D385" s="144"/>
      <c r="E385" s="144"/>
      <c r="F385" s="144"/>
      <c r="G385" s="144"/>
      <c r="H385" s="144"/>
      <c r="I385" s="144"/>
      <c r="J385" s="144"/>
      <c r="K385" s="144"/>
      <c r="M385" s="144"/>
      <c r="N385" s="144"/>
      <c r="O385" s="144"/>
      <c r="P385" s="144"/>
      <c r="Q385" s="144"/>
      <c r="R385" s="144"/>
      <c r="S385" s="144"/>
      <c r="T385" s="144"/>
      <c r="U385" s="144"/>
      <c r="V385" s="144"/>
      <c r="W385" s="144"/>
      <c r="Y385" s="144"/>
      <c r="Z385" s="144"/>
      <c r="AA385" s="144"/>
      <c r="AB385" s="144"/>
      <c r="AC385" s="144"/>
    </row>
    <row r="386" spans="1:29" x14ac:dyDescent="0.2">
      <c r="A386" s="144"/>
      <c r="B386" s="145"/>
      <c r="C386" s="144"/>
      <c r="D386" s="144"/>
      <c r="E386" s="144"/>
      <c r="F386" s="144"/>
      <c r="G386" s="144"/>
      <c r="H386" s="144"/>
      <c r="I386" s="144"/>
      <c r="J386" s="144"/>
      <c r="K386" s="144"/>
      <c r="M386" s="144"/>
      <c r="N386" s="144"/>
      <c r="O386" s="144"/>
      <c r="P386" s="144"/>
      <c r="Q386" s="144"/>
      <c r="R386" s="144"/>
      <c r="S386" s="144"/>
      <c r="T386" s="144"/>
      <c r="U386" s="144"/>
      <c r="V386" s="144"/>
      <c r="W386" s="144"/>
      <c r="Y386" s="144"/>
      <c r="Z386" s="144"/>
      <c r="AA386" s="144"/>
      <c r="AB386" s="144"/>
      <c r="AC386" s="144"/>
    </row>
    <row r="387" spans="1:29" x14ac:dyDescent="0.2">
      <c r="A387" s="144"/>
      <c r="B387" s="145"/>
      <c r="C387" s="144"/>
      <c r="D387" s="144"/>
      <c r="E387" s="144"/>
      <c r="F387" s="144"/>
      <c r="G387" s="144"/>
      <c r="H387" s="144"/>
      <c r="I387" s="144"/>
      <c r="J387" s="144"/>
      <c r="K387" s="144"/>
      <c r="M387" s="144"/>
      <c r="N387" s="144"/>
      <c r="O387" s="144"/>
      <c r="P387" s="144"/>
      <c r="Q387" s="144"/>
      <c r="R387" s="144"/>
      <c r="S387" s="144"/>
      <c r="T387" s="144"/>
      <c r="U387" s="144"/>
      <c r="V387" s="144"/>
      <c r="W387" s="144"/>
      <c r="Y387" s="144"/>
      <c r="Z387" s="144"/>
      <c r="AA387" s="144"/>
      <c r="AB387" s="144"/>
      <c r="AC387" s="144"/>
    </row>
    <row r="388" spans="1:29" x14ac:dyDescent="0.2">
      <c r="A388" s="144"/>
      <c r="B388" s="145"/>
      <c r="C388" s="144"/>
      <c r="D388" s="144"/>
      <c r="E388" s="144"/>
      <c r="F388" s="144"/>
      <c r="G388" s="144"/>
      <c r="H388" s="144"/>
      <c r="I388" s="144"/>
      <c r="J388" s="144"/>
      <c r="K388" s="144"/>
      <c r="M388" s="144"/>
      <c r="N388" s="144"/>
      <c r="O388" s="144"/>
      <c r="P388" s="144"/>
      <c r="Q388" s="144"/>
      <c r="R388" s="144"/>
      <c r="S388" s="144"/>
      <c r="T388" s="144"/>
      <c r="U388" s="144"/>
      <c r="V388" s="144"/>
      <c r="W388" s="144"/>
      <c r="Y388" s="144"/>
      <c r="Z388" s="144"/>
      <c r="AA388" s="144"/>
      <c r="AB388" s="144"/>
      <c r="AC388" s="144"/>
    </row>
    <row r="389" spans="1:29" x14ac:dyDescent="0.2">
      <c r="A389" s="144"/>
      <c r="B389" s="145"/>
      <c r="C389" s="144"/>
      <c r="D389" s="144"/>
      <c r="E389" s="144"/>
      <c r="F389" s="144"/>
      <c r="G389" s="144"/>
      <c r="H389" s="144"/>
      <c r="I389" s="144"/>
      <c r="J389" s="144"/>
      <c r="K389" s="144"/>
      <c r="M389" s="144"/>
      <c r="N389" s="144"/>
      <c r="O389" s="144"/>
      <c r="P389" s="144"/>
      <c r="Q389" s="144"/>
      <c r="R389" s="144"/>
      <c r="S389" s="144"/>
      <c r="T389" s="144"/>
      <c r="U389" s="144"/>
      <c r="V389" s="144"/>
      <c r="W389" s="144"/>
      <c r="Y389" s="144"/>
      <c r="Z389" s="144"/>
      <c r="AA389" s="144"/>
      <c r="AB389" s="144"/>
      <c r="AC389" s="144"/>
    </row>
    <row r="390" spans="1:29" x14ac:dyDescent="0.2">
      <c r="A390" s="144"/>
      <c r="B390" s="145"/>
      <c r="C390" s="144"/>
      <c r="D390" s="144"/>
      <c r="E390" s="144"/>
      <c r="F390" s="144"/>
      <c r="G390" s="144"/>
      <c r="H390" s="144"/>
      <c r="I390" s="144"/>
      <c r="J390" s="144"/>
      <c r="K390" s="144"/>
      <c r="M390" s="144"/>
      <c r="N390" s="144"/>
      <c r="O390" s="144"/>
      <c r="P390" s="144"/>
      <c r="Q390" s="144"/>
      <c r="R390" s="144"/>
      <c r="S390" s="144"/>
      <c r="T390" s="144"/>
      <c r="U390" s="144"/>
      <c r="V390" s="144"/>
      <c r="W390" s="144"/>
      <c r="Y390" s="144"/>
      <c r="Z390" s="144"/>
      <c r="AA390" s="144"/>
      <c r="AB390" s="144"/>
      <c r="AC390" s="144"/>
    </row>
    <row r="391" spans="1:29" x14ac:dyDescent="0.2">
      <c r="A391" s="144"/>
      <c r="B391" s="145"/>
      <c r="C391" s="144"/>
      <c r="D391" s="144"/>
      <c r="E391" s="144"/>
      <c r="F391" s="144"/>
      <c r="G391" s="144"/>
      <c r="H391" s="144"/>
      <c r="I391" s="144"/>
      <c r="J391" s="144"/>
      <c r="K391" s="144"/>
      <c r="M391" s="144"/>
      <c r="N391" s="144"/>
      <c r="O391" s="144"/>
      <c r="P391" s="144"/>
      <c r="Q391" s="144"/>
      <c r="R391" s="144"/>
      <c r="S391" s="144"/>
      <c r="T391" s="144"/>
      <c r="U391" s="144"/>
      <c r="V391" s="144"/>
      <c r="W391" s="144"/>
      <c r="Y391" s="144"/>
      <c r="Z391" s="144"/>
      <c r="AA391" s="144"/>
      <c r="AB391" s="144"/>
      <c r="AC391" s="144"/>
    </row>
    <row r="392" spans="1:29" x14ac:dyDescent="0.2">
      <c r="A392" s="144"/>
      <c r="B392" s="145"/>
      <c r="C392" s="144"/>
      <c r="D392" s="144"/>
      <c r="E392" s="144"/>
      <c r="F392" s="144"/>
      <c r="G392" s="144"/>
      <c r="H392" s="144"/>
      <c r="I392" s="144"/>
      <c r="J392" s="144"/>
      <c r="K392" s="144"/>
      <c r="M392" s="144"/>
      <c r="N392" s="144"/>
      <c r="O392" s="144"/>
      <c r="P392" s="144"/>
      <c r="Q392" s="144"/>
      <c r="R392" s="144"/>
      <c r="S392" s="144"/>
      <c r="T392" s="144"/>
      <c r="U392" s="144"/>
      <c r="V392" s="144"/>
      <c r="W392" s="144"/>
      <c r="Y392" s="144"/>
      <c r="Z392" s="144"/>
      <c r="AA392" s="144"/>
      <c r="AB392" s="144"/>
      <c r="AC392" s="144"/>
    </row>
    <row r="393" spans="1:29" x14ac:dyDescent="0.2">
      <c r="A393" s="144"/>
      <c r="B393" s="145"/>
      <c r="C393" s="144"/>
      <c r="D393" s="144"/>
      <c r="E393" s="144"/>
      <c r="F393" s="144"/>
      <c r="G393" s="144"/>
      <c r="H393" s="144"/>
      <c r="I393" s="144"/>
      <c r="J393" s="144"/>
      <c r="K393" s="144"/>
      <c r="M393" s="144"/>
      <c r="N393" s="144"/>
      <c r="O393" s="144"/>
      <c r="P393" s="144"/>
      <c r="Q393" s="144"/>
      <c r="R393" s="144"/>
      <c r="S393" s="144"/>
      <c r="T393" s="144"/>
      <c r="U393" s="144"/>
      <c r="V393" s="144"/>
      <c r="W393" s="144"/>
      <c r="Y393" s="144"/>
      <c r="Z393" s="144"/>
      <c r="AA393" s="144"/>
      <c r="AB393" s="144"/>
      <c r="AC393" s="144"/>
    </row>
    <row r="394" spans="1:29" x14ac:dyDescent="0.2">
      <c r="A394" s="144"/>
      <c r="B394" s="145"/>
      <c r="C394" s="144"/>
      <c r="D394" s="144"/>
      <c r="E394" s="144"/>
      <c r="F394" s="144"/>
      <c r="G394" s="144"/>
      <c r="H394" s="144"/>
      <c r="I394" s="144"/>
      <c r="J394" s="144"/>
      <c r="K394" s="144"/>
      <c r="M394" s="144"/>
      <c r="N394" s="144"/>
      <c r="O394" s="144"/>
      <c r="P394" s="144"/>
      <c r="Q394" s="144"/>
      <c r="R394" s="144"/>
      <c r="S394" s="144"/>
      <c r="T394" s="144"/>
      <c r="U394" s="144"/>
      <c r="V394" s="144"/>
      <c r="W394" s="144"/>
      <c r="Y394" s="144"/>
      <c r="Z394" s="144"/>
      <c r="AA394" s="144"/>
      <c r="AB394" s="144"/>
      <c r="AC394" s="144"/>
    </row>
    <row r="395" spans="1:29" x14ac:dyDescent="0.2">
      <c r="A395" s="144"/>
      <c r="B395" s="145"/>
      <c r="C395" s="144"/>
      <c r="D395" s="144"/>
      <c r="E395" s="144"/>
      <c r="F395" s="144"/>
      <c r="G395" s="144"/>
      <c r="H395" s="144"/>
      <c r="I395" s="144"/>
      <c r="J395" s="144"/>
      <c r="K395" s="144"/>
      <c r="M395" s="144"/>
      <c r="N395" s="144"/>
      <c r="O395" s="144"/>
      <c r="P395" s="144"/>
      <c r="Q395" s="144"/>
      <c r="R395" s="144"/>
      <c r="S395" s="144"/>
      <c r="T395" s="144"/>
      <c r="U395" s="144"/>
      <c r="V395" s="144"/>
      <c r="W395" s="144"/>
      <c r="Y395" s="144"/>
      <c r="Z395" s="144"/>
      <c r="AA395" s="144"/>
      <c r="AB395" s="144"/>
      <c r="AC395" s="144"/>
    </row>
    <row r="396" spans="1:29" x14ac:dyDescent="0.2">
      <c r="A396" s="144"/>
      <c r="B396" s="145"/>
      <c r="C396" s="144"/>
      <c r="D396" s="144"/>
      <c r="E396" s="144"/>
      <c r="F396" s="144"/>
      <c r="G396" s="144"/>
      <c r="H396" s="144"/>
      <c r="I396" s="144"/>
      <c r="J396" s="144"/>
      <c r="K396" s="144"/>
      <c r="M396" s="144"/>
      <c r="N396" s="144"/>
      <c r="O396" s="144"/>
      <c r="P396" s="144"/>
      <c r="Q396" s="144"/>
      <c r="R396" s="144"/>
      <c r="S396" s="144"/>
      <c r="T396" s="144"/>
      <c r="U396" s="144"/>
      <c r="V396" s="144"/>
      <c r="W396" s="144"/>
      <c r="Y396" s="144"/>
      <c r="Z396" s="144"/>
      <c r="AA396" s="144"/>
      <c r="AB396" s="144"/>
      <c r="AC396" s="144"/>
    </row>
    <row r="397" spans="1:29" x14ac:dyDescent="0.2">
      <c r="A397" s="144"/>
      <c r="B397" s="145"/>
      <c r="C397" s="144"/>
      <c r="D397" s="144"/>
      <c r="E397" s="144"/>
      <c r="F397" s="144"/>
      <c r="G397" s="144"/>
      <c r="H397" s="144"/>
      <c r="I397" s="144"/>
      <c r="J397" s="144"/>
      <c r="K397" s="144"/>
      <c r="M397" s="144"/>
      <c r="N397" s="144"/>
      <c r="O397" s="144"/>
      <c r="P397" s="144"/>
      <c r="Q397" s="144"/>
      <c r="R397" s="144"/>
      <c r="S397" s="144"/>
      <c r="T397" s="144"/>
      <c r="U397" s="144"/>
      <c r="V397" s="144"/>
      <c r="W397" s="144"/>
      <c r="Y397" s="144"/>
      <c r="Z397" s="144"/>
      <c r="AA397" s="144"/>
      <c r="AB397" s="144"/>
      <c r="AC397" s="144"/>
    </row>
    <row r="398" spans="1:29" x14ac:dyDescent="0.2">
      <c r="A398" s="144"/>
      <c r="B398" s="145"/>
      <c r="C398" s="144"/>
      <c r="D398" s="144"/>
      <c r="E398" s="144"/>
      <c r="F398" s="144"/>
      <c r="G398" s="144"/>
      <c r="H398" s="144"/>
      <c r="I398" s="144"/>
      <c r="J398" s="144"/>
      <c r="K398" s="144"/>
      <c r="M398" s="144"/>
      <c r="N398" s="144"/>
      <c r="O398" s="144"/>
      <c r="P398" s="144"/>
      <c r="Q398" s="144"/>
      <c r="R398" s="144"/>
      <c r="S398" s="144"/>
      <c r="T398" s="144"/>
      <c r="U398" s="144"/>
      <c r="V398" s="144"/>
      <c r="W398" s="144"/>
      <c r="Y398" s="144"/>
      <c r="Z398" s="144"/>
      <c r="AA398" s="144"/>
      <c r="AB398" s="144"/>
      <c r="AC398" s="144"/>
    </row>
    <row r="399" spans="1:29" x14ac:dyDescent="0.2">
      <c r="A399" s="144"/>
      <c r="B399" s="145"/>
      <c r="C399" s="144"/>
      <c r="D399" s="144"/>
      <c r="E399" s="144"/>
      <c r="F399" s="144"/>
      <c r="G399" s="144"/>
      <c r="H399" s="144"/>
      <c r="I399" s="144"/>
      <c r="J399" s="144"/>
      <c r="K399" s="144"/>
      <c r="M399" s="144"/>
      <c r="N399" s="144"/>
      <c r="O399" s="144"/>
      <c r="P399" s="144"/>
      <c r="Q399" s="144"/>
      <c r="R399" s="144"/>
      <c r="S399" s="144"/>
      <c r="T399" s="144"/>
      <c r="U399" s="144"/>
      <c r="V399" s="144"/>
      <c r="W399" s="144"/>
      <c r="Y399" s="144"/>
      <c r="Z399" s="144"/>
      <c r="AA399" s="144"/>
      <c r="AB399" s="144"/>
      <c r="AC399" s="144"/>
    </row>
    <row r="400" spans="1:29" x14ac:dyDescent="0.2">
      <c r="A400" s="144"/>
      <c r="B400" s="145"/>
      <c r="C400" s="144"/>
      <c r="D400" s="144"/>
      <c r="E400" s="144"/>
      <c r="F400" s="144"/>
      <c r="G400" s="144"/>
      <c r="H400" s="144"/>
      <c r="I400" s="144"/>
      <c r="J400" s="144"/>
      <c r="K400" s="144"/>
      <c r="M400" s="144"/>
      <c r="N400" s="144"/>
      <c r="O400" s="144"/>
      <c r="P400" s="144"/>
      <c r="Q400" s="144"/>
      <c r="R400" s="144"/>
      <c r="S400" s="144"/>
      <c r="T400" s="144"/>
      <c r="U400" s="144"/>
      <c r="V400" s="144"/>
      <c r="W400" s="144"/>
      <c r="Y400" s="144"/>
      <c r="Z400" s="144"/>
      <c r="AA400" s="144"/>
      <c r="AB400" s="144"/>
      <c r="AC400" s="144"/>
    </row>
    <row r="401" spans="1:29" x14ac:dyDescent="0.2">
      <c r="A401" s="144"/>
      <c r="B401" s="145"/>
      <c r="C401" s="144"/>
      <c r="D401" s="144"/>
      <c r="E401" s="144"/>
      <c r="F401" s="144"/>
      <c r="G401" s="144"/>
      <c r="H401" s="144"/>
      <c r="I401" s="144"/>
      <c r="J401" s="144"/>
      <c r="K401" s="144"/>
      <c r="M401" s="144"/>
      <c r="N401" s="144"/>
      <c r="O401" s="144"/>
      <c r="P401" s="144"/>
      <c r="Q401" s="144"/>
      <c r="R401" s="144"/>
      <c r="S401" s="144"/>
      <c r="T401" s="144"/>
      <c r="U401" s="144"/>
      <c r="V401" s="144"/>
      <c r="W401" s="144"/>
      <c r="Y401" s="144"/>
      <c r="Z401" s="144"/>
      <c r="AA401" s="144"/>
      <c r="AB401" s="144"/>
      <c r="AC401" s="144"/>
    </row>
    <row r="402" spans="1:29" x14ac:dyDescent="0.2">
      <c r="A402" s="144"/>
      <c r="B402" s="145"/>
      <c r="C402" s="144"/>
      <c r="D402" s="144"/>
      <c r="E402" s="144"/>
      <c r="F402" s="144"/>
      <c r="G402" s="144"/>
      <c r="H402" s="144"/>
      <c r="I402" s="144"/>
      <c r="J402" s="144"/>
      <c r="K402" s="144"/>
      <c r="M402" s="144"/>
      <c r="N402" s="144"/>
      <c r="O402" s="144"/>
      <c r="P402" s="144"/>
      <c r="Q402" s="144"/>
      <c r="R402" s="144"/>
      <c r="S402" s="144"/>
      <c r="T402" s="144"/>
      <c r="U402" s="144"/>
      <c r="V402" s="144"/>
      <c r="W402" s="144"/>
      <c r="Y402" s="144"/>
      <c r="Z402" s="144"/>
      <c r="AA402" s="144"/>
      <c r="AB402" s="144"/>
      <c r="AC402" s="144"/>
    </row>
    <row r="403" spans="1:29" x14ac:dyDescent="0.2">
      <c r="A403" s="144"/>
      <c r="B403" s="145"/>
      <c r="C403" s="144"/>
      <c r="D403" s="144"/>
      <c r="E403" s="144"/>
      <c r="F403" s="144"/>
      <c r="G403" s="144"/>
      <c r="H403" s="144"/>
      <c r="I403" s="144"/>
      <c r="J403" s="144"/>
      <c r="K403" s="144"/>
      <c r="M403" s="144"/>
      <c r="N403" s="144"/>
      <c r="O403" s="144"/>
      <c r="P403" s="144"/>
      <c r="Q403" s="144"/>
      <c r="R403" s="144"/>
      <c r="S403" s="144"/>
      <c r="T403" s="144"/>
      <c r="U403" s="144"/>
      <c r="V403" s="144"/>
      <c r="W403" s="144"/>
      <c r="Y403" s="144"/>
      <c r="Z403" s="144"/>
      <c r="AA403" s="144"/>
      <c r="AB403" s="144"/>
      <c r="AC403" s="144"/>
    </row>
    <row r="404" spans="1:29" x14ac:dyDescent="0.2">
      <c r="A404" s="144"/>
      <c r="B404" s="145"/>
      <c r="C404" s="144"/>
      <c r="D404" s="144"/>
      <c r="E404" s="144"/>
      <c r="F404" s="144"/>
      <c r="G404" s="144"/>
      <c r="H404" s="144"/>
      <c r="I404" s="144"/>
      <c r="J404" s="144"/>
      <c r="K404" s="144"/>
      <c r="M404" s="144"/>
      <c r="N404" s="144"/>
      <c r="O404" s="144"/>
      <c r="P404" s="144"/>
      <c r="Q404" s="144"/>
      <c r="R404" s="144"/>
      <c r="S404" s="144"/>
      <c r="T404" s="144"/>
      <c r="U404" s="144"/>
      <c r="V404" s="144"/>
      <c r="W404" s="144"/>
      <c r="Y404" s="144"/>
      <c r="Z404" s="144"/>
      <c r="AA404" s="144"/>
      <c r="AB404" s="144"/>
      <c r="AC404" s="144"/>
    </row>
    <row r="405" spans="1:29" x14ac:dyDescent="0.2">
      <c r="A405" s="144"/>
      <c r="B405" s="145"/>
      <c r="C405" s="144"/>
      <c r="D405" s="144"/>
      <c r="E405" s="144"/>
      <c r="F405" s="144"/>
      <c r="G405" s="144"/>
      <c r="H405" s="144"/>
      <c r="I405" s="144"/>
      <c r="J405" s="144"/>
      <c r="K405" s="144"/>
      <c r="M405" s="144"/>
      <c r="N405" s="144"/>
      <c r="O405" s="144"/>
      <c r="P405" s="144"/>
      <c r="Q405" s="144"/>
      <c r="R405" s="144"/>
      <c r="S405" s="144"/>
      <c r="T405" s="144"/>
      <c r="U405" s="144"/>
      <c r="V405" s="144"/>
      <c r="W405" s="144"/>
      <c r="Y405" s="144"/>
      <c r="Z405" s="144"/>
      <c r="AA405" s="144"/>
      <c r="AB405" s="144"/>
      <c r="AC405" s="144"/>
    </row>
    <row r="406" spans="1:29" x14ac:dyDescent="0.2">
      <c r="A406" s="144"/>
      <c r="B406" s="145"/>
      <c r="C406" s="144"/>
      <c r="D406" s="144"/>
      <c r="E406" s="144"/>
      <c r="F406" s="144"/>
      <c r="G406" s="144"/>
      <c r="H406" s="144"/>
      <c r="I406" s="144"/>
      <c r="J406" s="144"/>
      <c r="K406" s="144"/>
      <c r="M406" s="144"/>
      <c r="N406" s="144"/>
      <c r="O406" s="144"/>
      <c r="P406" s="144"/>
      <c r="Q406" s="144"/>
      <c r="R406" s="144"/>
      <c r="S406" s="144"/>
      <c r="T406" s="144"/>
      <c r="U406" s="144"/>
      <c r="V406" s="144"/>
      <c r="W406" s="144"/>
      <c r="Y406" s="144"/>
      <c r="Z406" s="144"/>
      <c r="AA406" s="144"/>
      <c r="AB406" s="144"/>
      <c r="AC406" s="144"/>
    </row>
    <row r="407" spans="1:29" x14ac:dyDescent="0.2">
      <c r="A407" s="144"/>
      <c r="B407" s="145"/>
      <c r="C407" s="144"/>
      <c r="D407" s="144"/>
      <c r="E407" s="144"/>
      <c r="F407" s="144"/>
      <c r="G407" s="144"/>
      <c r="H407" s="144"/>
      <c r="I407" s="144"/>
      <c r="J407" s="144"/>
      <c r="K407" s="144"/>
      <c r="M407" s="144"/>
      <c r="N407" s="144"/>
      <c r="O407" s="144"/>
      <c r="P407" s="144"/>
      <c r="Q407" s="144"/>
      <c r="R407" s="144"/>
      <c r="S407" s="144"/>
      <c r="T407" s="144"/>
      <c r="U407" s="144"/>
      <c r="V407" s="144"/>
      <c r="W407" s="144"/>
      <c r="Y407" s="144"/>
      <c r="Z407" s="144"/>
      <c r="AA407" s="144"/>
      <c r="AB407" s="144"/>
      <c r="AC407" s="144"/>
    </row>
    <row r="408" spans="1:29" x14ac:dyDescent="0.2">
      <c r="A408" s="144"/>
      <c r="B408" s="145"/>
      <c r="C408" s="144"/>
      <c r="D408" s="144"/>
      <c r="E408" s="144"/>
      <c r="F408" s="144"/>
      <c r="G408" s="144"/>
      <c r="H408" s="144"/>
      <c r="I408" s="144"/>
      <c r="J408" s="144"/>
      <c r="K408" s="144"/>
      <c r="M408" s="144"/>
      <c r="N408" s="144"/>
      <c r="O408" s="144"/>
      <c r="P408" s="144"/>
      <c r="Q408" s="144"/>
      <c r="R408" s="144"/>
      <c r="S408" s="144"/>
      <c r="T408" s="144"/>
      <c r="U408" s="144"/>
      <c r="V408" s="144"/>
      <c r="W408" s="144"/>
      <c r="Y408" s="144"/>
      <c r="Z408" s="144"/>
      <c r="AA408" s="144"/>
      <c r="AB408" s="144"/>
      <c r="AC408" s="144"/>
    </row>
    <row r="409" spans="1:29" x14ac:dyDescent="0.2">
      <c r="A409" s="144"/>
      <c r="B409" s="145"/>
      <c r="C409" s="144"/>
      <c r="D409" s="144"/>
      <c r="E409" s="144"/>
      <c r="F409" s="144"/>
      <c r="G409" s="144"/>
      <c r="H409" s="144"/>
      <c r="I409" s="144"/>
      <c r="J409" s="144"/>
      <c r="K409" s="144"/>
      <c r="M409" s="144"/>
      <c r="N409" s="144"/>
      <c r="O409" s="144"/>
      <c r="P409" s="144"/>
      <c r="Q409" s="144"/>
      <c r="R409" s="144"/>
      <c r="S409" s="144"/>
      <c r="T409" s="144"/>
      <c r="U409" s="144"/>
      <c r="V409" s="144"/>
      <c r="W409" s="144"/>
      <c r="Y409" s="144"/>
      <c r="Z409" s="144"/>
      <c r="AA409" s="144"/>
      <c r="AB409" s="144"/>
      <c r="AC409" s="144"/>
    </row>
    <row r="410" spans="1:29" x14ac:dyDescent="0.2">
      <c r="A410" s="144"/>
      <c r="B410" s="145"/>
      <c r="C410" s="144"/>
      <c r="D410" s="144"/>
      <c r="E410" s="144"/>
      <c r="F410" s="144"/>
      <c r="G410" s="144"/>
      <c r="H410" s="144"/>
      <c r="I410" s="144"/>
      <c r="J410" s="144"/>
      <c r="K410" s="144"/>
      <c r="M410" s="144"/>
      <c r="N410" s="144"/>
      <c r="O410" s="144"/>
      <c r="P410" s="144"/>
      <c r="Q410" s="144"/>
      <c r="R410" s="144"/>
      <c r="S410" s="144"/>
      <c r="T410" s="144"/>
      <c r="U410" s="144"/>
      <c r="V410" s="144"/>
      <c r="W410" s="144"/>
      <c r="Y410" s="144"/>
      <c r="Z410" s="144"/>
      <c r="AA410" s="144"/>
      <c r="AB410" s="144"/>
      <c r="AC410" s="144"/>
    </row>
    <row r="411" spans="1:29" x14ac:dyDescent="0.2">
      <c r="A411" s="144"/>
      <c r="B411" s="145"/>
      <c r="C411" s="144"/>
      <c r="D411" s="144"/>
      <c r="E411" s="144"/>
      <c r="F411" s="144"/>
      <c r="G411" s="144"/>
      <c r="H411" s="144"/>
      <c r="I411" s="144"/>
      <c r="J411" s="144"/>
      <c r="K411" s="144"/>
      <c r="M411" s="144"/>
      <c r="N411" s="144"/>
      <c r="O411" s="144"/>
      <c r="P411" s="144"/>
      <c r="Q411" s="144"/>
      <c r="R411" s="144"/>
      <c r="S411" s="144"/>
      <c r="T411" s="144"/>
      <c r="U411" s="144"/>
      <c r="V411" s="144"/>
      <c r="W411" s="144"/>
      <c r="Y411" s="144"/>
      <c r="Z411" s="144"/>
      <c r="AA411" s="144"/>
      <c r="AB411" s="144"/>
      <c r="AC411" s="144"/>
    </row>
    <row r="412" spans="1:29" x14ac:dyDescent="0.2">
      <c r="A412" s="144"/>
      <c r="B412" s="145"/>
      <c r="C412" s="144"/>
      <c r="D412" s="144"/>
      <c r="E412" s="144"/>
      <c r="F412" s="144"/>
      <c r="G412" s="144"/>
      <c r="H412" s="144"/>
      <c r="I412" s="144"/>
      <c r="J412" s="144"/>
      <c r="K412" s="144"/>
      <c r="M412" s="144"/>
      <c r="N412" s="144"/>
      <c r="O412" s="144"/>
      <c r="P412" s="144"/>
      <c r="Q412" s="144"/>
      <c r="R412" s="144"/>
      <c r="S412" s="144"/>
      <c r="T412" s="144"/>
      <c r="U412" s="144"/>
      <c r="V412" s="144"/>
      <c r="W412" s="144"/>
      <c r="Y412" s="144"/>
      <c r="Z412" s="144"/>
      <c r="AA412" s="144"/>
      <c r="AB412" s="144"/>
      <c r="AC412" s="144"/>
    </row>
    <row r="413" spans="1:29" x14ac:dyDescent="0.2">
      <c r="A413" s="144"/>
      <c r="B413" s="145"/>
      <c r="C413" s="144"/>
      <c r="D413" s="144"/>
      <c r="E413" s="144"/>
      <c r="F413" s="144"/>
      <c r="G413" s="144"/>
      <c r="H413" s="144"/>
      <c r="I413" s="144"/>
      <c r="J413" s="144"/>
      <c r="K413" s="144"/>
      <c r="M413" s="144"/>
      <c r="N413" s="144"/>
      <c r="O413" s="144"/>
      <c r="P413" s="144"/>
      <c r="Q413" s="144"/>
      <c r="R413" s="144"/>
      <c r="S413" s="144"/>
      <c r="T413" s="144"/>
      <c r="U413" s="144"/>
      <c r="V413" s="144"/>
      <c r="W413" s="144"/>
      <c r="Y413" s="144"/>
      <c r="Z413" s="144"/>
      <c r="AA413" s="144"/>
      <c r="AB413" s="144"/>
      <c r="AC413" s="144"/>
    </row>
    <row r="414" spans="1:29" x14ac:dyDescent="0.2">
      <c r="A414" s="144"/>
      <c r="B414" s="145"/>
      <c r="C414" s="144"/>
      <c r="D414" s="144"/>
      <c r="E414" s="144"/>
      <c r="F414" s="144"/>
      <c r="G414" s="144"/>
      <c r="H414" s="144"/>
      <c r="I414" s="144"/>
      <c r="J414" s="144"/>
      <c r="K414" s="144"/>
      <c r="M414" s="144"/>
      <c r="N414" s="144"/>
      <c r="O414" s="144"/>
      <c r="P414" s="144"/>
      <c r="Q414" s="144"/>
      <c r="R414" s="144"/>
      <c r="S414" s="144"/>
      <c r="T414" s="144"/>
      <c r="U414" s="144"/>
      <c r="V414" s="144"/>
      <c r="W414" s="144"/>
      <c r="Y414" s="144"/>
      <c r="Z414" s="144"/>
      <c r="AA414" s="144"/>
      <c r="AB414" s="144"/>
      <c r="AC414" s="144"/>
    </row>
    <row r="415" spans="1:29" x14ac:dyDescent="0.2">
      <c r="A415" s="144"/>
      <c r="B415" s="145"/>
      <c r="C415" s="144"/>
      <c r="D415" s="144"/>
      <c r="E415" s="144"/>
      <c r="F415" s="144"/>
      <c r="G415" s="144"/>
      <c r="H415" s="144"/>
      <c r="I415" s="144"/>
      <c r="J415" s="144"/>
      <c r="K415" s="144"/>
      <c r="M415" s="144"/>
      <c r="N415" s="144"/>
      <c r="O415" s="144"/>
      <c r="P415" s="144"/>
      <c r="Q415" s="144"/>
      <c r="R415" s="144"/>
      <c r="S415" s="144"/>
      <c r="T415" s="144"/>
      <c r="U415" s="144"/>
      <c r="V415" s="144"/>
      <c r="W415" s="144"/>
      <c r="Y415" s="144"/>
      <c r="Z415" s="144"/>
      <c r="AA415" s="144"/>
      <c r="AB415" s="144"/>
      <c r="AC415" s="144"/>
    </row>
    <row r="416" spans="1:29" x14ac:dyDescent="0.2">
      <c r="A416" s="144"/>
      <c r="B416" s="145"/>
      <c r="C416" s="144"/>
      <c r="D416" s="144"/>
      <c r="E416" s="144"/>
      <c r="F416" s="144"/>
      <c r="G416" s="144"/>
      <c r="H416" s="144"/>
      <c r="I416" s="144"/>
      <c r="J416" s="144"/>
      <c r="K416" s="144"/>
      <c r="M416" s="144"/>
      <c r="N416" s="144"/>
      <c r="O416" s="144"/>
      <c r="P416" s="144"/>
      <c r="Q416" s="144"/>
      <c r="R416" s="144"/>
      <c r="S416" s="144"/>
      <c r="T416" s="144"/>
      <c r="U416" s="144"/>
      <c r="V416" s="144"/>
      <c r="W416" s="144"/>
      <c r="Y416" s="144"/>
      <c r="Z416" s="144"/>
      <c r="AA416" s="144"/>
      <c r="AB416" s="144"/>
      <c r="AC416" s="144"/>
    </row>
    <row r="417" spans="1:29" x14ac:dyDescent="0.2">
      <c r="A417" s="144"/>
      <c r="B417" s="145"/>
      <c r="C417" s="144"/>
      <c r="D417" s="144"/>
      <c r="E417" s="144"/>
      <c r="F417" s="144"/>
      <c r="G417" s="144"/>
      <c r="H417" s="144"/>
      <c r="I417" s="144"/>
      <c r="J417" s="144"/>
      <c r="K417" s="144"/>
      <c r="M417" s="144"/>
      <c r="N417" s="144"/>
      <c r="O417" s="144"/>
      <c r="P417" s="144"/>
      <c r="Q417" s="144"/>
      <c r="R417" s="144"/>
      <c r="S417" s="144"/>
      <c r="T417" s="144"/>
      <c r="U417" s="144"/>
      <c r="V417" s="144"/>
      <c r="W417" s="144"/>
      <c r="Y417" s="144"/>
      <c r="Z417" s="144"/>
      <c r="AA417" s="144"/>
      <c r="AB417" s="144"/>
      <c r="AC417" s="144"/>
    </row>
    <row r="418" spans="1:29" x14ac:dyDescent="0.2">
      <c r="A418" s="144"/>
      <c r="B418" s="145"/>
      <c r="C418" s="144"/>
      <c r="D418" s="144"/>
      <c r="E418" s="144"/>
      <c r="F418" s="144"/>
      <c r="G418" s="144"/>
      <c r="H418" s="144"/>
      <c r="I418" s="144"/>
      <c r="J418" s="144"/>
      <c r="K418" s="144"/>
      <c r="M418" s="144"/>
      <c r="N418" s="144"/>
      <c r="O418" s="144"/>
      <c r="P418" s="144"/>
      <c r="Q418" s="144"/>
      <c r="R418" s="144"/>
      <c r="S418" s="144"/>
      <c r="T418" s="144"/>
      <c r="U418" s="144"/>
      <c r="V418" s="144"/>
      <c r="W418" s="144"/>
      <c r="Y418" s="144"/>
      <c r="Z418" s="144"/>
      <c r="AA418" s="144"/>
      <c r="AB418" s="144"/>
      <c r="AC418" s="144"/>
    </row>
    <row r="419" spans="1:29" x14ac:dyDescent="0.2">
      <c r="A419" s="144"/>
      <c r="B419" s="145"/>
      <c r="C419" s="144"/>
      <c r="D419" s="144"/>
      <c r="E419" s="144"/>
      <c r="F419" s="144"/>
      <c r="G419" s="144"/>
      <c r="H419" s="144"/>
      <c r="I419" s="144"/>
      <c r="J419" s="144"/>
      <c r="K419" s="144"/>
      <c r="M419" s="144"/>
      <c r="N419" s="144"/>
      <c r="O419" s="144"/>
      <c r="P419" s="144"/>
      <c r="Q419" s="144"/>
      <c r="R419" s="144"/>
      <c r="S419" s="144"/>
      <c r="T419" s="144"/>
      <c r="U419" s="144"/>
      <c r="V419" s="144"/>
      <c r="W419" s="144"/>
      <c r="Y419" s="144"/>
      <c r="Z419" s="144"/>
      <c r="AA419" s="144"/>
      <c r="AB419" s="144"/>
      <c r="AC419" s="144"/>
    </row>
    <row r="420" spans="1:29" x14ac:dyDescent="0.2">
      <c r="A420" s="144"/>
      <c r="B420" s="145"/>
      <c r="C420" s="144"/>
      <c r="D420" s="144"/>
      <c r="E420" s="144"/>
      <c r="F420" s="144"/>
      <c r="G420" s="144"/>
      <c r="H420" s="144"/>
      <c r="I420" s="144"/>
      <c r="J420" s="144"/>
      <c r="K420" s="144"/>
      <c r="M420" s="144"/>
      <c r="N420" s="144"/>
      <c r="O420" s="144"/>
      <c r="P420" s="144"/>
      <c r="Q420" s="144"/>
      <c r="R420" s="144"/>
      <c r="S420" s="144"/>
      <c r="T420" s="144"/>
      <c r="U420" s="144"/>
      <c r="V420" s="144"/>
      <c r="W420" s="144"/>
      <c r="Y420" s="144"/>
      <c r="Z420" s="144"/>
      <c r="AA420" s="144"/>
      <c r="AB420" s="144"/>
      <c r="AC420" s="144"/>
    </row>
    <row r="421" spans="1:29" x14ac:dyDescent="0.2">
      <c r="A421" s="144"/>
      <c r="B421" s="145"/>
      <c r="C421" s="144"/>
      <c r="D421" s="144"/>
      <c r="E421" s="144"/>
      <c r="F421" s="144"/>
      <c r="G421" s="144"/>
      <c r="H421" s="144"/>
      <c r="I421" s="144"/>
      <c r="J421" s="144"/>
      <c r="K421" s="144"/>
      <c r="M421" s="144"/>
      <c r="N421" s="144"/>
      <c r="O421" s="144"/>
      <c r="P421" s="144"/>
      <c r="Q421" s="144"/>
      <c r="R421" s="144"/>
      <c r="S421" s="144"/>
      <c r="T421" s="144"/>
      <c r="U421" s="144"/>
      <c r="V421" s="144"/>
      <c r="W421" s="144"/>
      <c r="Y421" s="144"/>
      <c r="Z421" s="144"/>
      <c r="AA421" s="144"/>
      <c r="AB421" s="144"/>
      <c r="AC421" s="144"/>
    </row>
    <row r="422" spans="1:29" x14ac:dyDescent="0.2">
      <c r="A422" s="144"/>
      <c r="B422" s="145"/>
      <c r="C422" s="144"/>
      <c r="D422" s="144"/>
      <c r="E422" s="144"/>
      <c r="F422" s="144"/>
      <c r="G422" s="144"/>
      <c r="H422" s="144"/>
      <c r="I422" s="144"/>
      <c r="J422" s="144"/>
      <c r="K422" s="144"/>
      <c r="M422" s="144"/>
      <c r="N422" s="144"/>
      <c r="O422" s="144"/>
      <c r="P422" s="144"/>
      <c r="Q422" s="144"/>
      <c r="R422" s="144"/>
      <c r="S422" s="144"/>
      <c r="T422" s="144"/>
      <c r="U422" s="144"/>
      <c r="V422" s="144"/>
      <c r="W422" s="144"/>
      <c r="Y422" s="144"/>
      <c r="Z422" s="144"/>
      <c r="AA422" s="144"/>
      <c r="AB422" s="144"/>
      <c r="AC422" s="144"/>
    </row>
    <row r="423" spans="1:29" x14ac:dyDescent="0.2">
      <c r="A423" s="144"/>
      <c r="B423" s="145"/>
      <c r="C423" s="144"/>
      <c r="D423" s="144"/>
      <c r="E423" s="144"/>
      <c r="F423" s="144"/>
      <c r="G423" s="144"/>
      <c r="H423" s="144"/>
      <c r="I423" s="144"/>
      <c r="J423" s="144"/>
      <c r="K423" s="144"/>
      <c r="M423" s="144"/>
      <c r="N423" s="144"/>
      <c r="O423" s="144"/>
      <c r="P423" s="144"/>
      <c r="Q423" s="144"/>
      <c r="R423" s="144"/>
      <c r="S423" s="144"/>
      <c r="T423" s="144"/>
      <c r="U423" s="144"/>
      <c r="V423" s="144"/>
      <c r="W423" s="144"/>
      <c r="Y423" s="144"/>
      <c r="Z423" s="144"/>
      <c r="AA423" s="144"/>
      <c r="AB423" s="144"/>
      <c r="AC423" s="144"/>
    </row>
    <row r="424" spans="1:29" x14ac:dyDescent="0.2">
      <c r="A424" s="144"/>
      <c r="B424" s="145"/>
      <c r="C424" s="144"/>
      <c r="D424" s="144"/>
      <c r="E424" s="144"/>
      <c r="F424" s="144"/>
      <c r="G424" s="144"/>
      <c r="H424" s="144"/>
      <c r="I424" s="144"/>
      <c r="J424" s="144"/>
      <c r="K424" s="144"/>
      <c r="M424" s="144"/>
      <c r="N424" s="144"/>
      <c r="O424" s="144"/>
      <c r="P424" s="144"/>
      <c r="Q424" s="144"/>
      <c r="R424" s="144"/>
      <c r="S424" s="144"/>
      <c r="T424" s="144"/>
      <c r="U424" s="144"/>
      <c r="V424" s="144"/>
      <c r="W424" s="144"/>
      <c r="Y424" s="144"/>
      <c r="Z424" s="144"/>
      <c r="AA424" s="144"/>
      <c r="AB424" s="144"/>
      <c r="AC424" s="144"/>
    </row>
    <row r="425" spans="1:29" x14ac:dyDescent="0.2">
      <c r="A425" s="144"/>
      <c r="B425" s="145"/>
      <c r="C425" s="144"/>
      <c r="D425" s="144"/>
      <c r="E425" s="144"/>
      <c r="F425" s="144"/>
      <c r="G425" s="144"/>
      <c r="H425" s="144"/>
      <c r="I425" s="144"/>
      <c r="J425" s="144"/>
      <c r="K425" s="144"/>
      <c r="M425" s="144"/>
      <c r="N425" s="144"/>
      <c r="O425" s="144"/>
      <c r="P425" s="144"/>
      <c r="Q425" s="144"/>
      <c r="R425" s="144"/>
      <c r="S425" s="144"/>
      <c r="T425" s="144"/>
      <c r="U425" s="144"/>
      <c r="V425" s="144"/>
      <c r="W425" s="144"/>
      <c r="Y425" s="144"/>
      <c r="Z425" s="144"/>
      <c r="AA425" s="144"/>
      <c r="AB425" s="144"/>
      <c r="AC425" s="144"/>
    </row>
    <row r="426" spans="1:29" x14ac:dyDescent="0.2">
      <c r="A426" s="144"/>
      <c r="B426" s="145"/>
      <c r="C426" s="144"/>
      <c r="D426" s="144"/>
      <c r="E426" s="144"/>
      <c r="F426" s="144"/>
      <c r="G426" s="144"/>
      <c r="H426" s="144"/>
      <c r="I426" s="144"/>
      <c r="J426" s="144"/>
      <c r="K426" s="144"/>
      <c r="M426" s="144"/>
      <c r="N426" s="144"/>
      <c r="O426" s="144"/>
      <c r="P426" s="144"/>
      <c r="Q426" s="144"/>
      <c r="R426" s="144"/>
      <c r="S426" s="144"/>
      <c r="T426" s="144"/>
      <c r="U426" s="144"/>
      <c r="V426" s="144"/>
      <c r="W426" s="144"/>
      <c r="Y426" s="144"/>
      <c r="Z426" s="144"/>
      <c r="AA426" s="144"/>
      <c r="AB426" s="144"/>
      <c r="AC426" s="144"/>
    </row>
    <row r="427" spans="1:29" x14ac:dyDescent="0.2">
      <c r="A427" s="144"/>
      <c r="B427" s="145"/>
      <c r="C427" s="144"/>
      <c r="D427" s="144"/>
      <c r="E427" s="144"/>
      <c r="F427" s="144"/>
      <c r="G427" s="144"/>
      <c r="H427" s="144"/>
      <c r="I427" s="144"/>
      <c r="J427" s="144"/>
      <c r="K427" s="144"/>
      <c r="M427" s="144"/>
      <c r="N427" s="144"/>
      <c r="O427" s="144"/>
      <c r="P427" s="144"/>
      <c r="Q427" s="144"/>
      <c r="R427" s="144"/>
      <c r="S427" s="144"/>
      <c r="T427" s="144"/>
      <c r="U427" s="144"/>
      <c r="V427" s="144"/>
      <c r="W427" s="144"/>
      <c r="Y427" s="144"/>
      <c r="Z427" s="144"/>
      <c r="AA427" s="144"/>
      <c r="AB427" s="144"/>
      <c r="AC427" s="144"/>
    </row>
    <row r="428" spans="1:29" x14ac:dyDescent="0.2">
      <c r="A428" s="144"/>
      <c r="B428" s="145"/>
      <c r="C428" s="144"/>
      <c r="D428" s="144"/>
      <c r="E428" s="144"/>
      <c r="F428" s="144"/>
      <c r="G428" s="144"/>
      <c r="H428" s="144"/>
      <c r="I428" s="144"/>
      <c r="J428" s="144"/>
      <c r="K428" s="144"/>
      <c r="M428" s="144"/>
      <c r="N428" s="144"/>
      <c r="O428" s="144"/>
      <c r="P428" s="144"/>
      <c r="Q428" s="144"/>
      <c r="R428" s="144"/>
      <c r="S428" s="144"/>
      <c r="T428" s="144"/>
      <c r="U428" s="144"/>
      <c r="V428" s="144"/>
      <c r="W428" s="144"/>
      <c r="Y428" s="144"/>
      <c r="Z428" s="144"/>
      <c r="AA428" s="144"/>
      <c r="AB428" s="144"/>
      <c r="AC428" s="144"/>
    </row>
    <row r="429" spans="1:29" x14ac:dyDescent="0.2">
      <c r="A429" s="144"/>
      <c r="B429" s="145"/>
      <c r="C429" s="144"/>
      <c r="D429" s="144"/>
      <c r="E429" s="144"/>
      <c r="F429" s="144"/>
      <c r="G429" s="144"/>
      <c r="H429" s="144"/>
      <c r="I429" s="144"/>
      <c r="J429" s="144"/>
      <c r="K429" s="144"/>
      <c r="M429" s="144"/>
      <c r="N429" s="144"/>
      <c r="O429" s="144"/>
      <c r="P429" s="144"/>
      <c r="Q429" s="144"/>
      <c r="R429" s="144"/>
      <c r="S429" s="144"/>
      <c r="T429" s="144"/>
      <c r="U429" s="144"/>
      <c r="V429" s="144"/>
      <c r="W429" s="144"/>
      <c r="Y429" s="144"/>
      <c r="Z429" s="144"/>
      <c r="AA429" s="144"/>
      <c r="AB429" s="144"/>
      <c r="AC429" s="144"/>
    </row>
    <row r="430" spans="1:29" x14ac:dyDescent="0.2">
      <c r="A430" s="144"/>
      <c r="B430" s="145"/>
      <c r="C430" s="144"/>
      <c r="D430" s="144"/>
      <c r="E430" s="144"/>
      <c r="F430" s="144"/>
      <c r="G430" s="144"/>
      <c r="H430" s="144"/>
      <c r="I430" s="144"/>
      <c r="J430" s="144"/>
      <c r="K430" s="144"/>
      <c r="M430" s="144"/>
      <c r="N430" s="144"/>
      <c r="O430" s="144"/>
      <c r="P430" s="144"/>
      <c r="Q430" s="144"/>
      <c r="R430" s="144"/>
      <c r="S430" s="144"/>
      <c r="T430" s="144"/>
      <c r="U430" s="144"/>
      <c r="V430" s="144"/>
      <c r="W430" s="144"/>
      <c r="Y430" s="144"/>
      <c r="Z430" s="144"/>
      <c r="AA430" s="144"/>
      <c r="AB430" s="144"/>
      <c r="AC430" s="144"/>
    </row>
    <row r="431" spans="1:29" x14ac:dyDescent="0.2">
      <c r="A431" s="144"/>
      <c r="B431" s="145"/>
      <c r="C431" s="144"/>
      <c r="D431" s="144"/>
      <c r="E431" s="144"/>
      <c r="F431" s="144"/>
      <c r="G431" s="144"/>
      <c r="H431" s="144"/>
      <c r="I431" s="144"/>
      <c r="J431" s="144"/>
      <c r="K431" s="144"/>
      <c r="M431" s="144"/>
      <c r="N431" s="144"/>
      <c r="O431" s="144"/>
      <c r="P431" s="144"/>
      <c r="Q431" s="144"/>
      <c r="R431" s="144"/>
      <c r="S431" s="144"/>
      <c r="T431" s="144"/>
      <c r="U431" s="144"/>
      <c r="V431" s="144"/>
      <c r="W431" s="144"/>
      <c r="Y431" s="144"/>
      <c r="Z431" s="144"/>
      <c r="AA431" s="144"/>
      <c r="AB431" s="144"/>
      <c r="AC431" s="144"/>
    </row>
    <row r="432" spans="1:29" x14ac:dyDescent="0.2">
      <c r="A432" s="144"/>
      <c r="B432" s="145"/>
      <c r="C432" s="144"/>
      <c r="D432" s="144"/>
      <c r="E432" s="144"/>
      <c r="F432" s="144"/>
      <c r="G432" s="144"/>
      <c r="H432" s="144"/>
      <c r="I432" s="144"/>
      <c r="J432" s="144"/>
      <c r="K432" s="144"/>
      <c r="M432" s="144"/>
      <c r="N432" s="144"/>
      <c r="O432" s="144"/>
      <c r="P432" s="144"/>
      <c r="Q432" s="144"/>
      <c r="R432" s="144"/>
      <c r="S432" s="144"/>
      <c r="T432" s="144"/>
      <c r="U432" s="144"/>
      <c r="V432" s="144"/>
      <c r="W432" s="144"/>
      <c r="Y432" s="144"/>
      <c r="Z432" s="144"/>
      <c r="AA432" s="144"/>
      <c r="AB432" s="144"/>
      <c r="AC432" s="144"/>
    </row>
    <row r="433" spans="1:29" x14ac:dyDescent="0.2">
      <c r="A433" s="144"/>
      <c r="B433" s="145"/>
      <c r="C433" s="144"/>
      <c r="D433" s="144"/>
      <c r="E433" s="144"/>
      <c r="F433" s="144"/>
      <c r="G433" s="144"/>
      <c r="H433" s="144"/>
      <c r="I433" s="144"/>
      <c r="J433" s="144"/>
      <c r="K433" s="144"/>
      <c r="M433" s="144"/>
      <c r="N433" s="144"/>
      <c r="O433" s="144"/>
      <c r="P433" s="144"/>
      <c r="Q433" s="144"/>
      <c r="R433" s="144"/>
      <c r="S433" s="144"/>
      <c r="T433" s="144"/>
      <c r="U433" s="144"/>
      <c r="V433" s="144"/>
      <c r="W433" s="144"/>
      <c r="Y433" s="144"/>
      <c r="Z433" s="144"/>
      <c r="AA433" s="144"/>
      <c r="AB433" s="144"/>
      <c r="AC433" s="144"/>
    </row>
    <row r="434" spans="1:29" x14ac:dyDescent="0.2">
      <c r="A434" s="144"/>
      <c r="B434" s="145"/>
      <c r="C434" s="144"/>
      <c r="D434" s="144"/>
      <c r="E434" s="144"/>
      <c r="F434" s="144"/>
      <c r="G434" s="144"/>
      <c r="H434" s="144"/>
      <c r="I434" s="144"/>
      <c r="J434" s="144"/>
      <c r="K434" s="144"/>
      <c r="M434" s="144"/>
      <c r="N434" s="144"/>
      <c r="O434" s="144"/>
      <c r="P434" s="144"/>
      <c r="Q434" s="144"/>
      <c r="R434" s="144"/>
      <c r="S434" s="144"/>
      <c r="T434" s="144"/>
      <c r="U434" s="144"/>
      <c r="V434" s="144"/>
      <c r="W434" s="144"/>
      <c r="Y434" s="144"/>
      <c r="Z434" s="144"/>
      <c r="AA434" s="144"/>
      <c r="AB434" s="144"/>
      <c r="AC434" s="144"/>
    </row>
    <row r="435" spans="1:29" x14ac:dyDescent="0.2">
      <c r="A435" s="144"/>
      <c r="B435" s="145"/>
      <c r="C435" s="144"/>
      <c r="D435" s="144"/>
      <c r="E435" s="144"/>
      <c r="F435" s="144"/>
      <c r="G435" s="144"/>
      <c r="H435" s="144"/>
      <c r="I435" s="144"/>
      <c r="J435" s="144"/>
      <c r="K435" s="144"/>
      <c r="M435" s="144"/>
      <c r="N435" s="144"/>
      <c r="O435" s="144"/>
      <c r="P435" s="144"/>
      <c r="Q435" s="144"/>
      <c r="R435" s="144"/>
      <c r="S435" s="144"/>
      <c r="T435" s="144"/>
      <c r="U435" s="144"/>
      <c r="V435" s="144"/>
      <c r="W435" s="144"/>
      <c r="Y435" s="144"/>
      <c r="Z435" s="144"/>
      <c r="AA435" s="144"/>
      <c r="AB435" s="144"/>
      <c r="AC435" s="144"/>
    </row>
    <row r="436" spans="1:29" x14ac:dyDescent="0.2">
      <c r="A436" s="144"/>
      <c r="B436" s="145"/>
      <c r="C436" s="144"/>
      <c r="D436" s="144"/>
      <c r="E436" s="144"/>
      <c r="F436" s="144"/>
      <c r="G436" s="144"/>
      <c r="H436" s="144"/>
      <c r="I436" s="144"/>
      <c r="J436" s="144"/>
      <c r="K436" s="144"/>
      <c r="M436" s="144"/>
      <c r="N436" s="144"/>
      <c r="O436" s="144"/>
      <c r="P436" s="144"/>
      <c r="Q436" s="144"/>
      <c r="R436" s="144"/>
      <c r="S436" s="144"/>
      <c r="T436" s="144"/>
      <c r="U436" s="144"/>
      <c r="V436" s="144"/>
      <c r="W436" s="144"/>
      <c r="Y436" s="144"/>
      <c r="Z436" s="144"/>
      <c r="AA436" s="144"/>
      <c r="AB436" s="144"/>
      <c r="AC436" s="144"/>
    </row>
    <row r="437" spans="1:29" x14ac:dyDescent="0.2">
      <c r="A437" s="144"/>
      <c r="B437" s="145"/>
      <c r="C437" s="144"/>
      <c r="D437" s="144"/>
      <c r="E437" s="144"/>
      <c r="F437" s="144"/>
      <c r="G437" s="144"/>
      <c r="H437" s="144"/>
      <c r="I437" s="144"/>
      <c r="J437" s="144"/>
      <c r="K437" s="144"/>
      <c r="M437" s="144"/>
      <c r="N437" s="144"/>
      <c r="O437" s="144"/>
      <c r="P437" s="144"/>
      <c r="Q437" s="144"/>
      <c r="R437" s="144"/>
      <c r="S437" s="144"/>
      <c r="T437" s="144"/>
      <c r="U437" s="144"/>
      <c r="V437" s="144"/>
      <c r="W437" s="144"/>
      <c r="Y437" s="144"/>
      <c r="Z437" s="144"/>
      <c r="AA437" s="144"/>
      <c r="AB437" s="144"/>
      <c r="AC437" s="144"/>
    </row>
    <row r="438" spans="1:29" x14ac:dyDescent="0.2">
      <c r="A438" s="144"/>
      <c r="B438" s="145"/>
      <c r="C438" s="144"/>
      <c r="D438" s="144"/>
      <c r="E438" s="144"/>
      <c r="F438" s="144"/>
      <c r="G438" s="144"/>
      <c r="H438" s="144"/>
      <c r="I438" s="144"/>
      <c r="J438" s="144"/>
      <c r="K438" s="144"/>
      <c r="M438" s="144"/>
      <c r="N438" s="144"/>
      <c r="O438" s="144"/>
      <c r="P438" s="144"/>
      <c r="Q438" s="144"/>
      <c r="R438" s="144"/>
      <c r="S438" s="144"/>
      <c r="T438" s="144"/>
      <c r="U438" s="144"/>
      <c r="V438" s="144"/>
      <c r="W438" s="144"/>
      <c r="Y438" s="144"/>
      <c r="Z438" s="144"/>
      <c r="AA438" s="144"/>
      <c r="AB438" s="144"/>
      <c r="AC438" s="144"/>
    </row>
    <row r="439" spans="1:29" x14ac:dyDescent="0.2">
      <c r="A439" s="144"/>
      <c r="B439" s="145"/>
      <c r="C439" s="144"/>
      <c r="D439" s="144"/>
      <c r="E439" s="144"/>
      <c r="F439" s="144"/>
      <c r="G439" s="144"/>
      <c r="H439" s="144"/>
      <c r="I439" s="144"/>
      <c r="J439" s="144"/>
      <c r="K439" s="144"/>
      <c r="M439" s="144"/>
      <c r="N439" s="144"/>
      <c r="O439" s="144"/>
      <c r="P439" s="144"/>
      <c r="Q439" s="144"/>
      <c r="R439" s="144"/>
      <c r="S439" s="144"/>
      <c r="T439" s="144"/>
      <c r="U439" s="144"/>
      <c r="V439" s="144"/>
      <c r="W439" s="144"/>
      <c r="Y439" s="144"/>
      <c r="Z439" s="144"/>
      <c r="AA439" s="144"/>
      <c r="AB439" s="144"/>
      <c r="AC439" s="144"/>
    </row>
    <row r="440" spans="1:29" x14ac:dyDescent="0.2">
      <c r="A440" s="144"/>
      <c r="B440" s="145"/>
      <c r="C440" s="144"/>
      <c r="D440" s="144"/>
      <c r="E440" s="144"/>
      <c r="F440" s="144"/>
      <c r="G440" s="144"/>
      <c r="H440" s="144"/>
      <c r="I440" s="144"/>
      <c r="J440" s="144"/>
      <c r="K440" s="144"/>
      <c r="M440" s="144"/>
      <c r="N440" s="144"/>
      <c r="O440" s="144"/>
      <c r="P440" s="144"/>
      <c r="Q440" s="144"/>
      <c r="R440" s="144"/>
      <c r="S440" s="144"/>
      <c r="T440" s="144"/>
      <c r="U440" s="144"/>
      <c r="V440" s="144"/>
      <c r="W440" s="144"/>
      <c r="Y440" s="144"/>
      <c r="Z440" s="144"/>
      <c r="AA440" s="144"/>
      <c r="AB440" s="144"/>
      <c r="AC440" s="144"/>
    </row>
    <row r="441" spans="1:29" x14ac:dyDescent="0.2">
      <c r="A441" s="144"/>
      <c r="B441" s="145"/>
      <c r="C441" s="144"/>
      <c r="D441" s="144"/>
      <c r="E441" s="144"/>
      <c r="F441" s="144"/>
      <c r="G441" s="144"/>
      <c r="H441" s="144"/>
      <c r="I441" s="144"/>
      <c r="J441" s="144"/>
      <c r="K441" s="144"/>
      <c r="M441" s="144"/>
      <c r="N441" s="144"/>
      <c r="O441" s="144"/>
      <c r="P441" s="144"/>
      <c r="Q441" s="144"/>
      <c r="R441" s="144"/>
      <c r="S441" s="144"/>
      <c r="T441" s="144"/>
      <c r="U441" s="144"/>
      <c r="V441" s="144"/>
      <c r="W441" s="144"/>
      <c r="Y441" s="144"/>
      <c r="Z441" s="144"/>
      <c r="AA441" s="144"/>
      <c r="AB441" s="144"/>
      <c r="AC441" s="144"/>
    </row>
    <row r="442" spans="1:29" x14ac:dyDescent="0.2">
      <c r="A442" s="144"/>
      <c r="B442" s="145"/>
      <c r="C442" s="144"/>
      <c r="D442" s="144"/>
      <c r="E442" s="144"/>
      <c r="F442" s="144"/>
      <c r="G442" s="144"/>
      <c r="H442" s="144"/>
      <c r="I442" s="144"/>
      <c r="J442" s="144"/>
      <c r="K442" s="144"/>
      <c r="M442" s="144"/>
      <c r="N442" s="144"/>
      <c r="O442" s="144"/>
      <c r="P442" s="144"/>
      <c r="Q442" s="144"/>
      <c r="R442" s="144"/>
      <c r="S442" s="144"/>
      <c r="T442" s="144"/>
      <c r="U442" s="144"/>
      <c r="V442" s="144"/>
      <c r="W442" s="144"/>
      <c r="Y442" s="144"/>
      <c r="Z442" s="144"/>
      <c r="AA442" s="144"/>
      <c r="AB442" s="144"/>
      <c r="AC442" s="144"/>
    </row>
    <row r="443" spans="1:29" x14ac:dyDescent="0.2">
      <c r="A443" s="144"/>
      <c r="B443" s="145"/>
      <c r="C443" s="144"/>
      <c r="D443" s="144"/>
      <c r="E443" s="144"/>
      <c r="F443" s="144"/>
      <c r="G443" s="144"/>
      <c r="H443" s="144"/>
      <c r="I443" s="144"/>
      <c r="J443" s="144"/>
      <c r="K443" s="144"/>
      <c r="M443" s="144"/>
      <c r="N443" s="144"/>
      <c r="O443" s="144"/>
      <c r="P443" s="144"/>
      <c r="Q443" s="144"/>
      <c r="R443" s="144"/>
      <c r="S443" s="144"/>
      <c r="T443" s="144"/>
      <c r="U443" s="144"/>
      <c r="V443" s="144"/>
      <c r="W443" s="144"/>
      <c r="Y443" s="144"/>
      <c r="Z443" s="144"/>
      <c r="AA443" s="144"/>
      <c r="AB443" s="144"/>
      <c r="AC443" s="144"/>
    </row>
    <row r="444" spans="1:29" x14ac:dyDescent="0.2">
      <c r="A444" s="144"/>
      <c r="B444" s="145"/>
      <c r="C444" s="144"/>
      <c r="D444" s="144"/>
      <c r="E444" s="144"/>
      <c r="F444" s="144"/>
      <c r="G444" s="144"/>
      <c r="H444" s="144"/>
      <c r="I444" s="144"/>
      <c r="J444" s="144"/>
      <c r="K444" s="144"/>
      <c r="M444" s="144"/>
      <c r="N444" s="144"/>
      <c r="O444" s="144"/>
      <c r="P444" s="144"/>
      <c r="Q444" s="144"/>
      <c r="R444" s="144"/>
      <c r="S444" s="144"/>
      <c r="T444" s="144"/>
      <c r="U444" s="144"/>
      <c r="V444" s="144"/>
      <c r="W444" s="144"/>
      <c r="Y444" s="144"/>
      <c r="Z444" s="144"/>
      <c r="AA444" s="144"/>
      <c r="AB444" s="144"/>
      <c r="AC444" s="144"/>
    </row>
    <row r="445" spans="1:29" x14ac:dyDescent="0.2">
      <c r="A445" s="144"/>
      <c r="B445" s="145"/>
      <c r="C445" s="144"/>
      <c r="D445" s="144"/>
      <c r="E445" s="144"/>
      <c r="F445" s="144"/>
      <c r="G445" s="144"/>
      <c r="H445" s="144"/>
      <c r="I445" s="144"/>
      <c r="J445" s="144"/>
      <c r="K445" s="144"/>
      <c r="M445" s="144"/>
      <c r="N445" s="144"/>
      <c r="O445" s="144"/>
      <c r="P445" s="144"/>
      <c r="Q445" s="144"/>
      <c r="R445" s="144"/>
      <c r="S445" s="144"/>
      <c r="T445" s="144"/>
      <c r="U445" s="144"/>
      <c r="V445" s="144"/>
      <c r="W445" s="144"/>
      <c r="Y445" s="144"/>
      <c r="Z445" s="144"/>
      <c r="AA445" s="144"/>
      <c r="AB445" s="144"/>
      <c r="AC445" s="144"/>
    </row>
    <row r="446" spans="1:29" x14ac:dyDescent="0.2">
      <c r="A446" s="144"/>
      <c r="B446" s="145"/>
      <c r="C446" s="144"/>
      <c r="D446" s="144"/>
      <c r="E446" s="144"/>
      <c r="F446" s="144"/>
      <c r="G446" s="144"/>
      <c r="H446" s="144"/>
      <c r="I446" s="144"/>
      <c r="J446" s="144"/>
      <c r="K446" s="144"/>
      <c r="M446" s="144"/>
      <c r="N446" s="144"/>
      <c r="O446" s="144"/>
      <c r="P446" s="144"/>
      <c r="Q446" s="144"/>
      <c r="R446" s="144"/>
      <c r="S446" s="144"/>
      <c r="T446" s="144"/>
      <c r="U446" s="144"/>
      <c r="V446" s="144"/>
      <c r="W446" s="144"/>
      <c r="Y446" s="144"/>
      <c r="Z446" s="144"/>
      <c r="AA446" s="144"/>
      <c r="AB446" s="144"/>
      <c r="AC446" s="144"/>
    </row>
    <row r="447" spans="1:29" x14ac:dyDescent="0.2">
      <c r="A447" s="144"/>
      <c r="B447" s="145"/>
      <c r="C447" s="144"/>
      <c r="D447" s="144"/>
      <c r="E447" s="144"/>
      <c r="F447" s="144"/>
      <c r="G447" s="144"/>
      <c r="H447" s="144"/>
      <c r="I447" s="144"/>
      <c r="J447" s="144"/>
      <c r="K447" s="144"/>
      <c r="M447" s="144"/>
      <c r="N447" s="144"/>
      <c r="O447" s="144"/>
      <c r="P447" s="144"/>
      <c r="Q447" s="144"/>
      <c r="R447" s="144"/>
      <c r="S447" s="144"/>
      <c r="T447" s="144"/>
      <c r="U447" s="144"/>
      <c r="V447" s="144"/>
      <c r="W447" s="144"/>
      <c r="Y447" s="144"/>
      <c r="Z447" s="144"/>
      <c r="AA447" s="144"/>
      <c r="AB447" s="144"/>
      <c r="AC447" s="144"/>
    </row>
    <row r="448" spans="1:29" x14ac:dyDescent="0.2">
      <c r="A448" s="144"/>
      <c r="B448" s="145"/>
      <c r="C448" s="144"/>
      <c r="D448" s="144"/>
      <c r="E448" s="144"/>
      <c r="F448" s="144"/>
      <c r="G448" s="144"/>
      <c r="H448" s="144"/>
      <c r="I448" s="144"/>
      <c r="J448" s="144"/>
      <c r="K448" s="144"/>
      <c r="M448" s="144"/>
      <c r="N448" s="144"/>
      <c r="O448" s="144"/>
      <c r="P448" s="144"/>
      <c r="Q448" s="144"/>
      <c r="R448" s="144"/>
      <c r="S448" s="144"/>
      <c r="T448" s="144"/>
      <c r="U448" s="144"/>
      <c r="V448" s="144"/>
      <c r="W448" s="144"/>
      <c r="Y448" s="144"/>
      <c r="Z448" s="144"/>
      <c r="AA448" s="144"/>
      <c r="AB448" s="144"/>
      <c r="AC448" s="144"/>
    </row>
    <row r="449" spans="1:29" x14ac:dyDescent="0.2">
      <c r="A449" s="144"/>
      <c r="B449" s="145"/>
      <c r="C449" s="144"/>
      <c r="D449" s="144"/>
      <c r="E449" s="144"/>
      <c r="F449" s="144"/>
      <c r="G449" s="144"/>
      <c r="H449" s="144"/>
      <c r="I449" s="144"/>
      <c r="J449" s="144"/>
      <c r="K449" s="144"/>
      <c r="M449" s="144"/>
      <c r="N449" s="144"/>
      <c r="O449" s="144"/>
      <c r="P449" s="144"/>
      <c r="Q449" s="144"/>
      <c r="R449" s="144"/>
      <c r="S449" s="144"/>
      <c r="T449" s="144"/>
      <c r="U449" s="144"/>
      <c r="V449" s="144"/>
      <c r="W449" s="144"/>
      <c r="Y449" s="144"/>
      <c r="Z449" s="144"/>
      <c r="AA449" s="144"/>
      <c r="AB449" s="144"/>
      <c r="AC449" s="144"/>
    </row>
    <row r="450" spans="1:29" x14ac:dyDescent="0.2">
      <c r="A450" s="144"/>
      <c r="B450" s="145"/>
      <c r="C450" s="144"/>
      <c r="D450" s="144"/>
      <c r="E450" s="144"/>
      <c r="F450" s="144"/>
      <c r="G450" s="144"/>
      <c r="H450" s="144"/>
      <c r="I450" s="144"/>
      <c r="J450" s="144"/>
      <c r="K450" s="144"/>
      <c r="M450" s="144"/>
      <c r="N450" s="144"/>
      <c r="O450" s="144"/>
      <c r="P450" s="144"/>
      <c r="Q450" s="144"/>
      <c r="R450" s="144"/>
      <c r="S450" s="144"/>
      <c r="T450" s="144"/>
      <c r="U450" s="144"/>
      <c r="V450" s="144"/>
      <c r="W450" s="144"/>
      <c r="Y450" s="144"/>
      <c r="Z450" s="144"/>
      <c r="AA450" s="144"/>
      <c r="AB450" s="144"/>
      <c r="AC450" s="144"/>
    </row>
    <row r="451" spans="1:29" x14ac:dyDescent="0.2">
      <c r="A451" s="144"/>
      <c r="B451" s="145"/>
      <c r="C451" s="144"/>
      <c r="D451" s="144"/>
      <c r="E451" s="144"/>
      <c r="F451" s="144"/>
      <c r="G451" s="144"/>
      <c r="H451" s="144"/>
      <c r="I451" s="144"/>
      <c r="J451" s="144"/>
      <c r="K451" s="144"/>
      <c r="M451" s="144"/>
      <c r="N451" s="144"/>
      <c r="O451" s="144"/>
      <c r="P451" s="144"/>
      <c r="Q451" s="144"/>
      <c r="R451" s="144"/>
      <c r="S451" s="144"/>
      <c r="T451" s="144"/>
      <c r="U451" s="144"/>
      <c r="V451" s="144"/>
      <c r="W451" s="144"/>
      <c r="Y451" s="144"/>
      <c r="Z451" s="144"/>
      <c r="AA451" s="144"/>
      <c r="AB451" s="144"/>
      <c r="AC451" s="144"/>
    </row>
    <row r="452" spans="1:29" x14ac:dyDescent="0.2">
      <c r="A452" s="144"/>
      <c r="B452" s="145"/>
      <c r="C452" s="144"/>
      <c r="D452" s="144"/>
      <c r="E452" s="144"/>
      <c r="F452" s="144"/>
      <c r="G452" s="144"/>
      <c r="H452" s="144"/>
      <c r="I452" s="144"/>
      <c r="J452" s="144"/>
      <c r="K452" s="144"/>
      <c r="M452" s="144"/>
      <c r="N452" s="144"/>
      <c r="O452" s="144"/>
      <c r="P452" s="144"/>
      <c r="Q452" s="144"/>
      <c r="R452" s="144"/>
      <c r="S452" s="144"/>
      <c r="T452" s="144"/>
      <c r="U452" s="144"/>
      <c r="V452" s="144"/>
      <c r="W452" s="144"/>
      <c r="Y452" s="144"/>
      <c r="Z452" s="144"/>
      <c r="AA452" s="144"/>
      <c r="AB452" s="144"/>
      <c r="AC452" s="144"/>
    </row>
    <row r="453" spans="1:29" x14ac:dyDescent="0.2">
      <c r="A453" s="144"/>
      <c r="B453" s="145"/>
      <c r="C453" s="144"/>
      <c r="D453" s="144"/>
      <c r="E453" s="144"/>
      <c r="F453" s="144"/>
      <c r="G453" s="144"/>
      <c r="H453" s="144"/>
      <c r="I453" s="144"/>
      <c r="J453" s="144"/>
      <c r="K453" s="144"/>
      <c r="M453" s="144"/>
      <c r="N453" s="144"/>
      <c r="O453" s="144"/>
      <c r="P453" s="144"/>
      <c r="Q453" s="144"/>
      <c r="R453" s="144"/>
      <c r="S453" s="144"/>
      <c r="T453" s="144"/>
      <c r="U453" s="144"/>
      <c r="V453" s="144"/>
      <c r="W453" s="144"/>
      <c r="Y453" s="144"/>
      <c r="Z453" s="144"/>
      <c r="AA453" s="144"/>
      <c r="AB453" s="144"/>
      <c r="AC453" s="144"/>
    </row>
    <row r="454" spans="1:29" x14ac:dyDescent="0.2">
      <c r="A454" s="144"/>
      <c r="B454" s="145"/>
      <c r="C454" s="144"/>
      <c r="D454" s="144"/>
      <c r="E454" s="144"/>
      <c r="F454" s="144"/>
      <c r="G454" s="144"/>
      <c r="H454" s="144"/>
      <c r="I454" s="144"/>
      <c r="J454" s="144"/>
      <c r="K454" s="144"/>
      <c r="M454" s="144"/>
      <c r="N454" s="144"/>
      <c r="O454" s="144"/>
      <c r="P454" s="144"/>
      <c r="Q454" s="144"/>
      <c r="R454" s="144"/>
      <c r="S454" s="144"/>
      <c r="T454" s="144"/>
      <c r="U454" s="144"/>
      <c r="V454" s="144"/>
      <c r="W454" s="144"/>
      <c r="Y454" s="144"/>
      <c r="Z454" s="144"/>
      <c r="AA454" s="144"/>
      <c r="AB454" s="144"/>
      <c r="AC454" s="144"/>
    </row>
    <row r="455" spans="1:29" x14ac:dyDescent="0.2">
      <c r="A455" s="144"/>
      <c r="B455" s="145"/>
      <c r="C455" s="144"/>
      <c r="D455" s="144"/>
      <c r="E455" s="144"/>
      <c r="F455" s="144"/>
      <c r="G455" s="144"/>
      <c r="H455" s="144"/>
      <c r="I455" s="144"/>
      <c r="J455" s="144"/>
      <c r="K455" s="144"/>
      <c r="M455" s="144"/>
      <c r="N455" s="144"/>
      <c r="O455" s="144"/>
      <c r="P455" s="144"/>
      <c r="Q455" s="144"/>
      <c r="R455" s="144"/>
      <c r="S455" s="144"/>
      <c r="T455" s="144"/>
      <c r="U455" s="144"/>
      <c r="V455" s="144"/>
      <c r="W455" s="144"/>
      <c r="Y455" s="144"/>
      <c r="Z455" s="144"/>
      <c r="AA455" s="144"/>
      <c r="AB455" s="144"/>
      <c r="AC455" s="144"/>
    </row>
    <row r="456" spans="1:29" x14ac:dyDescent="0.2">
      <c r="A456" s="144"/>
      <c r="B456" s="145"/>
      <c r="C456" s="144"/>
      <c r="D456" s="144"/>
      <c r="E456" s="144"/>
      <c r="F456" s="144"/>
      <c r="G456" s="144"/>
      <c r="H456" s="144"/>
      <c r="I456" s="144"/>
      <c r="J456" s="144"/>
      <c r="K456" s="144"/>
      <c r="M456" s="144"/>
      <c r="N456" s="144"/>
      <c r="O456" s="144"/>
      <c r="P456" s="144"/>
      <c r="Q456" s="144"/>
      <c r="R456" s="144"/>
      <c r="S456" s="144"/>
      <c r="T456" s="144"/>
      <c r="U456" s="144"/>
      <c r="V456" s="144"/>
      <c r="W456" s="144"/>
      <c r="Y456" s="144"/>
      <c r="Z456" s="144"/>
      <c r="AA456" s="144"/>
      <c r="AB456" s="144"/>
      <c r="AC456" s="144"/>
    </row>
    <row r="457" spans="1:29" x14ac:dyDescent="0.2">
      <c r="A457" s="144"/>
      <c r="B457" s="145"/>
      <c r="C457" s="144"/>
      <c r="D457" s="144"/>
      <c r="E457" s="144"/>
      <c r="F457" s="144"/>
      <c r="G457" s="144"/>
      <c r="H457" s="144"/>
      <c r="I457" s="144"/>
      <c r="J457" s="144"/>
      <c r="K457" s="144"/>
      <c r="M457" s="144"/>
      <c r="N457" s="144"/>
      <c r="O457" s="144"/>
      <c r="P457" s="144"/>
      <c r="Q457" s="144"/>
      <c r="R457" s="144"/>
      <c r="S457" s="144"/>
      <c r="T457" s="144"/>
      <c r="U457" s="144"/>
      <c r="V457" s="144"/>
      <c r="W457" s="144"/>
      <c r="Y457" s="144"/>
      <c r="Z457" s="144"/>
      <c r="AA457" s="144"/>
      <c r="AB457" s="144"/>
      <c r="AC457" s="144"/>
    </row>
    <row r="458" spans="1:29" x14ac:dyDescent="0.2">
      <c r="A458" s="144"/>
      <c r="B458" s="145"/>
      <c r="C458" s="144"/>
      <c r="D458" s="144"/>
      <c r="E458" s="144"/>
      <c r="F458" s="144"/>
      <c r="G458" s="144"/>
      <c r="H458" s="144"/>
      <c r="I458" s="144"/>
      <c r="J458" s="144"/>
      <c r="K458" s="144"/>
      <c r="M458" s="144"/>
      <c r="N458" s="144"/>
      <c r="O458" s="144"/>
      <c r="P458" s="144"/>
      <c r="Q458" s="144"/>
      <c r="R458" s="144"/>
      <c r="S458" s="144"/>
      <c r="T458" s="144"/>
      <c r="U458" s="144"/>
      <c r="V458" s="144"/>
      <c r="W458" s="144"/>
      <c r="Y458" s="144"/>
      <c r="Z458" s="144"/>
      <c r="AA458" s="144"/>
      <c r="AB458" s="144"/>
      <c r="AC458" s="144"/>
    </row>
    <row r="459" spans="1:29" x14ac:dyDescent="0.2">
      <c r="A459" s="144"/>
      <c r="B459" s="145"/>
      <c r="C459" s="144"/>
      <c r="D459" s="144"/>
      <c r="E459" s="144"/>
      <c r="F459" s="144"/>
      <c r="G459" s="144"/>
      <c r="H459" s="144"/>
      <c r="I459" s="144"/>
      <c r="J459" s="144"/>
      <c r="K459" s="144"/>
      <c r="M459" s="144"/>
      <c r="N459" s="144"/>
      <c r="O459" s="144"/>
      <c r="P459" s="144"/>
      <c r="Q459" s="144"/>
      <c r="R459" s="144"/>
      <c r="S459" s="144"/>
      <c r="T459" s="144"/>
      <c r="U459" s="144"/>
      <c r="V459" s="144"/>
      <c r="W459" s="144"/>
      <c r="Y459" s="144"/>
      <c r="Z459" s="144"/>
      <c r="AA459" s="144"/>
      <c r="AB459" s="144"/>
      <c r="AC459" s="144"/>
    </row>
    <row r="460" spans="1:29" x14ac:dyDescent="0.2">
      <c r="A460" s="144"/>
      <c r="B460" s="145"/>
      <c r="C460" s="144"/>
      <c r="D460" s="144"/>
      <c r="E460" s="144"/>
      <c r="F460" s="144"/>
      <c r="G460" s="144"/>
      <c r="H460" s="144"/>
      <c r="I460" s="144"/>
      <c r="J460" s="144"/>
      <c r="K460" s="144"/>
      <c r="M460" s="144"/>
      <c r="N460" s="144"/>
      <c r="O460" s="144"/>
      <c r="P460" s="144"/>
      <c r="Q460" s="144"/>
      <c r="R460" s="144"/>
      <c r="S460" s="144"/>
      <c r="T460" s="144"/>
      <c r="U460" s="144"/>
      <c r="V460" s="144"/>
      <c r="W460" s="144"/>
      <c r="Y460" s="144"/>
      <c r="Z460" s="144"/>
      <c r="AA460" s="144"/>
      <c r="AB460" s="144"/>
      <c r="AC460" s="144"/>
    </row>
    <row r="461" spans="1:29" x14ac:dyDescent="0.2">
      <c r="A461" s="144"/>
      <c r="B461" s="145"/>
      <c r="C461" s="144"/>
      <c r="D461" s="144"/>
      <c r="E461" s="144"/>
      <c r="F461" s="144"/>
      <c r="G461" s="144"/>
      <c r="H461" s="144"/>
      <c r="I461" s="144"/>
      <c r="J461" s="144"/>
      <c r="K461" s="144"/>
      <c r="M461" s="144"/>
      <c r="N461" s="144"/>
      <c r="O461" s="144"/>
      <c r="P461" s="144"/>
      <c r="Q461" s="144"/>
      <c r="R461" s="144"/>
      <c r="S461" s="144"/>
      <c r="T461" s="144"/>
      <c r="U461" s="144"/>
      <c r="V461" s="144"/>
      <c r="W461" s="144"/>
      <c r="Y461" s="144"/>
      <c r="Z461" s="144"/>
      <c r="AA461" s="144"/>
      <c r="AB461" s="144"/>
      <c r="AC461" s="144"/>
    </row>
    <row r="462" spans="1:29" x14ac:dyDescent="0.2">
      <c r="A462" s="144"/>
      <c r="B462" s="145"/>
      <c r="C462" s="144"/>
      <c r="D462" s="144"/>
      <c r="E462" s="144"/>
      <c r="F462" s="144"/>
      <c r="G462" s="144"/>
      <c r="H462" s="144"/>
      <c r="I462" s="144"/>
      <c r="J462" s="144"/>
      <c r="K462" s="144"/>
      <c r="M462" s="144"/>
      <c r="N462" s="144"/>
      <c r="O462" s="144"/>
      <c r="P462" s="144"/>
      <c r="Q462" s="144"/>
      <c r="R462" s="144"/>
      <c r="S462" s="144"/>
      <c r="T462" s="144"/>
      <c r="U462" s="144"/>
      <c r="V462" s="144"/>
      <c r="W462" s="144"/>
      <c r="Y462" s="144"/>
      <c r="Z462" s="144"/>
      <c r="AA462" s="144"/>
      <c r="AB462" s="144"/>
      <c r="AC462" s="144"/>
    </row>
    <row r="463" spans="1:29" x14ac:dyDescent="0.2">
      <c r="A463" s="144"/>
      <c r="B463" s="145"/>
      <c r="C463" s="144"/>
      <c r="D463" s="144"/>
      <c r="E463" s="144"/>
      <c r="F463" s="144"/>
      <c r="G463" s="144"/>
      <c r="H463" s="144"/>
      <c r="I463" s="144"/>
      <c r="J463" s="144"/>
      <c r="K463" s="144"/>
      <c r="M463" s="144"/>
      <c r="N463" s="144"/>
      <c r="O463" s="144"/>
      <c r="P463" s="144"/>
      <c r="Q463" s="144"/>
      <c r="R463" s="144"/>
      <c r="S463" s="144"/>
      <c r="T463" s="144"/>
      <c r="U463" s="144"/>
      <c r="V463" s="144"/>
      <c r="W463" s="144"/>
      <c r="Y463" s="144"/>
      <c r="Z463" s="144"/>
      <c r="AA463" s="144"/>
      <c r="AB463" s="144"/>
      <c r="AC463" s="144"/>
    </row>
    <row r="464" spans="1:29" x14ac:dyDescent="0.2">
      <c r="A464" s="144"/>
      <c r="B464" s="145"/>
      <c r="C464" s="144"/>
      <c r="D464" s="144"/>
      <c r="E464" s="144"/>
      <c r="F464" s="144"/>
      <c r="G464" s="144"/>
      <c r="H464" s="144"/>
      <c r="I464" s="144"/>
      <c r="J464" s="144"/>
      <c r="K464" s="144"/>
      <c r="M464" s="144"/>
      <c r="N464" s="144"/>
      <c r="O464" s="144"/>
      <c r="P464" s="144"/>
      <c r="Q464" s="144"/>
      <c r="R464" s="144"/>
      <c r="S464" s="144"/>
      <c r="T464" s="144"/>
      <c r="U464" s="144"/>
      <c r="V464" s="144"/>
      <c r="W464" s="144"/>
      <c r="Y464" s="144"/>
      <c r="Z464" s="144"/>
      <c r="AA464" s="144"/>
      <c r="AB464" s="144"/>
      <c r="AC464" s="144"/>
    </row>
    <row r="465" spans="1:29" x14ac:dyDescent="0.2">
      <c r="A465" s="144"/>
      <c r="B465" s="145"/>
      <c r="C465" s="144"/>
      <c r="D465" s="144"/>
      <c r="E465" s="144"/>
      <c r="F465" s="144"/>
      <c r="G465" s="144"/>
      <c r="H465" s="144"/>
      <c r="I465" s="144"/>
      <c r="J465" s="144"/>
      <c r="K465" s="144"/>
      <c r="M465" s="144"/>
      <c r="N465" s="144"/>
      <c r="O465" s="144"/>
      <c r="P465" s="144"/>
      <c r="Q465" s="144"/>
      <c r="R465" s="144"/>
      <c r="S465" s="144"/>
      <c r="T465" s="144"/>
      <c r="U465" s="144"/>
      <c r="V465" s="144"/>
      <c r="W465" s="144"/>
      <c r="Y465" s="144"/>
      <c r="Z465" s="144"/>
      <c r="AA465" s="144"/>
      <c r="AB465" s="144"/>
      <c r="AC465" s="144"/>
    </row>
    <row r="466" spans="1:29" x14ac:dyDescent="0.2">
      <c r="A466" s="144"/>
      <c r="B466" s="145"/>
      <c r="C466" s="144"/>
      <c r="D466" s="144"/>
      <c r="E466" s="144"/>
      <c r="F466" s="144"/>
      <c r="G466" s="144"/>
      <c r="H466" s="144"/>
      <c r="I466" s="144"/>
      <c r="J466" s="144"/>
      <c r="K466" s="144"/>
      <c r="M466" s="144"/>
      <c r="N466" s="144"/>
      <c r="O466" s="144"/>
      <c r="P466" s="144"/>
      <c r="Q466" s="144"/>
      <c r="R466" s="144"/>
      <c r="S466" s="144"/>
      <c r="T466" s="144"/>
      <c r="U466" s="144"/>
      <c r="V466" s="144"/>
      <c r="W466" s="144"/>
      <c r="Y466" s="144"/>
      <c r="Z466" s="144"/>
      <c r="AA466" s="144"/>
      <c r="AB466" s="144"/>
      <c r="AC466" s="144"/>
    </row>
    <row r="467" spans="1:29" x14ac:dyDescent="0.2">
      <c r="A467" s="144"/>
      <c r="B467" s="145"/>
      <c r="C467" s="144"/>
      <c r="D467" s="144"/>
      <c r="E467" s="144"/>
      <c r="F467" s="144"/>
      <c r="G467" s="144"/>
      <c r="H467" s="144"/>
      <c r="I467" s="144"/>
      <c r="J467" s="144"/>
      <c r="K467" s="144"/>
      <c r="M467" s="144"/>
      <c r="N467" s="144"/>
      <c r="O467" s="144"/>
      <c r="P467" s="144"/>
      <c r="Q467" s="144"/>
      <c r="R467" s="144"/>
      <c r="S467" s="144"/>
      <c r="T467" s="144"/>
      <c r="U467" s="144"/>
      <c r="V467" s="144"/>
      <c r="W467" s="144"/>
      <c r="Y467" s="144"/>
      <c r="Z467" s="144"/>
      <c r="AA467" s="144"/>
      <c r="AB467" s="144"/>
      <c r="AC467" s="144"/>
    </row>
    <row r="468" spans="1:29" x14ac:dyDescent="0.2">
      <c r="A468" s="144"/>
      <c r="B468" s="145"/>
      <c r="C468" s="144"/>
      <c r="D468" s="144"/>
      <c r="E468" s="144"/>
      <c r="F468" s="144"/>
      <c r="G468" s="144"/>
      <c r="H468" s="144"/>
      <c r="I468" s="144"/>
      <c r="J468" s="144"/>
      <c r="K468" s="144"/>
      <c r="M468" s="144"/>
      <c r="N468" s="144"/>
      <c r="O468" s="144"/>
      <c r="P468" s="144"/>
      <c r="Q468" s="144"/>
      <c r="R468" s="144"/>
      <c r="S468" s="144"/>
      <c r="T468" s="144"/>
      <c r="U468" s="144"/>
      <c r="V468" s="144"/>
      <c r="W468" s="144"/>
      <c r="Y468" s="144"/>
      <c r="Z468" s="144"/>
      <c r="AA468" s="144"/>
      <c r="AB468" s="144"/>
      <c r="AC468" s="144"/>
    </row>
    <row r="469" spans="1:29" x14ac:dyDescent="0.2">
      <c r="A469" s="144"/>
      <c r="B469" s="145"/>
      <c r="C469" s="144"/>
      <c r="D469" s="144"/>
      <c r="E469" s="144"/>
      <c r="F469" s="144"/>
      <c r="G469" s="144"/>
      <c r="H469" s="144"/>
      <c r="I469" s="144"/>
      <c r="J469" s="144"/>
      <c r="K469" s="144"/>
      <c r="M469" s="144"/>
      <c r="N469" s="144"/>
      <c r="O469" s="144"/>
      <c r="P469" s="144"/>
      <c r="Q469" s="144"/>
      <c r="R469" s="144"/>
      <c r="S469" s="144"/>
      <c r="T469" s="144"/>
      <c r="U469" s="144"/>
      <c r="V469" s="144"/>
      <c r="W469" s="144"/>
      <c r="Y469" s="144"/>
      <c r="Z469" s="144"/>
      <c r="AA469" s="144"/>
      <c r="AB469" s="144"/>
      <c r="AC469" s="144"/>
    </row>
    <row r="470" spans="1:29" x14ac:dyDescent="0.2">
      <c r="A470" s="144"/>
      <c r="B470" s="145"/>
      <c r="C470" s="144"/>
      <c r="D470" s="144"/>
      <c r="E470" s="144"/>
      <c r="F470" s="144"/>
      <c r="G470" s="144"/>
      <c r="H470" s="144"/>
      <c r="I470" s="144"/>
      <c r="J470" s="144"/>
      <c r="K470" s="144"/>
      <c r="M470" s="144"/>
      <c r="N470" s="144"/>
      <c r="O470" s="144"/>
      <c r="P470" s="144"/>
      <c r="Q470" s="144"/>
      <c r="R470" s="144"/>
      <c r="S470" s="144"/>
      <c r="T470" s="144"/>
      <c r="U470" s="144"/>
      <c r="V470" s="144"/>
      <c r="W470" s="144"/>
      <c r="Y470" s="144"/>
      <c r="Z470" s="144"/>
      <c r="AA470" s="144"/>
      <c r="AB470" s="144"/>
      <c r="AC470" s="144"/>
    </row>
    <row r="471" spans="1:29" x14ac:dyDescent="0.2">
      <c r="A471" s="144"/>
      <c r="B471" s="145"/>
      <c r="C471" s="144"/>
      <c r="D471" s="144"/>
      <c r="E471" s="144"/>
      <c r="F471" s="144"/>
      <c r="G471" s="144"/>
      <c r="H471" s="144"/>
      <c r="I471" s="144"/>
      <c r="J471" s="144"/>
      <c r="K471" s="144"/>
      <c r="M471" s="144"/>
      <c r="N471" s="144"/>
      <c r="O471" s="144"/>
      <c r="P471" s="144"/>
      <c r="Q471" s="144"/>
      <c r="R471" s="144"/>
      <c r="S471" s="144"/>
      <c r="T471" s="144"/>
      <c r="U471" s="144"/>
      <c r="V471" s="144"/>
      <c r="W471" s="144"/>
      <c r="Y471" s="144"/>
      <c r="Z471" s="144"/>
      <c r="AA471" s="144"/>
      <c r="AB471" s="144"/>
      <c r="AC471" s="144"/>
    </row>
    <row r="472" spans="1:29" x14ac:dyDescent="0.2">
      <c r="A472" s="144"/>
      <c r="B472" s="145"/>
      <c r="C472" s="144"/>
      <c r="D472" s="144"/>
      <c r="E472" s="144"/>
      <c r="F472" s="144"/>
      <c r="G472" s="144"/>
      <c r="H472" s="144"/>
      <c r="I472" s="144"/>
      <c r="J472" s="144"/>
      <c r="K472" s="144"/>
      <c r="M472" s="144"/>
      <c r="N472" s="144"/>
      <c r="O472" s="144"/>
      <c r="P472" s="144"/>
      <c r="Q472" s="144"/>
      <c r="R472" s="144"/>
      <c r="S472" s="144"/>
      <c r="T472" s="144"/>
      <c r="U472" s="144"/>
      <c r="V472" s="144"/>
      <c r="W472" s="144"/>
      <c r="Y472" s="144"/>
      <c r="Z472" s="144"/>
      <c r="AA472" s="144"/>
      <c r="AB472" s="144"/>
      <c r="AC472" s="144"/>
    </row>
    <row r="473" spans="1:29" x14ac:dyDescent="0.2">
      <c r="A473" s="144"/>
      <c r="B473" s="145"/>
      <c r="C473" s="144"/>
      <c r="D473" s="144"/>
      <c r="E473" s="144"/>
      <c r="F473" s="144"/>
      <c r="G473" s="144"/>
      <c r="H473" s="144"/>
      <c r="I473" s="144"/>
      <c r="J473" s="144"/>
      <c r="K473" s="144"/>
      <c r="M473" s="144"/>
      <c r="N473" s="144"/>
      <c r="O473" s="144"/>
      <c r="P473" s="144"/>
      <c r="Q473" s="144"/>
      <c r="R473" s="144"/>
      <c r="S473" s="144"/>
      <c r="T473" s="144"/>
      <c r="U473" s="144"/>
      <c r="V473" s="144"/>
      <c r="W473" s="144"/>
      <c r="Y473" s="144"/>
      <c r="Z473" s="144"/>
      <c r="AA473" s="144"/>
      <c r="AB473" s="144"/>
      <c r="AC473" s="144"/>
    </row>
    <row r="474" spans="1:29" x14ac:dyDescent="0.2">
      <c r="A474" s="144"/>
      <c r="B474" s="145"/>
      <c r="C474" s="144"/>
      <c r="D474" s="144"/>
      <c r="E474" s="144"/>
      <c r="F474" s="144"/>
      <c r="G474" s="144"/>
      <c r="H474" s="144"/>
      <c r="I474" s="144"/>
      <c r="J474" s="144"/>
      <c r="K474" s="144"/>
      <c r="M474" s="144"/>
      <c r="N474" s="144"/>
      <c r="O474" s="144"/>
      <c r="P474" s="144"/>
      <c r="Q474" s="144"/>
      <c r="R474" s="144"/>
      <c r="S474" s="144"/>
      <c r="T474" s="144"/>
      <c r="U474" s="144"/>
      <c r="V474" s="144"/>
      <c r="W474" s="144"/>
      <c r="Y474" s="144"/>
      <c r="Z474" s="144"/>
      <c r="AA474" s="144"/>
      <c r="AB474" s="144"/>
      <c r="AC474" s="144"/>
    </row>
    <row r="475" spans="1:29" x14ac:dyDescent="0.2">
      <c r="A475" s="144"/>
      <c r="B475" s="145"/>
      <c r="C475" s="144"/>
      <c r="D475" s="144"/>
      <c r="E475" s="144"/>
      <c r="F475" s="144"/>
      <c r="G475" s="144"/>
      <c r="H475" s="144"/>
      <c r="I475" s="144"/>
      <c r="J475" s="144"/>
      <c r="K475" s="144"/>
      <c r="M475" s="144"/>
      <c r="N475" s="144"/>
      <c r="O475" s="144"/>
      <c r="P475" s="144"/>
      <c r="Q475" s="144"/>
      <c r="R475" s="144"/>
      <c r="S475" s="144"/>
      <c r="T475" s="144"/>
      <c r="U475" s="144"/>
      <c r="V475" s="144"/>
      <c r="W475" s="144"/>
      <c r="Y475" s="144"/>
      <c r="Z475" s="144"/>
      <c r="AA475" s="144"/>
      <c r="AB475" s="144"/>
      <c r="AC475" s="144"/>
    </row>
    <row r="476" spans="1:29" x14ac:dyDescent="0.2">
      <c r="A476" s="144"/>
      <c r="B476" s="145"/>
      <c r="C476" s="144"/>
      <c r="D476" s="144"/>
      <c r="E476" s="144"/>
      <c r="F476" s="144"/>
      <c r="G476" s="144"/>
      <c r="H476" s="144"/>
      <c r="I476" s="144"/>
      <c r="J476" s="144"/>
      <c r="K476" s="144"/>
      <c r="M476" s="144"/>
      <c r="N476" s="144"/>
      <c r="O476" s="144"/>
      <c r="P476" s="144"/>
      <c r="Q476" s="144"/>
      <c r="R476" s="144"/>
      <c r="S476" s="144"/>
      <c r="T476" s="144"/>
      <c r="U476" s="144"/>
      <c r="V476" s="144"/>
      <c r="W476" s="144"/>
      <c r="Y476" s="144"/>
      <c r="Z476" s="144"/>
      <c r="AA476" s="144"/>
      <c r="AB476" s="144"/>
      <c r="AC476" s="144"/>
    </row>
    <row r="477" spans="1:29" x14ac:dyDescent="0.2">
      <c r="A477" s="144"/>
      <c r="B477" s="145"/>
      <c r="C477" s="144"/>
      <c r="D477" s="144"/>
      <c r="E477" s="144"/>
      <c r="F477" s="144"/>
      <c r="G477" s="144"/>
      <c r="H477" s="144"/>
      <c r="I477" s="144"/>
      <c r="J477" s="144"/>
      <c r="K477" s="144"/>
      <c r="M477" s="144"/>
      <c r="N477" s="144"/>
      <c r="O477" s="144"/>
      <c r="P477" s="144"/>
      <c r="Q477" s="144"/>
      <c r="R477" s="144"/>
      <c r="S477" s="144"/>
      <c r="T477" s="144"/>
      <c r="U477" s="144"/>
      <c r="V477" s="144"/>
      <c r="W477" s="144"/>
      <c r="Y477" s="144"/>
      <c r="Z477" s="144"/>
      <c r="AA477" s="144"/>
      <c r="AB477" s="144"/>
      <c r="AC477" s="144"/>
    </row>
    <row r="478" spans="1:29" x14ac:dyDescent="0.2">
      <c r="A478" s="144"/>
      <c r="B478" s="145"/>
      <c r="C478" s="144"/>
      <c r="D478" s="144"/>
      <c r="E478" s="144"/>
      <c r="F478" s="144"/>
      <c r="G478" s="144"/>
      <c r="H478" s="144"/>
      <c r="I478" s="144"/>
      <c r="J478" s="144"/>
      <c r="K478" s="144"/>
      <c r="M478" s="144"/>
      <c r="N478" s="144"/>
      <c r="O478" s="144"/>
      <c r="P478" s="144"/>
      <c r="Q478" s="144"/>
      <c r="R478" s="144"/>
      <c r="S478" s="144"/>
      <c r="T478" s="144"/>
      <c r="U478" s="144"/>
      <c r="V478" s="144"/>
      <c r="W478" s="144"/>
      <c r="Y478" s="144"/>
      <c r="Z478" s="144"/>
      <c r="AA478" s="144"/>
      <c r="AB478" s="144"/>
      <c r="AC478" s="144"/>
    </row>
    <row r="479" spans="1:29" x14ac:dyDescent="0.2">
      <c r="A479" s="144"/>
      <c r="B479" s="145"/>
      <c r="C479" s="144"/>
      <c r="D479" s="144"/>
      <c r="E479" s="144"/>
      <c r="F479" s="144"/>
      <c r="G479" s="144"/>
      <c r="H479" s="144"/>
      <c r="I479" s="144"/>
      <c r="J479" s="144"/>
      <c r="K479" s="144"/>
      <c r="M479" s="144"/>
      <c r="N479" s="144"/>
      <c r="O479" s="144"/>
      <c r="P479" s="144"/>
      <c r="Q479" s="144"/>
      <c r="R479" s="144"/>
      <c r="S479" s="144"/>
      <c r="T479" s="144"/>
      <c r="U479" s="144"/>
      <c r="V479" s="144"/>
      <c r="W479" s="144"/>
      <c r="Y479" s="144"/>
      <c r="Z479" s="144"/>
      <c r="AA479" s="144"/>
      <c r="AB479" s="144"/>
      <c r="AC479" s="144"/>
    </row>
    <row r="480" spans="1:29" x14ac:dyDescent="0.2">
      <c r="A480" s="144"/>
      <c r="B480" s="145"/>
      <c r="C480" s="144"/>
      <c r="D480" s="144"/>
      <c r="E480" s="144"/>
      <c r="F480" s="144"/>
      <c r="G480" s="144"/>
      <c r="H480" s="144"/>
      <c r="I480" s="144"/>
      <c r="J480" s="144"/>
      <c r="K480" s="144"/>
      <c r="M480" s="144"/>
      <c r="N480" s="144"/>
      <c r="O480" s="144"/>
      <c r="P480" s="144"/>
      <c r="Q480" s="144"/>
      <c r="R480" s="144"/>
      <c r="S480" s="144"/>
      <c r="T480" s="144"/>
      <c r="U480" s="144"/>
      <c r="V480" s="144"/>
      <c r="W480" s="144"/>
      <c r="Y480" s="144"/>
      <c r="Z480" s="144"/>
      <c r="AA480" s="144"/>
      <c r="AB480" s="144"/>
      <c r="AC480" s="144"/>
    </row>
    <row r="481" spans="1:29" x14ac:dyDescent="0.2">
      <c r="A481" s="144"/>
      <c r="B481" s="145"/>
      <c r="C481" s="144"/>
      <c r="D481" s="144"/>
      <c r="E481" s="144"/>
      <c r="F481" s="144"/>
      <c r="G481" s="144"/>
      <c r="H481" s="144"/>
      <c r="I481" s="144"/>
      <c r="J481" s="144"/>
      <c r="K481" s="144"/>
      <c r="M481" s="144"/>
      <c r="N481" s="144"/>
      <c r="O481" s="144"/>
      <c r="P481" s="144"/>
      <c r="Q481" s="144"/>
      <c r="R481" s="144"/>
      <c r="S481" s="144"/>
      <c r="T481" s="144"/>
      <c r="U481" s="144"/>
      <c r="V481" s="144"/>
      <c r="W481" s="144"/>
      <c r="Y481" s="144"/>
      <c r="Z481" s="144"/>
      <c r="AA481" s="144"/>
      <c r="AB481" s="144"/>
      <c r="AC481" s="144"/>
    </row>
    <row r="482" spans="1:29" x14ac:dyDescent="0.2">
      <c r="A482" s="144"/>
      <c r="B482" s="145"/>
      <c r="C482" s="144"/>
      <c r="D482" s="144"/>
      <c r="E482" s="144"/>
      <c r="F482" s="144"/>
      <c r="G482" s="144"/>
      <c r="H482" s="144"/>
      <c r="I482" s="144"/>
      <c r="J482" s="144"/>
      <c r="K482" s="144"/>
      <c r="M482" s="144"/>
      <c r="N482" s="144"/>
      <c r="O482" s="144"/>
      <c r="P482" s="144"/>
      <c r="Q482" s="144"/>
      <c r="R482" s="144"/>
      <c r="S482" s="144"/>
      <c r="T482" s="144"/>
      <c r="U482" s="144"/>
      <c r="V482" s="144"/>
      <c r="W482" s="144"/>
      <c r="Y482" s="144"/>
      <c r="Z482" s="144"/>
      <c r="AA482" s="144"/>
      <c r="AB482" s="144"/>
      <c r="AC482" s="144"/>
    </row>
    <row r="483" spans="1:29" x14ac:dyDescent="0.2">
      <c r="A483" s="144"/>
      <c r="B483" s="145"/>
      <c r="C483" s="144"/>
      <c r="D483" s="144"/>
      <c r="E483" s="144"/>
      <c r="F483" s="144"/>
      <c r="G483" s="144"/>
      <c r="H483" s="144"/>
      <c r="I483" s="144"/>
      <c r="J483" s="144"/>
      <c r="K483" s="144"/>
      <c r="M483" s="144"/>
      <c r="N483" s="144"/>
      <c r="O483" s="144"/>
      <c r="P483" s="144"/>
      <c r="Q483" s="144"/>
      <c r="R483" s="144"/>
      <c r="S483" s="144"/>
      <c r="T483" s="144"/>
      <c r="U483" s="144"/>
      <c r="V483" s="144"/>
      <c r="W483" s="144"/>
      <c r="Y483" s="144"/>
      <c r="Z483" s="144"/>
      <c r="AA483" s="144"/>
      <c r="AB483" s="144"/>
      <c r="AC483" s="144"/>
    </row>
    <row r="484" spans="1:29" x14ac:dyDescent="0.2">
      <c r="A484" s="144"/>
      <c r="B484" s="145"/>
      <c r="C484" s="144"/>
      <c r="D484" s="144"/>
      <c r="E484" s="144"/>
      <c r="F484" s="144"/>
      <c r="G484" s="144"/>
      <c r="H484" s="144"/>
      <c r="I484" s="144"/>
      <c r="J484" s="144"/>
      <c r="K484" s="144"/>
      <c r="M484" s="144"/>
      <c r="N484" s="144"/>
      <c r="O484" s="144"/>
      <c r="P484" s="144"/>
      <c r="Q484" s="144"/>
      <c r="R484" s="144"/>
      <c r="S484" s="144"/>
      <c r="T484" s="144"/>
      <c r="U484" s="144"/>
      <c r="V484" s="144"/>
      <c r="W484" s="144"/>
      <c r="Y484" s="144"/>
      <c r="Z484" s="144"/>
      <c r="AA484" s="144"/>
      <c r="AB484" s="144"/>
      <c r="AC484" s="144"/>
    </row>
    <row r="485" spans="1:29" x14ac:dyDescent="0.2">
      <c r="A485" s="144"/>
      <c r="B485" s="145"/>
      <c r="C485" s="144"/>
      <c r="D485" s="144"/>
      <c r="E485" s="144"/>
      <c r="F485" s="144"/>
      <c r="G485" s="144"/>
      <c r="H485" s="144"/>
      <c r="I485" s="144"/>
      <c r="J485" s="144"/>
      <c r="K485" s="144"/>
      <c r="M485" s="144"/>
      <c r="N485" s="144"/>
      <c r="O485" s="144"/>
      <c r="P485" s="144"/>
      <c r="Q485" s="144"/>
      <c r="R485" s="144"/>
      <c r="S485" s="144"/>
      <c r="T485" s="144"/>
      <c r="U485" s="144"/>
      <c r="V485" s="144"/>
      <c r="W485" s="144"/>
      <c r="Y485" s="144"/>
      <c r="Z485" s="144"/>
      <c r="AA485" s="144"/>
      <c r="AB485" s="144"/>
      <c r="AC485" s="144"/>
    </row>
    <row r="486" spans="1:29" x14ac:dyDescent="0.2">
      <c r="A486" s="144"/>
      <c r="B486" s="145"/>
      <c r="C486" s="144"/>
      <c r="D486" s="144"/>
      <c r="E486" s="144"/>
      <c r="F486" s="144"/>
      <c r="G486" s="144"/>
      <c r="H486" s="144"/>
      <c r="I486" s="144"/>
      <c r="J486" s="144"/>
      <c r="K486" s="144"/>
      <c r="M486" s="144"/>
      <c r="N486" s="144"/>
      <c r="O486" s="144"/>
      <c r="P486" s="144"/>
      <c r="Q486" s="144"/>
      <c r="R486" s="144"/>
      <c r="S486" s="144"/>
      <c r="T486" s="144"/>
      <c r="U486" s="144"/>
      <c r="V486" s="144"/>
      <c r="W486" s="144"/>
      <c r="Y486" s="144"/>
      <c r="Z486" s="144"/>
      <c r="AA486" s="144"/>
      <c r="AB486" s="144"/>
      <c r="AC486" s="144"/>
    </row>
    <row r="487" spans="1:29" x14ac:dyDescent="0.2">
      <c r="A487" s="144"/>
      <c r="B487" s="145"/>
      <c r="C487" s="144"/>
      <c r="D487" s="144"/>
      <c r="E487" s="144"/>
      <c r="F487" s="144"/>
      <c r="G487" s="144"/>
      <c r="H487" s="144"/>
      <c r="I487" s="144"/>
      <c r="J487" s="144"/>
      <c r="K487" s="144"/>
      <c r="M487" s="144"/>
      <c r="N487" s="144"/>
      <c r="O487" s="144"/>
      <c r="P487" s="144"/>
      <c r="Q487" s="144"/>
      <c r="R487" s="144"/>
      <c r="S487" s="144"/>
      <c r="T487" s="144"/>
      <c r="U487" s="144"/>
      <c r="V487" s="144"/>
      <c r="W487" s="144"/>
      <c r="Y487" s="144"/>
      <c r="Z487" s="144"/>
      <c r="AA487" s="144"/>
      <c r="AB487" s="144"/>
      <c r="AC487" s="144"/>
    </row>
    <row r="488" spans="1:29" x14ac:dyDescent="0.2">
      <c r="A488" s="144"/>
      <c r="B488" s="145"/>
      <c r="C488" s="144"/>
      <c r="D488" s="144"/>
      <c r="E488" s="144"/>
      <c r="F488" s="144"/>
      <c r="G488" s="144"/>
      <c r="H488" s="144"/>
      <c r="I488" s="144"/>
      <c r="J488" s="144"/>
      <c r="K488" s="144"/>
      <c r="M488" s="144"/>
      <c r="N488" s="144"/>
      <c r="O488" s="144"/>
      <c r="P488" s="144"/>
      <c r="Q488" s="144"/>
      <c r="R488" s="144"/>
      <c r="S488" s="144"/>
      <c r="T488" s="144"/>
      <c r="U488" s="144"/>
      <c r="V488" s="144"/>
      <c r="W488" s="144"/>
      <c r="Y488" s="144"/>
      <c r="Z488" s="144"/>
      <c r="AA488" s="144"/>
      <c r="AB488" s="144"/>
      <c r="AC488" s="144"/>
    </row>
    <row r="489" spans="1:29" x14ac:dyDescent="0.2">
      <c r="A489" s="144"/>
      <c r="B489" s="145"/>
      <c r="C489" s="144"/>
      <c r="D489" s="144"/>
      <c r="E489" s="144"/>
      <c r="F489" s="144"/>
      <c r="G489" s="144"/>
      <c r="H489" s="144"/>
      <c r="I489" s="144"/>
      <c r="J489" s="144"/>
      <c r="K489" s="144"/>
      <c r="M489" s="144"/>
      <c r="N489" s="144"/>
      <c r="O489" s="144"/>
      <c r="P489" s="144"/>
      <c r="Q489" s="144"/>
      <c r="R489" s="144"/>
      <c r="S489" s="144"/>
      <c r="T489" s="144"/>
      <c r="U489" s="144"/>
      <c r="V489" s="144"/>
      <c r="W489" s="144"/>
      <c r="Y489" s="144"/>
      <c r="Z489" s="144"/>
      <c r="AA489" s="144"/>
      <c r="AB489" s="144"/>
      <c r="AC489" s="144"/>
    </row>
    <row r="490" spans="1:29" x14ac:dyDescent="0.2">
      <c r="A490" s="144"/>
      <c r="B490" s="145"/>
      <c r="C490" s="144"/>
      <c r="D490" s="144"/>
      <c r="E490" s="144"/>
      <c r="F490" s="144"/>
      <c r="G490" s="144"/>
      <c r="H490" s="144"/>
      <c r="I490" s="144"/>
      <c r="J490" s="144"/>
      <c r="K490" s="144"/>
      <c r="M490" s="144"/>
      <c r="N490" s="144"/>
      <c r="O490" s="144"/>
      <c r="P490" s="144"/>
      <c r="Q490" s="144"/>
      <c r="R490" s="144"/>
      <c r="S490" s="144"/>
      <c r="T490" s="144"/>
      <c r="U490" s="144"/>
      <c r="V490" s="144"/>
      <c r="W490" s="144"/>
      <c r="Y490" s="144"/>
      <c r="Z490" s="144"/>
      <c r="AA490" s="144"/>
      <c r="AB490" s="144"/>
      <c r="AC490" s="144"/>
    </row>
    <row r="491" spans="1:29" x14ac:dyDescent="0.2">
      <c r="A491" s="144"/>
      <c r="B491" s="145"/>
      <c r="C491" s="144"/>
      <c r="D491" s="144"/>
      <c r="E491" s="144"/>
      <c r="F491" s="144"/>
      <c r="G491" s="144"/>
      <c r="H491" s="144"/>
      <c r="I491" s="144"/>
      <c r="J491" s="144"/>
      <c r="K491" s="144"/>
      <c r="M491" s="144"/>
      <c r="N491" s="144"/>
      <c r="O491" s="144"/>
      <c r="P491" s="144"/>
      <c r="Q491" s="144"/>
      <c r="R491" s="144"/>
      <c r="S491" s="144"/>
      <c r="T491" s="144"/>
      <c r="U491" s="144"/>
      <c r="V491" s="144"/>
      <c r="W491" s="144"/>
      <c r="Y491" s="144"/>
      <c r="Z491" s="144"/>
      <c r="AA491" s="144"/>
      <c r="AB491" s="144"/>
      <c r="AC491" s="144"/>
    </row>
    <row r="492" spans="1:29" x14ac:dyDescent="0.2">
      <c r="A492" s="144"/>
      <c r="B492" s="145"/>
      <c r="C492" s="144"/>
      <c r="D492" s="144"/>
      <c r="E492" s="144"/>
      <c r="F492" s="144"/>
      <c r="G492" s="144"/>
      <c r="H492" s="144"/>
      <c r="I492" s="144"/>
      <c r="J492" s="144"/>
      <c r="K492" s="144"/>
      <c r="M492" s="144"/>
      <c r="N492" s="144"/>
      <c r="O492" s="144"/>
      <c r="P492" s="144"/>
      <c r="Q492" s="144"/>
      <c r="R492" s="144"/>
      <c r="S492" s="144"/>
      <c r="T492" s="144"/>
      <c r="U492" s="144"/>
      <c r="V492" s="144"/>
      <c r="W492" s="144"/>
      <c r="Y492" s="144"/>
      <c r="Z492" s="144"/>
      <c r="AA492" s="144"/>
      <c r="AB492" s="144"/>
      <c r="AC492" s="144"/>
    </row>
    <row r="493" spans="1:29" x14ac:dyDescent="0.2">
      <c r="A493" s="144"/>
      <c r="B493" s="145"/>
      <c r="C493" s="144"/>
      <c r="D493" s="144"/>
      <c r="E493" s="144"/>
      <c r="F493" s="144"/>
      <c r="G493" s="144"/>
      <c r="H493" s="144"/>
      <c r="I493" s="144"/>
      <c r="J493" s="144"/>
      <c r="K493" s="144"/>
      <c r="M493" s="144"/>
      <c r="N493" s="144"/>
      <c r="O493" s="144"/>
      <c r="P493" s="144"/>
      <c r="Q493" s="144"/>
      <c r="R493" s="144"/>
      <c r="S493" s="144"/>
      <c r="T493" s="144"/>
      <c r="U493" s="144"/>
      <c r="V493" s="144"/>
      <c r="W493" s="144"/>
      <c r="Y493" s="144"/>
      <c r="Z493" s="144"/>
      <c r="AA493" s="144"/>
      <c r="AB493" s="144"/>
      <c r="AC493" s="144"/>
    </row>
    <row r="494" spans="1:29" x14ac:dyDescent="0.2">
      <c r="A494" s="144"/>
      <c r="B494" s="145"/>
      <c r="C494" s="144"/>
      <c r="D494" s="144"/>
      <c r="E494" s="144"/>
      <c r="F494" s="144"/>
      <c r="G494" s="144"/>
      <c r="H494" s="144"/>
      <c r="I494" s="144"/>
      <c r="J494" s="144"/>
      <c r="K494" s="144"/>
      <c r="M494" s="144"/>
      <c r="N494" s="144"/>
      <c r="O494" s="144"/>
      <c r="P494" s="144"/>
      <c r="Q494" s="144"/>
      <c r="R494" s="144"/>
      <c r="S494" s="144"/>
      <c r="T494" s="144"/>
      <c r="U494" s="144"/>
      <c r="V494" s="144"/>
      <c r="W494" s="144"/>
      <c r="Y494" s="144"/>
      <c r="Z494" s="144"/>
      <c r="AA494" s="144"/>
      <c r="AB494" s="144"/>
      <c r="AC494" s="144"/>
    </row>
    <row r="495" spans="1:29" x14ac:dyDescent="0.2">
      <c r="A495" s="144"/>
      <c r="B495" s="145"/>
      <c r="C495" s="144"/>
      <c r="D495" s="144"/>
      <c r="E495" s="144"/>
      <c r="F495" s="144"/>
      <c r="G495" s="144"/>
      <c r="H495" s="144"/>
      <c r="I495" s="144"/>
      <c r="J495" s="144"/>
      <c r="K495" s="144"/>
      <c r="M495" s="144"/>
      <c r="N495" s="144"/>
      <c r="O495" s="144"/>
      <c r="P495" s="144"/>
      <c r="Q495" s="144"/>
      <c r="R495" s="144"/>
      <c r="S495" s="144"/>
      <c r="T495" s="144"/>
      <c r="U495" s="144"/>
      <c r="V495" s="144"/>
      <c r="W495" s="144"/>
      <c r="Y495" s="144"/>
      <c r="Z495" s="144"/>
      <c r="AA495" s="144"/>
      <c r="AB495" s="144"/>
      <c r="AC495" s="144"/>
    </row>
    <row r="496" spans="1:29" x14ac:dyDescent="0.2">
      <c r="A496" s="144"/>
      <c r="B496" s="145"/>
      <c r="C496" s="144"/>
      <c r="D496" s="144"/>
      <c r="E496" s="144"/>
      <c r="F496" s="144"/>
      <c r="G496" s="144"/>
      <c r="H496" s="144"/>
      <c r="I496" s="144"/>
      <c r="J496" s="144"/>
      <c r="K496" s="144"/>
      <c r="M496" s="144"/>
      <c r="N496" s="144"/>
      <c r="O496" s="144"/>
      <c r="P496" s="144"/>
      <c r="Q496" s="144"/>
      <c r="R496" s="144"/>
      <c r="S496" s="144"/>
      <c r="T496" s="144"/>
      <c r="U496" s="144"/>
      <c r="V496" s="144"/>
      <c r="W496" s="144"/>
      <c r="Y496" s="144"/>
      <c r="Z496" s="144"/>
      <c r="AA496" s="144"/>
      <c r="AB496" s="144"/>
      <c r="AC496" s="144"/>
    </row>
    <row r="497" spans="1:29" x14ac:dyDescent="0.2">
      <c r="A497" s="144"/>
      <c r="B497" s="145"/>
      <c r="C497" s="144"/>
      <c r="D497" s="144"/>
      <c r="E497" s="144"/>
      <c r="F497" s="144"/>
      <c r="G497" s="144"/>
      <c r="H497" s="144"/>
      <c r="I497" s="144"/>
      <c r="J497" s="144"/>
      <c r="K497" s="144"/>
      <c r="M497" s="144"/>
      <c r="N497" s="144"/>
      <c r="O497" s="144"/>
      <c r="P497" s="144"/>
      <c r="Q497" s="144"/>
      <c r="R497" s="144"/>
      <c r="S497" s="144"/>
      <c r="T497" s="144"/>
      <c r="U497" s="144"/>
      <c r="V497" s="144"/>
      <c r="W497" s="144"/>
      <c r="Y497" s="144"/>
      <c r="Z497" s="144"/>
      <c r="AA497" s="144"/>
      <c r="AB497" s="144"/>
      <c r="AC497" s="144"/>
    </row>
    <row r="498" spans="1:29" x14ac:dyDescent="0.2">
      <c r="A498" s="144"/>
      <c r="B498" s="145"/>
      <c r="C498" s="144"/>
      <c r="D498" s="144"/>
      <c r="E498" s="144"/>
      <c r="F498" s="144"/>
      <c r="G498" s="144"/>
      <c r="H498" s="144"/>
      <c r="I498" s="144"/>
      <c r="J498" s="144"/>
      <c r="K498" s="144"/>
      <c r="M498" s="144"/>
      <c r="N498" s="144"/>
      <c r="O498" s="144"/>
      <c r="P498" s="144"/>
      <c r="Q498" s="144"/>
      <c r="R498" s="144"/>
      <c r="S498" s="144"/>
      <c r="T498" s="144"/>
      <c r="U498" s="144"/>
      <c r="V498" s="144"/>
      <c r="W498" s="144"/>
      <c r="Y498" s="144"/>
      <c r="Z498" s="144"/>
      <c r="AA498" s="144"/>
      <c r="AB498" s="144"/>
      <c r="AC498" s="144"/>
    </row>
    <row r="499" spans="1:29" x14ac:dyDescent="0.2">
      <c r="A499" s="144"/>
      <c r="B499" s="145"/>
      <c r="C499" s="144"/>
      <c r="D499" s="144"/>
      <c r="E499" s="144"/>
      <c r="F499" s="144"/>
      <c r="G499" s="144"/>
      <c r="H499" s="144"/>
      <c r="I499" s="144"/>
      <c r="J499" s="144"/>
      <c r="K499" s="144"/>
      <c r="M499" s="144"/>
      <c r="N499" s="144"/>
      <c r="O499" s="144"/>
      <c r="P499" s="144"/>
      <c r="Q499" s="144"/>
      <c r="R499" s="144"/>
      <c r="S499" s="144"/>
      <c r="T499" s="144"/>
      <c r="U499" s="144"/>
      <c r="V499" s="144"/>
      <c r="W499" s="144"/>
      <c r="Y499" s="144"/>
      <c r="Z499" s="144"/>
      <c r="AA499" s="144"/>
      <c r="AB499" s="144"/>
      <c r="AC499" s="144"/>
    </row>
    <row r="500" spans="1:29" x14ac:dyDescent="0.2">
      <c r="A500" s="144"/>
      <c r="B500" s="145"/>
      <c r="C500" s="144"/>
      <c r="D500" s="144"/>
      <c r="E500" s="144"/>
      <c r="F500" s="144"/>
      <c r="G500" s="144"/>
      <c r="H500" s="144"/>
      <c r="I500" s="144"/>
      <c r="J500" s="144"/>
      <c r="K500" s="144"/>
      <c r="M500" s="144"/>
      <c r="N500" s="144"/>
      <c r="O500" s="144"/>
      <c r="P500" s="144"/>
      <c r="Q500" s="144"/>
      <c r="R500" s="144"/>
      <c r="S500" s="144"/>
      <c r="T500" s="144"/>
      <c r="U500" s="144"/>
      <c r="V500" s="144"/>
      <c r="W500" s="144"/>
      <c r="Y500" s="144"/>
      <c r="Z500" s="144"/>
      <c r="AA500" s="144"/>
      <c r="AB500" s="144"/>
      <c r="AC500" s="144"/>
    </row>
    <row r="501" spans="1:29" x14ac:dyDescent="0.2">
      <c r="A501" s="144"/>
      <c r="B501" s="145"/>
      <c r="C501" s="144"/>
      <c r="D501" s="144"/>
      <c r="E501" s="144"/>
      <c r="F501" s="144"/>
      <c r="G501" s="144"/>
      <c r="H501" s="144"/>
      <c r="I501" s="144"/>
      <c r="J501" s="144"/>
      <c r="K501" s="144"/>
      <c r="M501" s="144"/>
      <c r="N501" s="144"/>
      <c r="O501" s="144"/>
      <c r="P501" s="144"/>
      <c r="Q501" s="144"/>
      <c r="R501" s="144"/>
      <c r="S501" s="144"/>
      <c r="T501" s="144"/>
      <c r="U501" s="144"/>
      <c r="V501" s="144"/>
      <c r="W501" s="144"/>
      <c r="Y501" s="144"/>
      <c r="Z501" s="144"/>
      <c r="AA501" s="144"/>
      <c r="AB501" s="144"/>
      <c r="AC501" s="144"/>
    </row>
    <row r="502" spans="1:29" x14ac:dyDescent="0.2">
      <c r="A502" s="144"/>
      <c r="B502" s="145"/>
      <c r="C502" s="144"/>
      <c r="D502" s="144"/>
      <c r="E502" s="144"/>
      <c r="F502" s="144"/>
      <c r="G502" s="144"/>
      <c r="H502" s="144"/>
      <c r="I502" s="144"/>
      <c r="J502" s="144"/>
      <c r="K502" s="144"/>
      <c r="M502" s="144"/>
      <c r="N502" s="144"/>
      <c r="O502" s="144"/>
      <c r="P502" s="144"/>
      <c r="Q502" s="144"/>
      <c r="R502" s="144"/>
      <c r="S502" s="144"/>
      <c r="T502" s="144"/>
      <c r="U502" s="144"/>
      <c r="V502" s="144"/>
      <c r="W502" s="144"/>
      <c r="Y502" s="144"/>
      <c r="Z502" s="144"/>
      <c r="AA502" s="144"/>
      <c r="AB502" s="144"/>
      <c r="AC502" s="144"/>
    </row>
    <row r="503" spans="1:29" x14ac:dyDescent="0.2">
      <c r="A503" s="144"/>
      <c r="B503" s="145"/>
      <c r="C503" s="144"/>
      <c r="D503" s="144"/>
      <c r="E503" s="144"/>
      <c r="F503" s="144"/>
      <c r="G503" s="144"/>
      <c r="H503" s="144"/>
      <c r="I503" s="144"/>
      <c r="J503" s="144"/>
      <c r="K503" s="144"/>
      <c r="M503" s="144"/>
      <c r="N503" s="144"/>
      <c r="O503" s="144"/>
      <c r="P503" s="144"/>
      <c r="Q503" s="144"/>
      <c r="R503" s="144"/>
      <c r="S503" s="144"/>
      <c r="T503" s="144"/>
      <c r="U503" s="144"/>
      <c r="V503" s="144"/>
      <c r="W503" s="144"/>
      <c r="Y503" s="144"/>
      <c r="Z503" s="144"/>
      <c r="AA503" s="144"/>
      <c r="AB503" s="144"/>
      <c r="AC503" s="144"/>
    </row>
    <row r="504" spans="1:29" x14ac:dyDescent="0.2">
      <c r="A504" s="144"/>
      <c r="B504" s="145"/>
      <c r="C504" s="144"/>
      <c r="D504" s="144"/>
      <c r="E504" s="144"/>
      <c r="F504" s="144"/>
      <c r="G504" s="144"/>
      <c r="H504" s="144"/>
      <c r="I504" s="144"/>
      <c r="J504" s="144"/>
      <c r="K504" s="144"/>
      <c r="M504" s="144"/>
      <c r="N504" s="144"/>
      <c r="O504" s="144"/>
      <c r="P504" s="144"/>
      <c r="Q504" s="144"/>
      <c r="R504" s="144"/>
      <c r="S504" s="144"/>
      <c r="T504" s="144"/>
      <c r="U504" s="144"/>
      <c r="V504" s="144"/>
      <c r="W504" s="144"/>
      <c r="Y504" s="144"/>
      <c r="Z504" s="144"/>
      <c r="AA504" s="144"/>
      <c r="AB504" s="144"/>
      <c r="AC504" s="144"/>
    </row>
    <row r="505" spans="1:29" x14ac:dyDescent="0.2">
      <c r="A505" s="144"/>
      <c r="B505" s="145"/>
      <c r="C505" s="144"/>
      <c r="D505" s="144"/>
      <c r="E505" s="144"/>
      <c r="F505" s="144"/>
      <c r="G505" s="144"/>
      <c r="H505" s="144"/>
      <c r="I505" s="144"/>
      <c r="J505" s="144"/>
      <c r="K505" s="144"/>
      <c r="M505" s="144"/>
      <c r="N505" s="144"/>
      <c r="O505" s="144"/>
      <c r="P505" s="144"/>
      <c r="Q505" s="144"/>
      <c r="R505" s="144"/>
      <c r="S505" s="144"/>
      <c r="T505" s="144"/>
      <c r="U505" s="144"/>
      <c r="V505" s="144"/>
      <c r="W505" s="144"/>
      <c r="Y505" s="144"/>
      <c r="Z505" s="144"/>
      <c r="AA505" s="144"/>
      <c r="AB505" s="144"/>
      <c r="AC505" s="144"/>
    </row>
    <row r="506" spans="1:29" x14ac:dyDescent="0.2">
      <c r="A506" s="144"/>
      <c r="B506" s="145"/>
      <c r="C506" s="144"/>
      <c r="D506" s="144"/>
      <c r="E506" s="144"/>
      <c r="F506" s="144"/>
      <c r="G506" s="144"/>
      <c r="H506" s="144"/>
      <c r="I506" s="144"/>
      <c r="J506" s="144"/>
      <c r="K506" s="144"/>
      <c r="M506" s="144"/>
      <c r="N506" s="144"/>
      <c r="O506" s="144"/>
      <c r="P506" s="144"/>
      <c r="Q506" s="144"/>
      <c r="R506" s="144"/>
      <c r="S506" s="144"/>
      <c r="T506" s="144"/>
      <c r="U506" s="144"/>
      <c r="V506" s="144"/>
      <c r="W506" s="144"/>
      <c r="Y506" s="144"/>
      <c r="Z506" s="144"/>
      <c r="AA506" s="144"/>
      <c r="AB506" s="144"/>
      <c r="AC506" s="144"/>
    </row>
    <row r="507" spans="1:29" x14ac:dyDescent="0.2">
      <c r="A507" s="144"/>
      <c r="B507" s="145"/>
      <c r="C507" s="144"/>
      <c r="D507" s="144"/>
      <c r="E507" s="144"/>
      <c r="F507" s="144"/>
      <c r="G507" s="144"/>
      <c r="H507" s="144"/>
      <c r="I507" s="144"/>
      <c r="J507" s="144"/>
      <c r="K507" s="144"/>
      <c r="M507" s="144"/>
      <c r="N507" s="144"/>
      <c r="O507" s="144"/>
      <c r="P507" s="144"/>
      <c r="Q507" s="144"/>
      <c r="R507" s="144"/>
      <c r="S507" s="144"/>
      <c r="T507" s="144"/>
      <c r="U507" s="144"/>
      <c r="V507" s="144"/>
      <c r="W507" s="144"/>
      <c r="Y507" s="144"/>
      <c r="Z507" s="144"/>
      <c r="AA507" s="144"/>
      <c r="AB507" s="144"/>
      <c r="AC507" s="144"/>
    </row>
    <row r="508" spans="1:29" x14ac:dyDescent="0.2">
      <c r="A508" s="144"/>
      <c r="B508" s="145"/>
      <c r="C508" s="144"/>
      <c r="D508" s="144"/>
      <c r="E508" s="144"/>
      <c r="F508" s="144"/>
      <c r="G508" s="144"/>
      <c r="H508" s="144"/>
      <c r="I508" s="144"/>
      <c r="J508" s="144"/>
      <c r="K508" s="144"/>
      <c r="M508" s="144"/>
      <c r="N508" s="144"/>
      <c r="O508" s="144"/>
      <c r="P508" s="144"/>
      <c r="Q508" s="144"/>
      <c r="R508" s="144"/>
      <c r="S508" s="144"/>
      <c r="T508" s="144"/>
      <c r="U508" s="144"/>
      <c r="V508" s="144"/>
      <c r="W508" s="144"/>
      <c r="Y508" s="144"/>
      <c r="Z508" s="144"/>
      <c r="AA508" s="144"/>
      <c r="AB508" s="144"/>
      <c r="AC508" s="144"/>
    </row>
    <row r="509" spans="1:29" x14ac:dyDescent="0.2">
      <c r="A509" s="144"/>
      <c r="B509" s="145"/>
      <c r="C509" s="144"/>
      <c r="D509" s="144"/>
      <c r="E509" s="144"/>
      <c r="F509" s="144"/>
      <c r="G509" s="144"/>
      <c r="H509" s="144"/>
      <c r="I509" s="144"/>
      <c r="J509" s="144"/>
      <c r="K509" s="144"/>
      <c r="M509" s="144"/>
      <c r="N509" s="144"/>
      <c r="O509" s="144"/>
      <c r="P509" s="144"/>
      <c r="Q509" s="144"/>
      <c r="R509" s="144"/>
      <c r="S509" s="144"/>
      <c r="T509" s="144"/>
      <c r="U509" s="144"/>
      <c r="V509" s="144"/>
      <c r="W509" s="144"/>
      <c r="Y509" s="144"/>
      <c r="Z509" s="144"/>
      <c r="AA509" s="144"/>
      <c r="AB509" s="144"/>
      <c r="AC509" s="144"/>
    </row>
    <row r="510" spans="1:29" x14ac:dyDescent="0.2">
      <c r="A510" s="144"/>
      <c r="B510" s="145"/>
      <c r="C510" s="144"/>
      <c r="D510" s="144"/>
      <c r="E510" s="144"/>
      <c r="F510" s="144"/>
      <c r="G510" s="144"/>
      <c r="H510" s="144"/>
      <c r="I510" s="144"/>
      <c r="J510" s="144"/>
      <c r="K510" s="144"/>
      <c r="M510" s="144"/>
      <c r="N510" s="144"/>
      <c r="O510" s="144"/>
      <c r="P510" s="144"/>
      <c r="Q510" s="144"/>
      <c r="R510" s="144"/>
      <c r="S510" s="144"/>
      <c r="T510" s="144"/>
      <c r="U510" s="144"/>
      <c r="V510" s="144"/>
      <c r="W510" s="144"/>
      <c r="Y510" s="144"/>
      <c r="Z510" s="144"/>
      <c r="AA510" s="144"/>
      <c r="AB510" s="144"/>
      <c r="AC510" s="144"/>
    </row>
    <row r="511" spans="1:29" x14ac:dyDescent="0.2">
      <c r="A511" s="144"/>
      <c r="B511" s="145"/>
      <c r="C511" s="144"/>
      <c r="D511" s="144"/>
      <c r="E511" s="144"/>
      <c r="F511" s="144"/>
      <c r="G511" s="144"/>
      <c r="H511" s="144"/>
      <c r="I511" s="144"/>
      <c r="J511" s="144"/>
      <c r="K511" s="144"/>
      <c r="M511" s="144"/>
      <c r="N511" s="144"/>
      <c r="O511" s="144"/>
      <c r="P511" s="144"/>
      <c r="Q511" s="144"/>
      <c r="R511" s="144"/>
      <c r="S511" s="144"/>
      <c r="T511" s="144"/>
      <c r="U511" s="144"/>
      <c r="V511" s="144"/>
      <c r="W511" s="144"/>
      <c r="Y511" s="144"/>
      <c r="Z511" s="144"/>
      <c r="AA511" s="144"/>
      <c r="AB511" s="144"/>
      <c r="AC511" s="144"/>
    </row>
    <row r="512" spans="1:29" x14ac:dyDescent="0.2">
      <c r="A512" s="144"/>
      <c r="B512" s="145"/>
      <c r="C512" s="144"/>
      <c r="D512" s="144"/>
      <c r="E512" s="144"/>
      <c r="F512" s="144"/>
      <c r="G512" s="144"/>
      <c r="H512" s="144"/>
      <c r="I512" s="144"/>
      <c r="J512" s="144"/>
      <c r="K512" s="144"/>
      <c r="M512" s="144"/>
      <c r="N512" s="144"/>
      <c r="O512" s="144"/>
      <c r="P512" s="144"/>
      <c r="Q512" s="144"/>
      <c r="R512" s="144"/>
      <c r="S512" s="144"/>
      <c r="T512" s="144"/>
      <c r="U512" s="144"/>
      <c r="V512" s="144"/>
      <c r="W512" s="144"/>
      <c r="Y512" s="144"/>
      <c r="Z512" s="144"/>
      <c r="AA512" s="144"/>
      <c r="AB512" s="144"/>
      <c r="AC512" s="144"/>
    </row>
    <row r="513" spans="1:29" x14ac:dyDescent="0.2">
      <c r="A513" s="144"/>
      <c r="B513" s="145"/>
      <c r="C513" s="144"/>
      <c r="D513" s="144"/>
      <c r="E513" s="144"/>
      <c r="F513" s="144"/>
      <c r="G513" s="144"/>
      <c r="H513" s="144"/>
      <c r="I513" s="144"/>
      <c r="J513" s="144"/>
      <c r="K513" s="144"/>
      <c r="M513" s="144"/>
      <c r="N513" s="144"/>
      <c r="O513" s="144"/>
      <c r="P513" s="144"/>
      <c r="Q513" s="144"/>
      <c r="R513" s="144"/>
      <c r="S513" s="144"/>
      <c r="T513" s="144"/>
      <c r="U513" s="144"/>
      <c r="V513" s="144"/>
      <c r="W513" s="144"/>
      <c r="Y513" s="144"/>
      <c r="Z513" s="144"/>
      <c r="AA513" s="144"/>
      <c r="AB513" s="144"/>
      <c r="AC513" s="144"/>
    </row>
    <row r="514" spans="1:29" x14ac:dyDescent="0.2">
      <c r="A514" s="144"/>
      <c r="B514" s="145"/>
      <c r="C514" s="144"/>
      <c r="D514" s="144"/>
      <c r="E514" s="144"/>
      <c r="F514" s="144"/>
      <c r="G514" s="144"/>
      <c r="H514" s="144"/>
      <c r="I514" s="144"/>
      <c r="J514" s="144"/>
      <c r="K514" s="144"/>
      <c r="M514" s="144"/>
      <c r="N514" s="144"/>
      <c r="O514" s="144"/>
      <c r="P514" s="144"/>
      <c r="Q514" s="144"/>
      <c r="R514" s="144"/>
      <c r="S514" s="144"/>
      <c r="T514" s="144"/>
      <c r="U514" s="144"/>
      <c r="V514" s="144"/>
      <c r="W514" s="144"/>
      <c r="Y514" s="144"/>
      <c r="Z514" s="144"/>
      <c r="AA514" s="144"/>
      <c r="AB514" s="144"/>
      <c r="AC514" s="144"/>
    </row>
    <row r="515" spans="1:29" x14ac:dyDescent="0.2">
      <c r="A515" s="144"/>
      <c r="B515" s="145"/>
      <c r="C515" s="144"/>
      <c r="D515" s="144"/>
      <c r="E515" s="144"/>
      <c r="F515" s="144"/>
      <c r="G515" s="144"/>
      <c r="H515" s="144"/>
      <c r="I515" s="144"/>
      <c r="J515" s="144"/>
      <c r="K515" s="144"/>
      <c r="M515" s="144"/>
      <c r="N515" s="144"/>
      <c r="O515" s="144"/>
      <c r="P515" s="144"/>
      <c r="Q515" s="144"/>
      <c r="R515" s="144"/>
      <c r="S515" s="144"/>
      <c r="T515" s="144"/>
      <c r="U515" s="144"/>
      <c r="V515" s="144"/>
      <c r="W515" s="144"/>
      <c r="Y515" s="144"/>
      <c r="Z515" s="144"/>
      <c r="AA515" s="144"/>
      <c r="AB515" s="144"/>
      <c r="AC515" s="144"/>
    </row>
    <row r="516" spans="1:29" x14ac:dyDescent="0.2">
      <c r="A516" s="144"/>
      <c r="B516" s="145"/>
      <c r="C516" s="144"/>
      <c r="D516" s="144"/>
      <c r="E516" s="144"/>
      <c r="F516" s="144"/>
      <c r="G516" s="144"/>
      <c r="H516" s="144"/>
      <c r="I516" s="144"/>
      <c r="J516" s="144"/>
      <c r="K516" s="144"/>
      <c r="M516" s="144"/>
      <c r="N516" s="144"/>
      <c r="O516" s="144"/>
      <c r="P516" s="144"/>
      <c r="Q516" s="144"/>
      <c r="R516" s="144"/>
      <c r="S516" s="144"/>
      <c r="T516" s="144"/>
      <c r="U516" s="144"/>
      <c r="V516" s="144"/>
      <c r="W516" s="144"/>
      <c r="Y516" s="144"/>
      <c r="Z516" s="144"/>
      <c r="AA516" s="144"/>
      <c r="AB516" s="144"/>
      <c r="AC516" s="144"/>
    </row>
    <row r="517" spans="1:29" x14ac:dyDescent="0.2">
      <c r="A517" s="144"/>
      <c r="B517" s="145"/>
      <c r="C517" s="144"/>
      <c r="D517" s="144"/>
      <c r="E517" s="144"/>
      <c r="F517" s="144"/>
      <c r="G517" s="144"/>
      <c r="H517" s="144"/>
      <c r="I517" s="144"/>
      <c r="J517" s="144"/>
      <c r="K517" s="144"/>
      <c r="M517" s="144"/>
      <c r="N517" s="144"/>
      <c r="O517" s="144"/>
      <c r="P517" s="144"/>
      <c r="Q517" s="144"/>
      <c r="R517" s="144"/>
      <c r="S517" s="144"/>
      <c r="T517" s="144"/>
      <c r="U517" s="144"/>
      <c r="V517" s="144"/>
      <c r="W517" s="144"/>
      <c r="Y517" s="144"/>
      <c r="Z517" s="144"/>
      <c r="AA517" s="144"/>
      <c r="AB517" s="144"/>
      <c r="AC517" s="144"/>
    </row>
    <row r="518" spans="1:29" x14ac:dyDescent="0.2">
      <c r="A518" s="144"/>
      <c r="B518" s="145"/>
      <c r="C518" s="144"/>
      <c r="D518" s="144"/>
      <c r="E518" s="144"/>
      <c r="F518" s="144"/>
      <c r="G518" s="144"/>
      <c r="H518" s="144"/>
      <c r="I518" s="144"/>
      <c r="J518" s="144"/>
      <c r="K518" s="144"/>
      <c r="M518" s="144"/>
      <c r="N518" s="144"/>
      <c r="O518" s="144"/>
      <c r="P518" s="144"/>
      <c r="Q518" s="144"/>
      <c r="R518" s="144"/>
      <c r="S518" s="144"/>
      <c r="T518" s="144"/>
      <c r="U518" s="144"/>
      <c r="V518" s="144"/>
      <c r="W518" s="144"/>
      <c r="Y518" s="144"/>
      <c r="Z518" s="144"/>
      <c r="AA518" s="144"/>
      <c r="AB518" s="144"/>
      <c r="AC518" s="144"/>
    </row>
    <row r="519" spans="1:29" x14ac:dyDescent="0.2">
      <c r="A519" s="144"/>
      <c r="B519" s="145"/>
      <c r="C519" s="144"/>
      <c r="D519" s="144"/>
      <c r="E519" s="144"/>
      <c r="F519" s="144"/>
      <c r="G519" s="144"/>
      <c r="H519" s="144"/>
      <c r="I519" s="144"/>
      <c r="J519" s="144"/>
      <c r="K519" s="144"/>
      <c r="M519" s="144"/>
      <c r="N519" s="144"/>
      <c r="O519" s="144"/>
      <c r="P519" s="144"/>
      <c r="Q519" s="144"/>
      <c r="R519" s="144"/>
      <c r="S519" s="144"/>
      <c r="T519" s="144"/>
      <c r="U519" s="144"/>
      <c r="V519" s="144"/>
      <c r="W519" s="144"/>
      <c r="Y519" s="144"/>
      <c r="Z519" s="144"/>
      <c r="AA519" s="144"/>
      <c r="AB519" s="144"/>
      <c r="AC519" s="144"/>
    </row>
    <row r="520" spans="1:29" x14ac:dyDescent="0.2">
      <c r="A520" s="144"/>
      <c r="B520" s="145"/>
      <c r="C520" s="144"/>
      <c r="D520" s="144"/>
      <c r="E520" s="144"/>
      <c r="F520" s="144"/>
      <c r="G520" s="144"/>
      <c r="H520" s="144"/>
      <c r="I520" s="144"/>
      <c r="J520" s="144"/>
      <c r="K520" s="144"/>
      <c r="M520" s="144"/>
      <c r="N520" s="144"/>
      <c r="O520" s="144"/>
      <c r="P520" s="144"/>
      <c r="Q520" s="144"/>
      <c r="R520" s="144"/>
      <c r="S520" s="144"/>
      <c r="T520" s="144"/>
      <c r="U520" s="144"/>
      <c r="V520" s="144"/>
      <c r="W520" s="144"/>
      <c r="Y520" s="144"/>
      <c r="Z520" s="144"/>
      <c r="AA520" s="144"/>
      <c r="AB520" s="144"/>
      <c r="AC520" s="144"/>
    </row>
    <row r="521" spans="1:29" x14ac:dyDescent="0.2">
      <c r="A521" s="144"/>
      <c r="B521" s="145"/>
      <c r="C521" s="144"/>
      <c r="D521" s="144"/>
      <c r="E521" s="144"/>
      <c r="F521" s="144"/>
      <c r="G521" s="144"/>
      <c r="H521" s="144"/>
      <c r="I521" s="144"/>
      <c r="J521" s="144"/>
      <c r="K521" s="144"/>
      <c r="M521" s="144"/>
      <c r="N521" s="144"/>
      <c r="O521" s="144"/>
      <c r="P521" s="144"/>
      <c r="Q521" s="144"/>
      <c r="R521" s="144"/>
      <c r="S521" s="144"/>
      <c r="T521" s="144"/>
      <c r="U521" s="144"/>
      <c r="V521" s="144"/>
      <c r="W521" s="144"/>
      <c r="Y521" s="144"/>
      <c r="Z521" s="144"/>
      <c r="AA521" s="144"/>
      <c r="AB521" s="144"/>
      <c r="AC521" s="144"/>
    </row>
    <row r="522" spans="1:29" x14ac:dyDescent="0.2">
      <c r="A522" s="144"/>
      <c r="B522" s="145"/>
      <c r="C522" s="144"/>
      <c r="D522" s="144"/>
      <c r="E522" s="144"/>
      <c r="F522" s="144"/>
      <c r="G522" s="144"/>
      <c r="H522" s="144"/>
      <c r="I522" s="144"/>
      <c r="J522" s="144"/>
      <c r="K522" s="144"/>
      <c r="M522" s="144"/>
      <c r="N522" s="144"/>
      <c r="O522" s="144"/>
      <c r="P522" s="144"/>
      <c r="Q522" s="144"/>
      <c r="R522" s="144"/>
      <c r="S522" s="144"/>
      <c r="T522" s="144"/>
      <c r="U522" s="144"/>
      <c r="V522" s="144"/>
      <c r="W522" s="144"/>
      <c r="Y522" s="144"/>
      <c r="Z522" s="144"/>
      <c r="AA522" s="144"/>
      <c r="AB522" s="144"/>
      <c r="AC522" s="144"/>
    </row>
    <row r="523" spans="1:29" x14ac:dyDescent="0.2">
      <c r="A523" s="144"/>
      <c r="B523" s="145"/>
      <c r="C523" s="144"/>
      <c r="D523" s="144"/>
      <c r="E523" s="144"/>
      <c r="F523" s="144"/>
      <c r="G523" s="144"/>
      <c r="H523" s="144"/>
      <c r="I523" s="144"/>
      <c r="J523" s="144"/>
      <c r="K523" s="144"/>
      <c r="M523" s="144"/>
      <c r="N523" s="144"/>
      <c r="O523" s="144"/>
      <c r="P523" s="144"/>
      <c r="Q523" s="144"/>
      <c r="R523" s="144"/>
      <c r="S523" s="144"/>
      <c r="T523" s="144"/>
      <c r="U523" s="144"/>
      <c r="V523" s="144"/>
      <c r="W523" s="144"/>
      <c r="Y523" s="144"/>
      <c r="Z523" s="144"/>
      <c r="AA523" s="144"/>
      <c r="AB523" s="144"/>
      <c r="AC523" s="144"/>
    </row>
    <row r="524" spans="1:29" x14ac:dyDescent="0.2">
      <c r="A524" s="144"/>
      <c r="B524" s="145"/>
      <c r="C524" s="144"/>
      <c r="D524" s="144"/>
      <c r="E524" s="144"/>
      <c r="F524" s="144"/>
      <c r="G524" s="144"/>
      <c r="H524" s="144"/>
      <c r="I524" s="144"/>
      <c r="J524" s="144"/>
      <c r="K524" s="144"/>
      <c r="M524" s="144"/>
      <c r="N524" s="144"/>
      <c r="O524" s="144"/>
      <c r="P524" s="144"/>
      <c r="Q524" s="144"/>
      <c r="R524" s="144"/>
      <c r="S524" s="144"/>
      <c r="T524" s="144"/>
      <c r="U524" s="144"/>
      <c r="V524" s="144"/>
      <c r="W524" s="144"/>
      <c r="Y524" s="144"/>
      <c r="Z524" s="144"/>
      <c r="AA524" s="144"/>
      <c r="AB524" s="144"/>
      <c r="AC524" s="144"/>
    </row>
    <row r="525" spans="1:29" x14ac:dyDescent="0.2">
      <c r="A525" s="144"/>
      <c r="B525" s="145"/>
      <c r="C525" s="144"/>
      <c r="D525" s="144"/>
      <c r="E525" s="144"/>
      <c r="F525" s="144"/>
      <c r="G525" s="144"/>
      <c r="H525" s="144"/>
      <c r="I525" s="144"/>
      <c r="J525" s="144"/>
      <c r="K525" s="144"/>
      <c r="M525" s="144"/>
      <c r="N525" s="144"/>
      <c r="O525" s="144"/>
      <c r="P525" s="144"/>
      <c r="Q525" s="144"/>
      <c r="R525" s="144"/>
      <c r="S525" s="144"/>
      <c r="T525" s="144"/>
      <c r="U525" s="144"/>
      <c r="V525" s="144"/>
      <c r="W525" s="144"/>
      <c r="Y525" s="144"/>
      <c r="Z525" s="144"/>
      <c r="AA525" s="144"/>
      <c r="AB525" s="144"/>
      <c r="AC525" s="144"/>
    </row>
    <row r="526" spans="1:29" x14ac:dyDescent="0.2">
      <c r="A526" s="144"/>
      <c r="B526" s="145"/>
      <c r="C526" s="144"/>
      <c r="D526" s="144"/>
      <c r="E526" s="144"/>
      <c r="F526" s="144"/>
      <c r="G526" s="144"/>
      <c r="H526" s="144"/>
      <c r="I526" s="144"/>
      <c r="J526" s="144"/>
      <c r="K526" s="144"/>
      <c r="M526" s="144"/>
      <c r="N526" s="144"/>
      <c r="O526" s="144"/>
      <c r="P526" s="144"/>
      <c r="Q526" s="144"/>
      <c r="R526" s="144"/>
      <c r="S526" s="144"/>
      <c r="T526" s="144"/>
      <c r="U526" s="144"/>
      <c r="V526" s="144"/>
      <c r="W526" s="144"/>
      <c r="Y526" s="144"/>
      <c r="Z526" s="144"/>
      <c r="AA526" s="144"/>
      <c r="AB526" s="144"/>
      <c r="AC526" s="144"/>
    </row>
    <row r="527" spans="1:29" x14ac:dyDescent="0.2">
      <c r="A527" s="144"/>
      <c r="B527" s="145"/>
      <c r="C527" s="144"/>
      <c r="D527" s="144"/>
      <c r="E527" s="144"/>
      <c r="F527" s="144"/>
      <c r="G527" s="144"/>
      <c r="H527" s="144"/>
      <c r="I527" s="144"/>
      <c r="J527" s="144"/>
      <c r="K527" s="144"/>
      <c r="M527" s="144"/>
      <c r="N527" s="144"/>
      <c r="O527" s="144"/>
      <c r="P527" s="144"/>
      <c r="Q527" s="144"/>
      <c r="R527" s="144"/>
      <c r="S527" s="144"/>
      <c r="T527" s="144"/>
      <c r="U527" s="144"/>
      <c r="V527" s="144"/>
      <c r="W527" s="144"/>
      <c r="Y527" s="144"/>
      <c r="Z527" s="144"/>
      <c r="AA527" s="144"/>
      <c r="AB527" s="144"/>
      <c r="AC527" s="144"/>
    </row>
    <row r="528" spans="1:29" x14ac:dyDescent="0.2">
      <c r="A528" s="144"/>
      <c r="B528" s="145"/>
      <c r="C528" s="144"/>
      <c r="D528" s="144"/>
      <c r="E528" s="144"/>
      <c r="F528" s="144"/>
      <c r="G528" s="144"/>
      <c r="H528" s="144"/>
      <c r="I528" s="144"/>
      <c r="J528" s="144"/>
      <c r="K528" s="144"/>
      <c r="M528" s="144"/>
      <c r="N528" s="144"/>
      <c r="O528" s="144"/>
      <c r="P528" s="144"/>
      <c r="Q528" s="144"/>
      <c r="R528" s="144"/>
      <c r="S528" s="144"/>
      <c r="T528" s="144"/>
      <c r="U528" s="144"/>
      <c r="V528" s="144"/>
      <c r="W528" s="144"/>
      <c r="Y528" s="144"/>
      <c r="Z528" s="144"/>
      <c r="AA528" s="144"/>
      <c r="AB528" s="144"/>
      <c r="AC528" s="144"/>
    </row>
    <row r="529" spans="1:29" x14ac:dyDescent="0.2">
      <c r="A529" s="144"/>
      <c r="B529" s="145"/>
      <c r="C529" s="144"/>
      <c r="D529" s="144"/>
      <c r="E529" s="144"/>
      <c r="F529" s="144"/>
      <c r="G529" s="144"/>
      <c r="H529" s="144"/>
      <c r="I529" s="144"/>
      <c r="J529" s="144"/>
      <c r="K529" s="144"/>
      <c r="M529" s="144"/>
      <c r="N529" s="144"/>
      <c r="O529" s="144"/>
      <c r="P529" s="144"/>
      <c r="Q529" s="144"/>
      <c r="R529" s="144"/>
      <c r="S529" s="144"/>
      <c r="T529" s="144"/>
      <c r="U529" s="144"/>
      <c r="V529" s="144"/>
      <c r="W529" s="144"/>
      <c r="Y529" s="144"/>
      <c r="Z529" s="144"/>
      <c r="AA529" s="144"/>
      <c r="AB529" s="144"/>
      <c r="AC529" s="144"/>
    </row>
    <row r="530" spans="1:29" x14ac:dyDescent="0.2">
      <c r="A530" s="144"/>
      <c r="B530" s="145"/>
      <c r="C530" s="144"/>
      <c r="D530" s="144"/>
      <c r="E530" s="144"/>
      <c r="F530" s="144"/>
      <c r="G530" s="144"/>
      <c r="H530" s="144"/>
      <c r="I530" s="144"/>
      <c r="J530" s="144"/>
      <c r="K530" s="144"/>
      <c r="M530" s="144"/>
      <c r="N530" s="144"/>
      <c r="O530" s="144"/>
      <c r="P530" s="144"/>
      <c r="Q530" s="144"/>
      <c r="R530" s="144"/>
      <c r="S530" s="144"/>
      <c r="T530" s="144"/>
      <c r="U530" s="144"/>
      <c r="V530" s="144"/>
      <c r="W530" s="144"/>
      <c r="Y530" s="144"/>
      <c r="Z530" s="144"/>
      <c r="AA530" s="144"/>
      <c r="AB530" s="144"/>
      <c r="AC530" s="144"/>
    </row>
    <row r="531" spans="1:29" x14ac:dyDescent="0.2">
      <c r="A531" s="144"/>
      <c r="B531" s="145"/>
      <c r="C531" s="144"/>
      <c r="D531" s="144"/>
      <c r="E531" s="144"/>
      <c r="F531" s="144"/>
      <c r="G531" s="144"/>
      <c r="H531" s="144"/>
      <c r="I531" s="144"/>
      <c r="J531" s="144"/>
      <c r="K531" s="144"/>
      <c r="M531" s="144"/>
      <c r="N531" s="144"/>
      <c r="O531" s="144"/>
      <c r="P531" s="144"/>
      <c r="Q531" s="144"/>
      <c r="R531" s="144"/>
      <c r="S531" s="144"/>
      <c r="T531" s="144"/>
      <c r="U531" s="144"/>
      <c r="V531" s="144"/>
      <c r="W531" s="144"/>
      <c r="Y531" s="144"/>
      <c r="Z531" s="144"/>
      <c r="AA531" s="144"/>
      <c r="AB531" s="144"/>
      <c r="AC531" s="144"/>
    </row>
    <row r="532" spans="1:29" x14ac:dyDescent="0.2">
      <c r="A532" s="144"/>
      <c r="B532" s="145"/>
      <c r="C532" s="144"/>
      <c r="D532" s="144"/>
      <c r="E532" s="144"/>
      <c r="F532" s="144"/>
      <c r="G532" s="144"/>
      <c r="H532" s="144"/>
      <c r="I532" s="144"/>
      <c r="J532" s="144"/>
      <c r="K532" s="144"/>
      <c r="M532" s="144"/>
      <c r="N532" s="144"/>
      <c r="O532" s="144"/>
      <c r="P532" s="144"/>
      <c r="Q532" s="144"/>
      <c r="R532" s="144"/>
      <c r="S532" s="144"/>
      <c r="T532" s="144"/>
      <c r="U532" s="144"/>
      <c r="V532" s="144"/>
      <c r="W532" s="144"/>
      <c r="Y532" s="144"/>
      <c r="Z532" s="144"/>
      <c r="AA532" s="144"/>
      <c r="AB532" s="144"/>
      <c r="AC532" s="144"/>
    </row>
    <row r="533" spans="1:29" x14ac:dyDescent="0.2">
      <c r="A533" s="144"/>
      <c r="B533" s="145"/>
      <c r="C533" s="144"/>
      <c r="D533" s="144"/>
      <c r="E533" s="144"/>
      <c r="F533" s="144"/>
      <c r="G533" s="144"/>
      <c r="H533" s="144"/>
      <c r="I533" s="144"/>
      <c r="J533" s="144"/>
      <c r="K533" s="144"/>
      <c r="M533" s="144"/>
      <c r="N533" s="144"/>
      <c r="O533" s="144"/>
      <c r="P533" s="144"/>
      <c r="Q533" s="144"/>
      <c r="R533" s="144"/>
      <c r="S533" s="144"/>
      <c r="T533" s="144"/>
      <c r="U533" s="144"/>
      <c r="V533" s="144"/>
      <c r="W533" s="144"/>
      <c r="Y533" s="144"/>
      <c r="Z533" s="144"/>
      <c r="AA533" s="144"/>
      <c r="AB533" s="144"/>
      <c r="AC533" s="144"/>
    </row>
    <row r="534" spans="1:29" x14ac:dyDescent="0.2">
      <c r="A534" s="144"/>
      <c r="B534" s="145"/>
      <c r="C534" s="144"/>
      <c r="D534" s="144"/>
      <c r="E534" s="144"/>
      <c r="F534" s="144"/>
      <c r="G534" s="144"/>
      <c r="H534" s="144"/>
      <c r="I534" s="144"/>
      <c r="J534" s="144"/>
      <c r="K534" s="144"/>
      <c r="M534" s="144"/>
      <c r="N534" s="144"/>
      <c r="O534" s="144"/>
      <c r="P534" s="144"/>
      <c r="Q534" s="144"/>
      <c r="R534" s="144"/>
      <c r="S534" s="144"/>
      <c r="T534" s="144"/>
      <c r="U534" s="144"/>
      <c r="V534" s="144"/>
      <c r="W534" s="144"/>
      <c r="Y534" s="144"/>
      <c r="Z534" s="144"/>
      <c r="AA534" s="144"/>
      <c r="AB534" s="144"/>
      <c r="AC534" s="144"/>
    </row>
    <row r="535" spans="1:29" x14ac:dyDescent="0.2">
      <c r="A535" s="144"/>
      <c r="B535" s="145"/>
      <c r="C535" s="144"/>
      <c r="D535" s="144"/>
      <c r="E535" s="144"/>
      <c r="F535" s="144"/>
      <c r="G535" s="144"/>
      <c r="H535" s="144"/>
      <c r="I535" s="144"/>
      <c r="J535" s="144"/>
      <c r="K535" s="144"/>
      <c r="M535" s="144"/>
      <c r="N535" s="144"/>
      <c r="O535" s="144"/>
      <c r="P535" s="144"/>
      <c r="Q535" s="144"/>
      <c r="R535" s="144"/>
      <c r="S535" s="144"/>
      <c r="T535" s="144"/>
      <c r="U535" s="144"/>
      <c r="V535" s="144"/>
      <c r="W535" s="144"/>
      <c r="Y535" s="144"/>
      <c r="Z535" s="144"/>
      <c r="AA535" s="144"/>
      <c r="AB535" s="144"/>
      <c r="AC535" s="144"/>
    </row>
    <row r="536" spans="1:29" x14ac:dyDescent="0.2">
      <c r="A536" s="144"/>
      <c r="B536" s="145"/>
      <c r="C536" s="144"/>
      <c r="D536" s="144"/>
      <c r="E536" s="144"/>
      <c r="F536" s="144"/>
      <c r="G536" s="144"/>
      <c r="H536" s="144"/>
      <c r="I536" s="144"/>
      <c r="J536" s="144"/>
      <c r="K536" s="144"/>
      <c r="M536" s="144"/>
      <c r="N536" s="144"/>
      <c r="O536" s="144"/>
      <c r="P536" s="144"/>
      <c r="Q536" s="144"/>
      <c r="R536" s="144"/>
      <c r="S536" s="144"/>
      <c r="T536" s="144"/>
      <c r="U536" s="144"/>
      <c r="V536" s="144"/>
      <c r="W536" s="144"/>
      <c r="Y536" s="144"/>
      <c r="Z536" s="144"/>
      <c r="AA536" s="144"/>
      <c r="AB536" s="144"/>
      <c r="AC536" s="144"/>
    </row>
    <row r="537" spans="1:29" x14ac:dyDescent="0.2">
      <c r="A537" s="144"/>
      <c r="B537" s="145"/>
      <c r="C537" s="144"/>
      <c r="D537" s="144"/>
      <c r="E537" s="144"/>
      <c r="F537" s="144"/>
      <c r="G537" s="144"/>
      <c r="H537" s="144"/>
      <c r="I537" s="144"/>
      <c r="J537" s="144"/>
      <c r="K537" s="144"/>
      <c r="M537" s="144"/>
      <c r="N537" s="144"/>
      <c r="O537" s="144"/>
      <c r="P537" s="144"/>
      <c r="Q537" s="144"/>
      <c r="R537" s="144"/>
      <c r="S537" s="144"/>
      <c r="T537" s="144"/>
      <c r="U537" s="144"/>
      <c r="V537" s="144"/>
      <c r="W537" s="144"/>
      <c r="Y537" s="144"/>
      <c r="Z537" s="144"/>
      <c r="AA537" s="144"/>
      <c r="AB537" s="144"/>
      <c r="AC537" s="144"/>
    </row>
    <row r="538" spans="1:29" x14ac:dyDescent="0.2">
      <c r="A538" s="144"/>
      <c r="B538" s="145"/>
      <c r="C538" s="144"/>
      <c r="D538" s="144"/>
      <c r="E538" s="144"/>
      <c r="F538" s="144"/>
      <c r="G538" s="144"/>
      <c r="H538" s="144"/>
      <c r="I538" s="144"/>
      <c r="J538" s="144"/>
      <c r="K538" s="144"/>
      <c r="M538" s="144"/>
      <c r="N538" s="144"/>
      <c r="O538" s="144"/>
      <c r="P538" s="144"/>
      <c r="Q538" s="144"/>
      <c r="R538" s="144"/>
      <c r="S538" s="144"/>
      <c r="T538" s="144"/>
      <c r="U538" s="144"/>
      <c r="V538" s="144"/>
      <c r="W538" s="144"/>
      <c r="Y538" s="144"/>
      <c r="Z538" s="144"/>
      <c r="AA538" s="144"/>
      <c r="AB538" s="144"/>
      <c r="AC538" s="144"/>
    </row>
    <row r="539" spans="1:29" x14ac:dyDescent="0.2">
      <c r="A539" s="144"/>
      <c r="B539" s="145"/>
      <c r="C539" s="144"/>
      <c r="D539" s="144"/>
      <c r="E539" s="144"/>
      <c r="F539" s="144"/>
      <c r="G539" s="144"/>
      <c r="H539" s="144"/>
      <c r="I539" s="144"/>
      <c r="J539" s="144"/>
      <c r="K539" s="144"/>
      <c r="M539" s="144"/>
      <c r="N539" s="144"/>
      <c r="O539" s="144"/>
      <c r="P539" s="144"/>
      <c r="Q539" s="144"/>
      <c r="R539" s="144"/>
      <c r="S539" s="144"/>
      <c r="T539" s="144"/>
      <c r="U539" s="144"/>
      <c r="V539" s="144"/>
      <c r="W539" s="144"/>
      <c r="Y539" s="144"/>
      <c r="Z539" s="144"/>
      <c r="AA539" s="144"/>
      <c r="AB539" s="144"/>
      <c r="AC539" s="144"/>
    </row>
    <row r="540" spans="1:29" x14ac:dyDescent="0.2">
      <c r="A540" s="144"/>
      <c r="B540" s="145"/>
      <c r="C540" s="144"/>
      <c r="D540" s="144"/>
      <c r="E540" s="144"/>
      <c r="F540" s="144"/>
      <c r="G540" s="144"/>
      <c r="H540" s="144"/>
      <c r="I540" s="144"/>
      <c r="J540" s="144"/>
      <c r="K540" s="144"/>
      <c r="M540" s="144"/>
      <c r="N540" s="144"/>
      <c r="O540" s="144"/>
      <c r="P540" s="144"/>
      <c r="Q540" s="144"/>
      <c r="R540" s="144"/>
      <c r="S540" s="144"/>
      <c r="T540" s="144"/>
      <c r="U540" s="144"/>
      <c r="V540" s="144"/>
      <c r="W540" s="144"/>
      <c r="Y540" s="144"/>
      <c r="Z540" s="144"/>
      <c r="AA540" s="144"/>
      <c r="AB540" s="144"/>
      <c r="AC540" s="144"/>
    </row>
    <row r="541" spans="1:29" x14ac:dyDescent="0.2">
      <c r="A541" s="144"/>
      <c r="B541" s="145"/>
      <c r="C541" s="144"/>
      <c r="D541" s="144"/>
      <c r="E541" s="144"/>
      <c r="F541" s="144"/>
      <c r="G541" s="144"/>
      <c r="H541" s="144"/>
      <c r="I541" s="144"/>
      <c r="J541" s="144"/>
      <c r="K541" s="144"/>
      <c r="M541" s="144"/>
      <c r="N541" s="144"/>
      <c r="O541" s="144"/>
      <c r="P541" s="144"/>
      <c r="Q541" s="144"/>
      <c r="R541" s="144"/>
      <c r="S541" s="144"/>
      <c r="T541" s="144"/>
      <c r="U541" s="144"/>
      <c r="V541" s="144"/>
      <c r="W541" s="144"/>
      <c r="Y541" s="144"/>
      <c r="Z541" s="144"/>
      <c r="AA541" s="144"/>
      <c r="AB541" s="144"/>
      <c r="AC541" s="144"/>
    </row>
    <row r="542" spans="1:29" x14ac:dyDescent="0.2">
      <c r="A542" s="144"/>
      <c r="B542" s="145"/>
      <c r="C542" s="144"/>
      <c r="D542" s="144"/>
      <c r="E542" s="144"/>
      <c r="F542" s="144"/>
      <c r="G542" s="144"/>
      <c r="H542" s="144"/>
      <c r="I542" s="144"/>
      <c r="J542" s="144"/>
      <c r="K542" s="144"/>
      <c r="M542" s="144"/>
      <c r="N542" s="144"/>
      <c r="O542" s="144"/>
      <c r="P542" s="144"/>
      <c r="Q542" s="144"/>
      <c r="R542" s="144"/>
      <c r="S542" s="144"/>
      <c r="T542" s="144"/>
      <c r="U542" s="144"/>
      <c r="V542" s="144"/>
      <c r="W542" s="144"/>
      <c r="Y542" s="144"/>
      <c r="Z542" s="144"/>
      <c r="AA542" s="144"/>
      <c r="AB542" s="144"/>
      <c r="AC542" s="144"/>
    </row>
    <row r="543" spans="1:29" x14ac:dyDescent="0.2">
      <c r="A543" s="144"/>
      <c r="B543" s="145"/>
      <c r="C543" s="144"/>
      <c r="D543" s="144"/>
      <c r="E543" s="144"/>
      <c r="F543" s="144"/>
      <c r="G543" s="144"/>
      <c r="H543" s="144"/>
      <c r="I543" s="144"/>
      <c r="J543" s="144"/>
      <c r="K543" s="144"/>
      <c r="M543" s="144"/>
      <c r="N543" s="144"/>
      <c r="O543" s="144"/>
      <c r="P543" s="144"/>
      <c r="Q543" s="144"/>
      <c r="R543" s="144"/>
      <c r="S543" s="144"/>
      <c r="T543" s="144"/>
      <c r="U543" s="144"/>
      <c r="V543" s="144"/>
      <c r="W543" s="144"/>
      <c r="Y543" s="144"/>
      <c r="Z543" s="144"/>
      <c r="AA543" s="144"/>
      <c r="AB543" s="144"/>
      <c r="AC543" s="144"/>
    </row>
    <row r="544" spans="1:29" x14ac:dyDescent="0.2">
      <c r="A544" s="144"/>
      <c r="B544" s="145"/>
      <c r="C544" s="144"/>
      <c r="D544" s="144"/>
      <c r="E544" s="144"/>
      <c r="F544" s="144"/>
      <c r="G544" s="144"/>
      <c r="H544" s="144"/>
      <c r="I544" s="144"/>
      <c r="J544" s="144"/>
      <c r="K544" s="144"/>
      <c r="M544" s="144"/>
      <c r="N544" s="144"/>
      <c r="O544" s="144"/>
      <c r="P544" s="144"/>
      <c r="Q544" s="144"/>
      <c r="R544" s="144"/>
      <c r="S544" s="144"/>
      <c r="T544" s="144"/>
      <c r="U544" s="144"/>
      <c r="V544" s="144"/>
      <c r="W544" s="144"/>
      <c r="Y544" s="144"/>
      <c r="Z544" s="144"/>
      <c r="AA544" s="144"/>
      <c r="AB544" s="144"/>
      <c r="AC544" s="144"/>
    </row>
    <row r="545" spans="1:29" x14ac:dyDescent="0.2">
      <c r="A545" s="144"/>
      <c r="B545" s="145"/>
      <c r="C545" s="144"/>
      <c r="D545" s="144"/>
      <c r="E545" s="144"/>
      <c r="F545" s="144"/>
      <c r="G545" s="144"/>
      <c r="H545" s="144"/>
      <c r="I545" s="144"/>
      <c r="J545" s="144"/>
      <c r="K545" s="144"/>
      <c r="M545" s="144"/>
      <c r="N545" s="144"/>
      <c r="O545" s="144"/>
      <c r="P545" s="144"/>
      <c r="Q545" s="144"/>
      <c r="R545" s="144"/>
      <c r="S545" s="144"/>
      <c r="T545" s="144"/>
      <c r="U545" s="144"/>
      <c r="V545" s="144"/>
      <c r="W545" s="144"/>
      <c r="Y545" s="144"/>
      <c r="Z545" s="144"/>
      <c r="AA545" s="144"/>
      <c r="AB545" s="144"/>
      <c r="AC545" s="144"/>
    </row>
    <row r="546" spans="1:29" x14ac:dyDescent="0.2">
      <c r="A546" s="144"/>
      <c r="B546" s="145"/>
      <c r="C546" s="144"/>
      <c r="D546" s="144"/>
      <c r="E546" s="144"/>
      <c r="F546" s="144"/>
      <c r="G546" s="144"/>
      <c r="H546" s="144"/>
      <c r="I546" s="144"/>
      <c r="J546" s="144"/>
      <c r="K546" s="144"/>
      <c r="M546" s="144"/>
      <c r="N546" s="144"/>
      <c r="O546" s="144"/>
      <c r="P546" s="144"/>
      <c r="Q546" s="144"/>
      <c r="R546" s="144"/>
      <c r="S546" s="144"/>
      <c r="T546" s="144"/>
      <c r="U546" s="144"/>
      <c r="V546" s="144"/>
      <c r="W546" s="144"/>
      <c r="Y546" s="144"/>
      <c r="Z546" s="144"/>
      <c r="AA546" s="144"/>
      <c r="AB546" s="144"/>
      <c r="AC546" s="144"/>
    </row>
    <row r="547" spans="1:29" x14ac:dyDescent="0.2">
      <c r="A547" s="144"/>
      <c r="B547" s="145"/>
      <c r="C547" s="144"/>
      <c r="D547" s="144"/>
      <c r="E547" s="144"/>
      <c r="F547" s="144"/>
      <c r="G547" s="144"/>
      <c r="H547" s="144"/>
      <c r="I547" s="144"/>
      <c r="J547" s="144"/>
      <c r="K547" s="144"/>
      <c r="M547" s="144"/>
      <c r="N547" s="144"/>
      <c r="O547" s="144"/>
      <c r="P547" s="144"/>
      <c r="Q547" s="144"/>
      <c r="R547" s="144"/>
      <c r="S547" s="144"/>
      <c r="T547" s="144"/>
      <c r="U547" s="144"/>
      <c r="V547" s="144"/>
      <c r="W547" s="144"/>
      <c r="Y547" s="144"/>
      <c r="Z547" s="144"/>
      <c r="AA547" s="144"/>
      <c r="AB547" s="144"/>
      <c r="AC547" s="144"/>
    </row>
    <row r="548" spans="1:29" x14ac:dyDescent="0.2">
      <c r="A548" s="144"/>
      <c r="B548" s="145"/>
      <c r="C548" s="144"/>
      <c r="D548" s="144"/>
      <c r="E548" s="144"/>
      <c r="F548" s="144"/>
      <c r="G548" s="144"/>
      <c r="H548" s="144"/>
      <c r="I548" s="144"/>
      <c r="J548" s="144"/>
      <c r="K548" s="144"/>
      <c r="M548" s="144"/>
      <c r="N548" s="144"/>
      <c r="O548" s="144"/>
      <c r="P548" s="144"/>
      <c r="Q548" s="144"/>
      <c r="R548" s="144"/>
      <c r="S548" s="144"/>
      <c r="T548" s="144"/>
      <c r="U548" s="144"/>
      <c r="V548" s="144"/>
      <c r="W548" s="144"/>
      <c r="Y548" s="144"/>
      <c r="Z548" s="144"/>
      <c r="AA548" s="144"/>
      <c r="AB548" s="144"/>
      <c r="AC548" s="144"/>
    </row>
    <row r="549" spans="1:29" x14ac:dyDescent="0.2">
      <c r="A549" s="144"/>
      <c r="B549" s="145"/>
      <c r="C549" s="144"/>
      <c r="D549" s="144"/>
      <c r="E549" s="144"/>
      <c r="F549" s="144"/>
      <c r="G549" s="144"/>
      <c r="H549" s="144"/>
      <c r="I549" s="144"/>
      <c r="J549" s="144"/>
      <c r="K549" s="144"/>
      <c r="M549" s="144"/>
      <c r="N549" s="144"/>
      <c r="O549" s="144"/>
      <c r="P549" s="144"/>
      <c r="Q549" s="144"/>
      <c r="R549" s="144"/>
      <c r="S549" s="144"/>
      <c r="T549" s="144"/>
      <c r="U549" s="144"/>
      <c r="V549" s="144"/>
      <c r="W549" s="144"/>
      <c r="Y549" s="144"/>
      <c r="Z549" s="144"/>
      <c r="AA549" s="144"/>
      <c r="AB549" s="144"/>
      <c r="AC549" s="144"/>
    </row>
    <row r="550" spans="1:29" x14ac:dyDescent="0.2">
      <c r="A550" s="144"/>
      <c r="B550" s="145"/>
      <c r="C550" s="144"/>
      <c r="D550" s="144"/>
      <c r="E550" s="144"/>
      <c r="F550" s="144"/>
      <c r="G550" s="144"/>
      <c r="H550" s="144"/>
      <c r="I550" s="144"/>
      <c r="J550" s="144"/>
      <c r="K550" s="144"/>
      <c r="M550" s="144"/>
      <c r="N550" s="144"/>
      <c r="O550" s="144"/>
      <c r="P550" s="144"/>
      <c r="Q550" s="144"/>
      <c r="R550" s="144"/>
      <c r="S550" s="144"/>
      <c r="T550" s="144"/>
      <c r="U550" s="144"/>
      <c r="V550" s="144"/>
      <c r="W550" s="144"/>
      <c r="Y550" s="144"/>
      <c r="Z550" s="144"/>
      <c r="AA550" s="144"/>
      <c r="AB550" s="144"/>
      <c r="AC550" s="144"/>
    </row>
    <row r="551" spans="1:29" x14ac:dyDescent="0.2">
      <c r="A551" s="144"/>
      <c r="B551" s="145"/>
      <c r="C551" s="144"/>
      <c r="D551" s="144"/>
      <c r="E551" s="144"/>
      <c r="F551" s="144"/>
      <c r="G551" s="144"/>
      <c r="H551" s="144"/>
      <c r="I551" s="144"/>
      <c r="J551" s="144"/>
      <c r="K551" s="144"/>
      <c r="M551" s="144"/>
      <c r="N551" s="144"/>
      <c r="O551" s="144"/>
      <c r="P551" s="144"/>
      <c r="Q551" s="144"/>
      <c r="R551" s="144"/>
      <c r="S551" s="144"/>
      <c r="T551" s="144"/>
      <c r="U551" s="144"/>
      <c r="V551" s="144"/>
      <c r="W551" s="144"/>
      <c r="Y551" s="144"/>
      <c r="Z551" s="144"/>
      <c r="AA551" s="144"/>
      <c r="AB551" s="144"/>
      <c r="AC551" s="144"/>
    </row>
    <row r="552" spans="1:29" x14ac:dyDescent="0.2">
      <c r="A552" s="144"/>
      <c r="B552" s="145"/>
      <c r="C552" s="144"/>
      <c r="D552" s="144"/>
      <c r="E552" s="144"/>
      <c r="F552" s="144"/>
      <c r="G552" s="144"/>
      <c r="H552" s="144"/>
      <c r="I552" s="144"/>
      <c r="J552" s="144"/>
      <c r="K552" s="144"/>
      <c r="M552" s="144"/>
      <c r="N552" s="144"/>
      <c r="O552" s="144"/>
      <c r="P552" s="144"/>
      <c r="Q552" s="144"/>
      <c r="R552" s="144"/>
      <c r="S552" s="144"/>
      <c r="T552" s="144"/>
      <c r="U552" s="144"/>
      <c r="V552" s="144"/>
      <c r="W552" s="144"/>
      <c r="Y552" s="144"/>
      <c r="Z552" s="144"/>
      <c r="AA552" s="144"/>
      <c r="AB552" s="144"/>
      <c r="AC552" s="144"/>
    </row>
    <row r="553" spans="1:29" x14ac:dyDescent="0.2">
      <c r="A553" s="144"/>
      <c r="B553" s="145"/>
      <c r="C553" s="144"/>
      <c r="D553" s="144"/>
      <c r="E553" s="144"/>
      <c r="F553" s="144"/>
      <c r="G553" s="144"/>
      <c r="H553" s="144"/>
      <c r="I553" s="144"/>
      <c r="J553" s="144"/>
      <c r="K553" s="144"/>
      <c r="M553" s="144"/>
      <c r="N553" s="144"/>
      <c r="O553" s="144"/>
      <c r="P553" s="144"/>
      <c r="Q553" s="144"/>
      <c r="R553" s="144"/>
      <c r="S553" s="144"/>
      <c r="T553" s="144"/>
      <c r="U553" s="144"/>
      <c r="V553" s="144"/>
      <c r="W553" s="144"/>
      <c r="Y553" s="144"/>
      <c r="Z553" s="144"/>
      <c r="AA553" s="144"/>
      <c r="AB553" s="144"/>
      <c r="AC553" s="144"/>
    </row>
    <row r="554" spans="1:29" x14ac:dyDescent="0.2">
      <c r="A554" s="144"/>
      <c r="B554" s="145"/>
      <c r="C554" s="144"/>
      <c r="D554" s="144"/>
      <c r="E554" s="144"/>
      <c r="F554" s="144"/>
      <c r="G554" s="144"/>
      <c r="H554" s="144"/>
      <c r="I554" s="144"/>
      <c r="J554" s="144"/>
      <c r="K554" s="144"/>
      <c r="M554" s="144"/>
      <c r="N554" s="144"/>
      <c r="O554" s="144"/>
      <c r="P554" s="144"/>
      <c r="Q554" s="144"/>
      <c r="R554" s="144"/>
      <c r="S554" s="144"/>
      <c r="T554" s="144"/>
      <c r="U554" s="144"/>
      <c r="V554" s="144"/>
      <c r="W554" s="144"/>
      <c r="Y554" s="144"/>
      <c r="Z554" s="144"/>
      <c r="AA554" s="144"/>
      <c r="AB554" s="144"/>
      <c r="AC554" s="144"/>
    </row>
    <row r="555" spans="1:29" x14ac:dyDescent="0.2">
      <c r="A555" s="144"/>
      <c r="B555" s="145"/>
      <c r="C555" s="144"/>
      <c r="D555" s="144"/>
      <c r="E555" s="144"/>
      <c r="F555" s="144"/>
      <c r="G555" s="144"/>
      <c r="H555" s="144"/>
      <c r="I555" s="144"/>
      <c r="J555" s="144"/>
      <c r="K555" s="144"/>
      <c r="M555" s="144"/>
      <c r="N555" s="144"/>
      <c r="O555" s="144"/>
      <c r="P555" s="144"/>
      <c r="Q555" s="144"/>
      <c r="R555" s="144"/>
      <c r="S555" s="144"/>
      <c r="T555" s="144"/>
      <c r="U555" s="144"/>
      <c r="V555" s="144"/>
      <c r="W555" s="144"/>
      <c r="Y555" s="144"/>
      <c r="Z555" s="144"/>
      <c r="AA555" s="144"/>
      <c r="AB555" s="144"/>
      <c r="AC555" s="144"/>
    </row>
    <row r="556" spans="1:29" x14ac:dyDescent="0.2">
      <c r="A556" s="144"/>
      <c r="B556" s="145"/>
      <c r="C556" s="144"/>
      <c r="D556" s="144"/>
      <c r="E556" s="144"/>
      <c r="F556" s="144"/>
      <c r="G556" s="144"/>
      <c r="H556" s="144"/>
      <c r="I556" s="144"/>
      <c r="J556" s="144"/>
      <c r="K556" s="144"/>
      <c r="M556" s="144"/>
      <c r="N556" s="144"/>
      <c r="O556" s="144"/>
      <c r="P556" s="144"/>
      <c r="Q556" s="144"/>
      <c r="R556" s="144"/>
      <c r="S556" s="144"/>
      <c r="T556" s="144"/>
      <c r="U556" s="144"/>
      <c r="V556" s="144"/>
      <c r="W556" s="144"/>
      <c r="Y556" s="144"/>
      <c r="Z556" s="144"/>
      <c r="AA556" s="144"/>
      <c r="AB556" s="144"/>
      <c r="AC556" s="144"/>
    </row>
    <row r="557" spans="1:29" x14ac:dyDescent="0.2">
      <c r="A557" s="144"/>
      <c r="B557" s="145"/>
      <c r="C557" s="144"/>
      <c r="D557" s="144"/>
      <c r="E557" s="144"/>
      <c r="F557" s="144"/>
      <c r="G557" s="144"/>
      <c r="H557" s="144"/>
      <c r="I557" s="144"/>
      <c r="J557" s="144"/>
      <c r="K557" s="144"/>
      <c r="M557" s="144"/>
      <c r="N557" s="144"/>
      <c r="O557" s="144"/>
      <c r="P557" s="144"/>
      <c r="Q557" s="144"/>
      <c r="R557" s="144"/>
      <c r="S557" s="144"/>
      <c r="T557" s="144"/>
      <c r="U557" s="144"/>
      <c r="V557" s="144"/>
      <c r="W557" s="144"/>
      <c r="Y557" s="144"/>
      <c r="Z557" s="144"/>
      <c r="AA557" s="144"/>
      <c r="AB557" s="144"/>
      <c r="AC557" s="144"/>
    </row>
    <row r="558" spans="1:29" x14ac:dyDescent="0.2">
      <c r="A558" s="144"/>
      <c r="B558" s="145"/>
      <c r="C558" s="144"/>
      <c r="D558" s="144"/>
      <c r="E558" s="144"/>
      <c r="F558" s="144"/>
      <c r="G558" s="144"/>
      <c r="H558" s="144"/>
      <c r="I558" s="144"/>
      <c r="J558" s="144"/>
      <c r="K558" s="144"/>
      <c r="M558" s="144"/>
      <c r="N558" s="144"/>
      <c r="O558" s="144"/>
      <c r="P558" s="144"/>
      <c r="Q558" s="144"/>
      <c r="R558" s="144"/>
      <c r="S558" s="144"/>
      <c r="T558" s="144"/>
      <c r="U558" s="144"/>
      <c r="V558" s="144"/>
      <c r="W558" s="144"/>
      <c r="Y558" s="144"/>
      <c r="Z558" s="144"/>
      <c r="AA558" s="144"/>
      <c r="AB558" s="144"/>
      <c r="AC558" s="144"/>
    </row>
    <row r="559" spans="1:29" x14ac:dyDescent="0.2">
      <c r="A559" s="144"/>
      <c r="B559" s="145"/>
      <c r="C559" s="144"/>
      <c r="D559" s="144"/>
      <c r="E559" s="144"/>
      <c r="F559" s="144"/>
      <c r="G559" s="144"/>
      <c r="H559" s="144"/>
      <c r="I559" s="144"/>
      <c r="J559" s="144"/>
      <c r="K559" s="144"/>
      <c r="M559" s="144"/>
      <c r="N559" s="144"/>
      <c r="O559" s="144"/>
      <c r="P559" s="144"/>
      <c r="Q559" s="144"/>
      <c r="R559" s="144"/>
      <c r="S559" s="144"/>
      <c r="T559" s="144"/>
      <c r="U559" s="144"/>
      <c r="V559" s="144"/>
      <c r="W559" s="144"/>
      <c r="Y559" s="144"/>
      <c r="Z559" s="144"/>
      <c r="AA559" s="144"/>
      <c r="AB559" s="144"/>
      <c r="AC559" s="144"/>
    </row>
    <row r="560" spans="1:29" x14ac:dyDescent="0.2">
      <c r="A560" s="144"/>
      <c r="B560" s="145"/>
      <c r="C560" s="144"/>
      <c r="D560" s="144"/>
      <c r="E560" s="144"/>
      <c r="F560" s="144"/>
      <c r="G560" s="144"/>
      <c r="H560" s="144"/>
      <c r="I560" s="144"/>
      <c r="J560" s="144"/>
      <c r="K560" s="144"/>
      <c r="M560" s="144"/>
      <c r="N560" s="144"/>
      <c r="O560" s="144"/>
      <c r="P560" s="144"/>
      <c r="Q560" s="144"/>
      <c r="R560" s="144"/>
      <c r="S560" s="144"/>
      <c r="T560" s="144"/>
      <c r="U560" s="144"/>
      <c r="V560" s="144"/>
      <c r="W560" s="144"/>
      <c r="Y560" s="144"/>
      <c r="Z560" s="144"/>
      <c r="AA560" s="144"/>
      <c r="AB560" s="144"/>
      <c r="AC560" s="144"/>
    </row>
    <row r="561" spans="1:29" x14ac:dyDescent="0.2">
      <c r="A561" s="144"/>
      <c r="B561" s="145"/>
      <c r="C561" s="144"/>
      <c r="D561" s="144"/>
      <c r="E561" s="144"/>
      <c r="F561" s="144"/>
      <c r="G561" s="144"/>
      <c r="H561" s="144"/>
      <c r="I561" s="144"/>
      <c r="J561" s="144"/>
      <c r="K561" s="144"/>
      <c r="M561" s="144"/>
      <c r="N561" s="144"/>
      <c r="O561" s="144"/>
      <c r="P561" s="144"/>
      <c r="Q561" s="144"/>
      <c r="R561" s="144"/>
      <c r="S561" s="144"/>
      <c r="T561" s="144"/>
      <c r="U561" s="144"/>
      <c r="V561" s="144"/>
      <c r="W561" s="144"/>
      <c r="Y561" s="144"/>
      <c r="Z561" s="144"/>
      <c r="AA561" s="144"/>
      <c r="AB561" s="144"/>
      <c r="AC561" s="144"/>
    </row>
    <row r="562" spans="1:29" x14ac:dyDescent="0.2">
      <c r="A562" s="144"/>
      <c r="B562" s="145"/>
      <c r="C562" s="144"/>
      <c r="D562" s="144"/>
      <c r="E562" s="144"/>
      <c r="F562" s="144"/>
      <c r="G562" s="144"/>
      <c r="H562" s="144"/>
      <c r="I562" s="144"/>
      <c r="J562" s="144"/>
      <c r="K562" s="144"/>
      <c r="M562" s="144"/>
      <c r="N562" s="144"/>
      <c r="O562" s="144"/>
      <c r="P562" s="144"/>
      <c r="Q562" s="144"/>
      <c r="R562" s="144"/>
      <c r="S562" s="144"/>
      <c r="T562" s="144"/>
      <c r="U562" s="144"/>
      <c r="V562" s="144"/>
      <c r="W562" s="144"/>
      <c r="Y562" s="144"/>
      <c r="Z562" s="144"/>
      <c r="AA562" s="144"/>
      <c r="AB562" s="144"/>
      <c r="AC562" s="144"/>
    </row>
    <row r="563" spans="1:29" x14ac:dyDescent="0.2">
      <c r="A563" s="144"/>
      <c r="B563" s="145"/>
      <c r="C563" s="144"/>
      <c r="D563" s="144"/>
      <c r="E563" s="144"/>
      <c r="F563" s="144"/>
      <c r="G563" s="144"/>
      <c r="H563" s="144"/>
      <c r="I563" s="144"/>
      <c r="J563" s="144"/>
      <c r="K563" s="144"/>
      <c r="M563" s="144"/>
      <c r="N563" s="144"/>
      <c r="O563" s="144"/>
      <c r="P563" s="144"/>
      <c r="Q563" s="144"/>
      <c r="R563" s="144"/>
      <c r="S563" s="144"/>
      <c r="T563" s="144"/>
      <c r="U563" s="144"/>
      <c r="V563" s="144"/>
      <c r="W563" s="144"/>
      <c r="Y563" s="144"/>
      <c r="Z563" s="144"/>
      <c r="AA563" s="144"/>
      <c r="AB563" s="144"/>
      <c r="AC563" s="144"/>
    </row>
    <row r="564" spans="1:29" x14ac:dyDescent="0.2">
      <c r="A564" s="144"/>
      <c r="B564" s="145"/>
      <c r="C564" s="144"/>
      <c r="D564" s="144"/>
      <c r="E564" s="144"/>
      <c r="F564" s="144"/>
      <c r="G564" s="144"/>
      <c r="H564" s="144"/>
      <c r="I564" s="144"/>
      <c r="J564" s="144"/>
      <c r="K564" s="144"/>
      <c r="M564" s="144"/>
      <c r="N564" s="144"/>
      <c r="O564" s="144"/>
      <c r="P564" s="144"/>
      <c r="Q564" s="144"/>
      <c r="R564" s="144"/>
      <c r="S564" s="144"/>
      <c r="T564" s="144"/>
      <c r="U564" s="144"/>
      <c r="V564" s="144"/>
      <c r="W564" s="144"/>
      <c r="Y564" s="144"/>
      <c r="Z564" s="144"/>
      <c r="AA564" s="144"/>
      <c r="AB564" s="144"/>
      <c r="AC564" s="144"/>
    </row>
    <row r="565" spans="1:29" x14ac:dyDescent="0.2">
      <c r="A565" s="144"/>
      <c r="B565" s="145"/>
      <c r="C565" s="144"/>
      <c r="D565" s="144"/>
      <c r="E565" s="144"/>
      <c r="F565" s="144"/>
      <c r="G565" s="144"/>
      <c r="H565" s="144"/>
      <c r="I565" s="144"/>
      <c r="J565" s="144"/>
      <c r="K565" s="144"/>
      <c r="M565" s="144"/>
      <c r="N565" s="144"/>
      <c r="O565" s="144"/>
      <c r="P565" s="144"/>
      <c r="Q565" s="144"/>
      <c r="R565" s="144"/>
      <c r="S565" s="144"/>
      <c r="T565" s="144"/>
      <c r="U565" s="144"/>
      <c r="V565" s="144"/>
      <c r="W565" s="144"/>
      <c r="Y565" s="144"/>
      <c r="Z565" s="144"/>
      <c r="AA565" s="144"/>
      <c r="AB565" s="144"/>
      <c r="AC565" s="144"/>
    </row>
    <row r="566" spans="1:29" x14ac:dyDescent="0.2">
      <c r="A566" s="144"/>
      <c r="B566" s="145"/>
      <c r="C566" s="144"/>
      <c r="D566" s="144"/>
      <c r="E566" s="144"/>
      <c r="F566" s="144"/>
      <c r="G566" s="144"/>
      <c r="H566" s="144"/>
      <c r="I566" s="144"/>
      <c r="J566" s="144"/>
      <c r="K566" s="144"/>
      <c r="M566" s="144"/>
      <c r="N566" s="144"/>
      <c r="O566" s="144"/>
      <c r="P566" s="144"/>
      <c r="Q566" s="144"/>
      <c r="R566" s="144"/>
      <c r="S566" s="144"/>
      <c r="T566" s="144"/>
      <c r="U566" s="144"/>
      <c r="V566" s="144"/>
      <c r="W566" s="144"/>
      <c r="Y566" s="144"/>
      <c r="Z566" s="144"/>
      <c r="AA566" s="144"/>
      <c r="AB566" s="144"/>
      <c r="AC566" s="144"/>
    </row>
    <row r="567" spans="1:29" x14ac:dyDescent="0.2">
      <c r="A567" s="144"/>
      <c r="B567" s="145"/>
      <c r="C567" s="144"/>
      <c r="D567" s="144"/>
      <c r="E567" s="144"/>
      <c r="F567" s="144"/>
      <c r="G567" s="144"/>
      <c r="H567" s="144"/>
      <c r="I567" s="144"/>
      <c r="J567" s="144"/>
      <c r="K567" s="144"/>
      <c r="M567" s="144"/>
      <c r="N567" s="144"/>
      <c r="O567" s="144"/>
      <c r="P567" s="144"/>
      <c r="Q567" s="144"/>
      <c r="R567" s="144"/>
      <c r="S567" s="144"/>
      <c r="T567" s="144"/>
      <c r="U567" s="144"/>
      <c r="V567" s="144"/>
      <c r="W567" s="144"/>
      <c r="Y567" s="144"/>
      <c r="Z567" s="144"/>
      <c r="AA567" s="144"/>
      <c r="AB567" s="144"/>
      <c r="AC567" s="144"/>
    </row>
    <row r="568" spans="1:29" x14ac:dyDescent="0.2">
      <c r="A568" s="144"/>
      <c r="B568" s="145"/>
      <c r="C568" s="144"/>
      <c r="D568" s="144"/>
      <c r="E568" s="144"/>
      <c r="F568" s="144"/>
      <c r="G568" s="144"/>
      <c r="H568" s="144"/>
      <c r="I568" s="144"/>
      <c r="J568" s="144"/>
      <c r="K568" s="144"/>
      <c r="M568" s="144"/>
      <c r="N568" s="144"/>
      <c r="O568" s="144"/>
      <c r="P568" s="144"/>
      <c r="Q568" s="144"/>
      <c r="R568" s="144"/>
      <c r="S568" s="144"/>
      <c r="T568" s="144"/>
      <c r="U568" s="144"/>
      <c r="V568" s="144"/>
      <c r="W568" s="144"/>
      <c r="Y568" s="144"/>
      <c r="Z568" s="144"/>
      <c r="AA568" s="144"/>
      <c r="AB568" s="144"/>
      <c r="AC568" s="144"/>
    </row>
    <row r="569" spans="1:29" x14ac:dyDescent="0.2">
      <c r="A569" s="144"/>
      <c r="B569" s="145"/>
      <c r="C569" s="144"/>
      <c r="D569" s="144"/>
      <c r="E569" s="144"/>
      <c r="F569" s="144"/>
      <c r="G569" s="144"/>
      <c r="H569" s="144"/>
      <c r="I569" s="144"/>
      <c r="J569" s="144"/>
      <c r="K569" s="144"/>
      <c r="M569" s="144"/>
      <c r="N569" s="144"/>
      <c r="O569" s="144"/>
      <c r="P569" s="144"/>
      <c r="Q569" s="144"/>
      <c r="R569" s="144"/>
      <c r="S569" s="144"/>
      <c r="T569" s="144"/>
      <c r="U569" s="144"/>
      <c r="V569" s="144"/>
      <c r="W569" s="144"/>
      <c r="Y569" s="144"/>
      <c r="Z569" s="144"/>
      <c r="AA569" s="144"/>
      <c r="AB569" s="144"/>
      <c r="AC569" s="144"/>
    </row>
    <row r="570" spans="1:29" x14ac:dyDescent="0.2">
      <c r="A570" s="144"/>
      <c r="B570" s="145"/>
      <c r="C570" s="144"/>
      <c r="D570" s="144"/>
      <c r="E570" s="144"/>
      <c r="F570" s="144"/>
      <c r="G570" s="144"/>
      <c r="H570" s="144"/>
      <c r="I570" s="144"/>
      <c r="J570" s="144"/>
      <c r="K570" s="144"/>
      <c r="M570" s="144"/>
      <c r="N570" s="144"/>
      <c r="O570" s="144"/>
      <c r="P570" s="144"/>
      <c r="Q570" s="144"/>
      <c r="R570" s="144"/>
      <c r="S570" s="144"/>
      <c r="T570" s="144"/>
      <c r="U570" s="144"/>
      <c r="V570" s="144"/>
      <c r="W570" s="144"/>
      <c r="Y570" s="144"/>
      <c r="Z570" s="144"/>
      <c r="AA570" s="144"/>
      <c r="AB570" s="144"/>
      <c r="AC570" s="144"/>
    </row>
    <row r="571" spans="1:29" x14ac:dyDescent="0.2">
      <c r="A571" s="144"/>
      <c r="B571" s="145"/>
      <c r="C571" s="144"/>
      <c r="D571" s="144"/>
      <c r="E571" s="144"/>
      <c r="F571" s="144"/>
      <c r="G571" s="144"/>
      <c r="H571" s="144"/>
      <c r="I571" s="144"/>
      <c r="J571" s="144"/>
      <c r="K571" s="144"/>
      <c r="M571" s="144"/>
      <c r="N571" s="144"/>
      <c r="O571" s="144"/>
      <c r="P571" s="144"/>
      <c r="Q571" s="144"/>
      <c r="R571" s="144"/>
      <c r="S571" s="144"/>
      <c r="T571" s="144"/>
      <c r="U571" s="144"/>
      <c r="V571" s="144"/>
      <c r="W571" s="144"/>
      <c r="Y571" s="144"/>
      <c r="Z571" s="144"/>
      <c r="AA571" s="144"/>
      <c r="AB571" s="144"/>
      <c r="AC571" s="144"/>
    </row>
    <row r="572" spans="1:29" x14ac:dyDescent="0.2">
      <c r="A572" s="144"/>
      <c r="B572" s="145"/>
      <c r="C572" s="144"/>
      <c r="D572" s="144"/>
      <c r="E572" s="144"/>
      <c r="F572" s="144"/>
      <c r="G572" s="144"/>
      <c r="H572" s="144"/>
      <c r="I572" s="144"/>
      <c r="J572" s="144"/>
      <c r="K572" s="144"/>
      <c r="M572" s="144"/>
      <c r="N572" s="144"/>
      <c r="O572" s="144"/>
      <c r="P572" s="144"/>
      <c r="Q572" s="144"/>
      <c r="R572" s="144"/>
      <c r="S572" s="144"/>
      <c r="T572" s="144"/>
      <c r="U572" s="144"/>
      <c r="V572" s="144"/>
      <c r="W572" s="144"/>
      <c r="Y572" s="144"/>
      <c r="Z572" s="144"/>
      <c r="AA572" s="144"/>
      <c r="AB572" s="144"/>
      <c r="AC572" s="144"/>
    </row>
    <row r="573" spans="1:29" x14ac:dyDescent="0.2">
      <c r="A573" s="144"/>
      <c r="B573" s="145"/>
      <c r="C573" s="144"/>
      <c r="D573" s="144"/>
      <c r="E573" s="144"/>
      <c r="F573" s="144"/>
      <c r="G573" s="144"/>
      <c r="H573" s="144"/>
      <c r="I573" s="144"/>
      <c r="J573" s="144"/>
      <c r="K573" s="144"/>
      <c r="M573" s="144"/>
      <c r="N573" s="144"/>
      <c r="O573" s="144"/>
      <c r="P573" s="144"/>
      <c r="Q573" s="144"/>
      <c r="R573" s="144"/>
      <c r="S573" s="144"/>
      <c r="T573" s="144"/>
      <c r="U573" s="144"/>
      <c r="V573" s="144"/>
      <c r="W573" s="144"/>
      <c r="Y573" s="144"/>
      <c r="Z573" s="144"/>
      <c r="AA573" s="144"/>
      <c r="AB573" s="144"/>
      <c r="AC573" s="144"/>
    </row>
    <row r="574" spans="1:29" x14ac:dyDescent="0.2">
      <c r="A574" s="144"/>
      <c r="B574" s="145"/>
      <c r="C574" s="144"/>
      <c r="D574" s="144"/>
      <c r="E574" s="144"/>
      <c r="F574" s="144"/>
      <c r="G574" s="144"/>
      <c r="H574" s="144"/>
      <c r="I574" s="144"/>
      <c r="J574" s="144"/>
      <c r="K574" s="144"/>
      <c r="M574" s="144"/>
      <c r="N574" s="144"/>
      <c r="O574" s="144"/>
      <c r="P574" s="144"/>
      <c r="Q574" s="144"/>
      <c r="R574" s="144"/>
      <c r="S574" s="144"/>
      <c r="T574" s="144"/>
      <c r="U574" s="144"/>
      <c r="V574" s="144"/>
      <c r="W574" s="144"/>
      <c r="Y574" s="144"/>
      <c r="Z574" s="144"/>
      <c r="AA574" s="144"/>
      <c r="AB574" s="144"/>
      <c r="AC574" s="144"/>
    </row>
    <row r="575" spans="1:29" x14ac:dyDescent="0.2">
      <c r="A575" s="144"/>
      <c r="B575" s="145"/>
      <c r="C575" s="144"/>
      <c r="D575" s="144"/>
      <c r="E575" s="144"/>
      <c r="F575" s="144"/>
      <c r="G575" s="144"/>
      <c r="H575" s="144"/>
      <c r="I575" s="144"/>
      <c r="J575" s="144"/>
      <c r="K575" s="144"/>
      <c r="M575" s="144"/>
      <c r="N575" s="144"/>
      <c r="O575" s="144"/>
      <c r="P575" s="144"/>
      <c r="Q575" s="144"/>
      <c r="R575" s="144"/>
      <c r="S575" s="144"/>
      <c r="T575" s="144"/>
      <c r="U575" s="144"/>
      <c r="V575" s="144"/>
      <c r="W575" s="144"/>
      <c r="Y575" s="144"/>
      <c r="Z575" s="144"/>
      <c r="AA575" s="144"/>
      <c r="AB575" s="144"/>
      <c r="AC575" s="144"/>
    </row>
    <row r="576" spans="1:29" x14ac:dyDescent="0.2">
      <c r="A576" s="144"/>
      <c r="B576" s="145"/>
      <c r="C576" s="144"/>
      <c r="D576" s="144"/>
      <c r="E576" s="144"/>
      <c r="F576" s="144"/>
      <c r="G576" s="144"/>
      <c r="H576" s="144"/>
      <c r="I576" s="144"/>
      <c r="J576" s="144"/>
      <c r="K576" s="144"/>
      <c r="M576" s="144"/>
      <c r="N576" s="144"/>
      <c r="O576" s="144"/>
      <c r="P576" s="144"/>
      <c r="Q576" s="144"/>
      <c r="R576" s="144"/>
      <c r="S576" s="144"/>
      <c r="T576" s="144"/>
      <c r="U576" s="144"/>
      <c r="V576" s="144"/>
      <c r="W576" s="144"/>
      <c r="Y576" s="144"/>
      <c r="Z576" s="144"/>
      <c r="AA576" s="144"/>
      <c r="AB576" s="144"/>
      <c r="AC576" s="144"/>
    </row>
    <row r="577" spans="1:29" x14ac:dyDescent="0.2">
      <c r="A577" s="144"/>
      <c r="B577" s="145"/>
      <c r="C577" s="144"/>
      <c r="D577" s="144"/>
      <c r="E577" s="144"/>
      <c r="F577" s="144"/>
      <c r="G577" s="144"/>
      <c r="H577" s="144"/>
      <c r="I577" s="144"/>
      <c r="J577" s="144"/>
      <c r="K577" s="144"/>
      <c r="M577" s="144"/>
      <c r="N577" s="144"/>
      <c r="O577" s="144"/>
      <c r="P577" s="144"/>
      <c r="Q577" s="144"/>
      <c r="R577" s="144"/>
      <c r="S577" s="144"/>
      <c r="T577" s="144"/>
      <c r="U577" s="144"/>
      <c r="V577" s="144"/>
      <c r="W577" s="144"/>
      <c r="Y577" s="144"/>
      <c r="Z577" s="144"/>
      <c r="AA577" s="144"/>
      <c r="AB577" s="144"/>
      <c r="AC577" s="144"/>
    </row>
    <row r="578" spans="1:29" x14ac:dyDescent="0.2">
      <c r="A578" s="144"/>
      <c r="B578" s="145"/>
      <c r="C578" s="144"/>
      <c r="D578" s="144"/>
      <c r="E578" s="144"/>
      <c r="F578" s="144"/>
      <c r="G578" s="144"/>
      <c r="H578" s="144"/>
      <c r="I578" s="144"/>
      <c r="J578" s="144"/>
      <c r="K578" s="144"/>
      <c r="M578" s="144"/>
      <c r="N578" s="144"/>
      <c r="O578" s="144"/>
      <c r="P578" s="144"/>
      <c r="Q578" s="144"/>
      <c r="R578" s="144"/>
      <c r="S578" s="144"/>
      <c r="T578" s="144"/>
      <c r="U578" s="144"/>
      <c r="V578" s="144"/>
      <c r="W578" s="144"/>
      <c r="Y578" s="144"/>
      <c r="Z578" s="144"/>
      <c r="AA578" s="144"/>
      <c r="AB578" s="144"/>
      <c r="AC578" s="144"/>
    </row>
    <row r="579" spans="1:29" x14ac:dyDescent="0.2">
      <c r="A579" s="144"/>
      <c r="B579" s="145"/>
      <c r="C579" s="144"/>
      <c r="D579" s="144"/>
      <c r="E579" s="144"/>
      <c r="F579" s="144"/>
      <c r="G579" s="144"/>
      <c r="H579" s="144"/>
      <c r="I579" s="144"/>
      <c r="J579" s="144"/>
      <c r="K579" s="144"/>
      <c r="M579" s="144"/>
      <c r="N579" s="144"/>
      <c r="O579" s="144"/>
      <c r="P579" s="144"/>
      <c r="Q579" s="144"/>
      <c r="R579" s="144"/>
      <c r="S579" s="144"/>
      <c r="T579" s="144"/>
      <c r="U579" s="144"/>
      <c r="V579" s="144"/>
      <c r="W579" s="144"/>
      <c r="Y579" s="144"/>
      <c r="Z579" s="144"/>
      <c r="AA579" s="144"/>
      <c r="AB579" s="144"/>
      <c r="AC579" s="144"/>
    </row>
    <row r="580" spans="1:29" x14ac:dyDescent="0.2">
      <c r="A580" s="144"/>
      <c r="B580" s="145"/>
      <c r="C580" s="144"/>
      <c r="D580" s="144"/>
      <c r="E580" s="144"/>
      <c r="F580" s="144"/>
      <c r="G580" s="144"/>
      <c r="H580" s="144"/>
      <c r="I580" s="144"/>
      <c r="J580" s="144"/>
      <c r="K580" s="144"/>
      <c r="M580" s="144"/>
      <c r="N580" s="144"/>
      <c r="O580" s="144"/>
      <c r="P580" s="144"/>
      <c r="Q580" s="144"/>
      <c r="R580" s="144"/>
      <c r="S580" s="144"/>
      <c r="T580" s="144"/>
      <c r="U580" s="144"/>
      <c r="V580" s="144"/>
      <c r="W580" s="144"/>
      <c r="Y580" s="144"/>
      <c r="Z580" s="144"/>
      <c r="AA580" s="144"/>
      <c r="AB580" s="144"/>
      <c r="AC580" s="144"/>
    </row>
    <row r="581" spans="1:29" x14ac:dyDescent="0.2">
      <c r="A581" s="144"/>
      <c r="B581" s="145"/>
      <c r="C581" s="144"/>
      <c r="D581" s="144"/>
      <c r="E581" s="144"/>
      <c r="F581" s="144"/>
      <c r="G581" s="144"/>
      <c r="H581" s="144"/>
      <c r="I581" s="144"/>
      <c r="J581" s="144"/>
      <c r="K581" s="144"/>
      <c r="M581" s="144"/>
      <c r="N581" s="144"/>
      <c r="O581" s="144"/>
      <c r="P581" s="144"/>
      <c r="Q581" s="144"/>
      <c r="R581" s="144"/>
      <c r="S581" s="144"/>
      <c r="T581" s="144"/>
      <c r="U581" s="144"/>
      <c r="V581" s="144"/>
      <c r="W581" s="144"/>
      <c r="Y581" s="144"/>
      <c r="Z581" s="144"/>
      <c r="AA581" s="144"/>
      <c r="AB581" s="144"/>
      <c r="AC581" s="144"/>
    </row>
    <row r="582" spans="1:29" x14ac:dyDescent="0.2">
      <c r="A582" s="144"/>
      <c r="B582" s="145"/>
      <c r="C582" s="144"/>
      <c r="D582" s="144"/>
      <c r="E582" s="144"/>
      <c r="F582" s="144"/>
      <c r="G582" s="144"/>
      <c r="H582" s="144"/>
      <c r="I582" s="144"/>
      <c r="J582" s="144"/>
      <c r="K582" s="144"/>
      <c r="M582" s="144"/>
      <c r="N582" s="144"/>
      <c r="O582" s="144"/>
      <c r="P582" s="144"/>
      <c r="Q582" s="144"/>
      <c r="R582" s="144"/>
      <c r="S582" s="144"/>
      <c r="T582" s="144"/>
      <c r="U582" s="144"/>
      <c r="V582" s="144"/>
      <c r="W582" s="144"/>
      <c r="Y582" s="144"/>
      <c r="Z582" s="144"/>
      <c r="AA582" s="144"/>
      <c r="AB582" s="144"/>
      <c r="AC582" s="144"/>
    </row>
    <row r="583" spans="1:29" x14ac:dyDescent="0.2">
      <c r="A583" s="144"/>
      <c r="B583" s="145"/>
      <c r="C583" s="144"/>
      <c r="D583" s="144"/>
      <c r="E583" s="144"/>
      <c r="F583" s="144"/>
      <c r="G583" s="144"/>
      <c r="H583" s="144"/>
      <c r="I583" s="144"/>
      <c r="J583" s="144"/>
      <c r="K583" s="144"/>
      <c r="M583" s="144"/>
      <c r="N583" s="144"/>
      <c r="O583" s="144"/>
      <c r="P583" s="144"/>
      <c r="Q583" s="144"/>
      <c r="R583" s="144"/>
      <c r="S583" s="144"/>
      <c r="T583" s="144"/>
      <c r="U583" s="144"/>
      <c r="V583" s="144"/>
      <c r="W583" s="144"/>
      <c r="Y583" s="144"/>
      <c r="Z583" s="144"/>
      <c r="AA583" s="144"/>
      <c r="AB583" s="144"/>
      <c r="AC583" s="144"/>
    </row>
    <row r="584" spans="1:29" x14ac:dyDescent="0.2">
      <c r="A584" s="144"/>
      <c r="B584" s="145"/>
      <c r="C584" s="144"/>
      <c r="D584" s="144"/>
      <c r="E584" s="144"/>
      <c r="F584" s="144"/>
      <c r="G584" s="144"/>
      <c r="H584" s="144"/>
      <c r="I584" s="144"/>
      <c r="J584" s="144"/>
      <c r="K584" s="144"/>
      <c r="M584" s="144"/>
      <c r="N584" s="144"/>
      <c r="O584" s="144"/>
      <c r="P584" s="144"/>
      <c r="Q584" s="144"/>
      <c r="R584" s="144"/>
      <c r="S584" s="144"/>
      <c r="T584" s="144"/>
      <c r="U584" s="144"/>
      <c r="V584" s="144"/>
      <c r="W584" s="144"/>
      <c r="Y584" s="144"/>
      <c r="Z584" s="144"/>
      <c r="AA584" s="144"/>
      <c r="AB584" s="144"/>
      <c r="AC584" s="144"/>
    </row>
    <row r="585" spans="1:29" x14ac:dyDescent="0.2">
      <c r="A585" s="144"/>
      <c r="B585" s="145"/>
      <c r="C585" s="144"/>
      <c r="D585" s="144"/>
      <c r="E585" s="144"/>
      <c r="F585" s="144"/>
      <c r="G585" s="144"/>
      <c r="H585" s="144"/>
      <c r="I585" s="144"/>
      <c r="J585" s="144"/>
      <c r="K585" s="144"/>
      <c r="M585" s="144"/>
      <c r="N585" s="144"/>
      <c r="O585" s="144"/>
      <c r="P585" s="144"/>
      <c r="Q585" s="144"/>
      <c r="R585" s="144"/>
      <c r="S585" s="144"/>
      <c r="T585" s="144"/>
      <c r="U585" s="144"/>
      <c r="V585" s="144"/>
      <c r="W585" s="144"/>
      <c r="Y585" s="144"/>
      <c r="Z585" s="144"/>
      <c r="AA585" s="144"/>
      <c r="AB585" s="144"/>
      <c r="AC585" s="144"/>
    </row>
    <row r="586" spans="1:29" x14ac:dyDescent="0.2">
      <c r="A586" s="144"/>
      <c r="B586" s="145"/>
      <c r="C586" s="144"/>
      <c r="D586" s="144"/>
      <c r="E586" s="144"/>
      <c r="F586" s="144"/>
      <c r="G586" s="144"/>
      <c r="H586" s="144"/>
      <c r="I586" s="144"/>
      <c r="J586" s="144"/>
      <c r="K586" s="144"/>
      <c r="M586" s="144"/>
      <c r="N586" s="144"/>
      <c r="O586" s="144"/>
      <c r="P586" s="144"/>
      <c r="Q586" s="144"/>
      <c r="R586" s="144"/>
      <c r="S586" s="144"/>
      <c r="T586" s="144"/>
      <c r="U586" s="144"/>
      <c r="V586" s="144"/>
      <c r="W586" s="144"/>
      <c r="Y586" s="144"/>
      <c r="Z586" s="144"/>
      <c r="AA586" s="144"/>
      <c r="AB586" s="144"/>
      <c r="AC586" s="144"/>
    </row>
    <row r="587" spans="1:29" x14ac:dyDescent="0.2">
      <c r="A587" s="144"/>
      <c r="B587" s="145"/>
      <c r="C587" s="144"/>
      <c r="D587" s="144"/>
      <c r="E587" s="144"/>
      <c r="F587" s="144"/>
      <c r="G587" s="144"/>
      <c r="H587" s="144"/>
      <c r="I587" s="144"/>
      <c r="J587" s="144"/>
      <c r="K587" s="144"/>
      <c r="M587" s="144"/>
      <c r="N587" s="144"/>
      <c r="O587" s="144"/>
      <c r="P587" s="144"/>
      <c r="Q587" s="144"/>
      <c r="R587" s="144"/>
      <c r="S587" s="144"/>
      <c r="T587" s="144"/>
      <c r="U587" s="144"/>
      <c r="V587" s="144"/>
      <c r="W587" s="144"/>
      <c r="Y587" s="144"/>
      <c r="Z587" s="144"/>
      <c r="AA587" s="144"/>
      <c r="AB587" s="144"/>
      <c r="AC587" s="144"/>
    </row>
    <row r="588" spans="1:29" x14ac:dyDescent="0.2">
      <c r="A588" s="144"/>
      <c r="B588" s="145"/>
      <c r="C588" s="144"/>
      <c r="D588" s="144"/>
      <c r="E588" s="144"/>
      <c r="F588" s="144"/>
      <c r="G588" s="144"/>
      <c r="H588" s="144"/>
      <c r="I588" s="144"/>
      <c r="J588" s="144"/>
      <c r="K588" s="144"/>
      <c r="M588" s="144"/>
      <c r="N588" s="144"/>
      <c r="O588" s="144"/>
      <c r="P588" s="144"/>
      <c r="Q588" s="144"/>
      <c r="R588" s="144"/>
      <c r="S588" s="144"/>
      <c r="T588" s="144"/>
      <c r="U588" s="144"/>
      <c r="V588" s="144"/>
      <c r="W588" s="144"/>
      <c r="Y588" s="144"/>
      <c r="Z588" s="144"/>
      <c r="AA588" s="144"/>
      <c r="AB588" s="144"/>
      <c r="AC588" s="144"/>
    </row>
    <row r="589" spans="1:29" x14ac:dyDescent="0.2">
      <c r="A589" s="144"/>
      <c r="B589" s="145"/>
      <c r="C589" s="144"/>
      <c r="D589" s="144"/>
      <c r="E589" s="144"/>
      <c r="F589" s="144"/>
      <c r="G589" s="144"/>
      <c r="H589" s="144"/>
      <c r="I589" s="144"/>
      <c r="J589" s="144"/>
      <c r="K589" s="144"/>
      <c r="M589" s="144"/>
      <c r="N589" s="144"/>
      <c r="O589" s="144"/>
      <c r="P589" s="144"/>
      <c r="Q589" s="144"/>
      <c r="R589" s="144"/>
      <c r="S589" s="144"/>
      <c r="T589" s="144"/>
      <c r="U589" s="144"/>
      <c r="V589" s="144"/>
      <c r="W589" s="144"/>
      <c r="Y589" s="144"/>
      <c r="Z589" s="144"/>
      <c r="AA589" s="144"/>
      <c r="AB589" s="144"/>
      <c r="AC589" s="144"/>
    </row>
    <row r="590" spans="1:29" x14ac:dyDescent="0.2">
      <c r="A590" s="144"/>
      <c r="B590" s="145"/>
      <c r="C590" s="144"/>
      <c r="D590" s="144"/>
      <c r="E590" s="144"/>
      <c r="F590" s="144"/>
      <c r="G590" s="144"/>
      <c r="H590" s="144"/>
      <c r="I590" s="144"/>
      <c r="J590" s="144"/>
      <c r="K590" s="144"/>
      <c r="M590" s="144"/>
      <c r="N590" s="144"/>
      <c r="O590" s="144"/>
      <c r="P590" s="144"/>
      <c r="Q590" s="144"/>
      <c r="R590" s="144"/>
      <c r="S590" s="144"/>
      <c r="T590" s="144"/>
      <c r="U590" s="144"/>
      <c r="V590" s="144"/>
      <c r="W590" s="144"/>
      <c r="Y590" s="144"/>
      <c r="Z590" s="144"/>
      <c r="AA590" s="144"/>
      <c r="AB590" s="144"/>
      <c r="AC590" s="144"/>
    </row>
    <row r="591" spans="1:29" x14ac:dyDescent="0.2">
      <c r="A591" s="144"/>
      <c r="B591" s="145"/>
      <c r="C591" s="144"/>
      <c r="D591" s="144"/>
      <c r="E591" s="144"/>
      <c r="F591" s="144"/>
      <c r="G591" s="144"/>
      <c r="H591" s="144"/>
      <c r="I591" s="144"/>
      <c r="J591" s="144"/>
      <c r="K591" s="144"/>
      <c r="M591" s="144"/>
      <c r="N591" s="144"/>
      <c r="O591" s="144"/>
      <c r="P591" s="144"/>
      <c r="Q591" s="144"/>
      <c r="R591" s="144"/>
      <c r="S591" s="144"/>
      <c r="T591" s="144"/>
      <c r="U591" s="144"/>
      <c r="V591" s="144"/>
      <c r="W591" s="144"/>
      <c r="Y591" s="144"/>
      <c r="Z591" s="144"/>
      <c r="AA591" s="144"/>
      <c r="AB591" s="144"/>
      <c r="AC591" s="144"/>
    </row>
    <row r="592" spans="1:29" x14ac:dyDescent="0.2">
      <c r="A592" s="144"/>
      <c r="B592" s="145"/>
      <c r="C592" s="144"/>
      <c r="D592" s="144"/>
      <c r="E592" s="144"/>
      <c r="F592" s="144"/>
      <c r="G592" s="144"/>
      <c r="H592" s="144"/>
      <c r="I592" s="144"/>
      <c r="J592" s="144"/>
      <c r="K592" s="144"/>
      <c r="M592" s="144"/>
      <c r="N592" s="144"/>
      <c r="O592" s="144"/>
      <c r="P592" s="144"/>
      <c r="Q592" s="144"/>
      <c r="R592" s="144"/>
      <c r="S592" s="144"/>
      <c r="T592" s="144"/>
      <c r="U592" s="144"/>
      <c r="V592" s="144"/>
      <c r="W592" s="144"/>
      <c r="Y592" s="144"/>
      <c r="Z592" s="144"/>
      <c r="AA592" s="144"/>
      <c r="AB592" s="144"/>
      <c r="AC592" s="144"/>
    </row>
    <row r="593" spans="1:29" x14ac:dyDescent="0.2">
      <c r="A593" s="144"/>
      <c r="B593" s="145"/>
      <c r="C593" s="144"/>
      <c r="D593" s="144"/>
      <c r="E593" s="144"/>
      <c r="F593" s="144"/>
      <c r="G593" s="144"/>
      <c r="H593" s="144"/>
      <c r="I593" s="144"/>
      <c r="J593" s="144"/>
      <c r="K593" s="144"/>
      <c r="M593" s="144"/>
      <c r="N593" s="144"/>
      <c r="O593" s="144"/>
      <c r="P593" s="144"/>
      <c r="Q593" s="144"/>
      <c r="R593" s="144"/>
      <c r="S593" s="144"/>
      <c r="T593" s="144"/>
      <c r="U593" s="144"/>
      <c r="V593" s="144"/>
      <c r="W593" s="144"/>
      <c r="Y593" s="144"/>
      <c r="Z593" s="144"/>
      <c r="AA593" s="144"/>
      <c r="AB593" s="144"/>
      <c r="AC593" s="144"/>
    </row>
    <row r="594" spans="1:29" x14ac:dyDescent="0.2">
      <c r="A594" s="144"/>
      <c r="B594" s="145"/>
      <c r="C594" s="144"/>
      <c r="D594" s="144"/>
      <c r="E594" s="144"/>
      <c r="F594" s="144"/>
      <c r="G594" s="144"/>
      <c r="H594" s="144"/>
      <c r="I594" s="144"/>
      <c r="J594" s="144"/>
      <c r="K594" s="144"/>
      <c r="M594" s="144"/>
      <c r="N594" s="144"/>
      <c r="O594" s="144"/>
      <c r="P594" s="144"/>
      <c r="Q594" s="144"/>
      <c r="R594" s="144"/>
      <c r="S594" s="144"/>
      <c r="T594" s="144"/>
      <c r="U594" s="144"/>
      <c r="V594" s="144"/>
      <c r="W594" s="144"/>
      <c r="Y594" s="144"/>
      <c r="Z594" s="144"/>
      <c r="AA594" s="144"/>
      <c r="AB594" s="144"/>
      <c r="AC594" s="144"/>
    </row>
    <row r="595" spans="1:29" x14ac:dyDescent="0.2">
      <c r="A595" s="144"/>
      <c r="B595" s="145"/>
      <c r="C595" s="144"/>
      <c r="D595" s="144"/>
      <c r="E595" s="144"/>
      <c r="F595" s="144"/>
      <c r="G595" s="144"/>
      <c r="H595" s="144"/>
      <c r="I595" s="144"/>
      <c r="J595" s="144"/>
      <c r="K595" s="144"/>
      <c r="M595" s="144"/>
      <c r="N595" s="144"/>
      <c r="O595" s="144"/>
      <c r="P595" s="144"/>
      <c r="Q595" s="144"/>
      <c r="R595" s="144"/>
      <c r="S595" s="144"/>
      <c r="T595" s="144"/>
      <c r="U595" s="144"/>
      <c r="V595" s="144"/>
      <c r="W595" s="144"/>
      <c r="Y595" s="144"/>
      <c r="Z595" s="144"/>
      <c r="AA595" s="144"/>
      <c r="AB595" s="144"/>
      <c r="AC595" s="144"/>
    </row>
    <row r="596" spans="1:29" x14ac:dyDescent="0.2">
      <c r="A596" s="144"/>
      <c r="B596" s="145"/>
      <c r="C596" s="144"/>
      <c r="D596" s="144"/>
      <c r="E596" s="144"/>
      <c r="F596" s="144"/>
      <c r="G596" s="144"/>
      <c r="H596" s="144"/>
      <c r="I596" s="144"/>
      <c r="J596" s="144"/>
      <c r="K596" s="144"/>
      <c r="M596" s="144"/>
      <c r="N596" s="144"/>
      <c r="O596" s="144"/>
      <c r="P596" s="144"/>
      <c r="Q596" s="144"/>
      <c r="R596" s="144"/>
      <c r="S596" s="144"/>
      <c r="T596" s="144"/>
      <c r="U596" s="144"/>
      <c r="V596" s="144"/>
      <c r="W596" s="144"/>
      <c r="Y596" s="144"/>
      <c r="Z596" s="144"/>
      <c r="AA596" s="144"/>
      <c r="AB596" s="144"/>
      <c r="AC596" s="144"/>
    </row>
    <row r="597" spans="1:29" x14ac:dyDescent="0.2">
      <c r="A597" s="144"/>
      <c r="B597" s="145"/>
      <c r="C597" s="144"/>
      <c r="D597" s="144"/>
      <c r="E597" s="144"/>
      <c r="F597" s="144"/>
      <c r="G597" s="144"/>
      <c r="H597" s="144"/>
      <c r="I597" s="144"/>
      <c r="J597" s="144"/>
      <c r="K597" s="144"/>
      <c r="M597" s="144"/>
      <c r="N597" s="144"/>
      <c r="O597" s="144"/>
      <c r="P597" s="144"/>
      <c r="Q597" s="144"/>
      <c r="R597" s="144"/>
      <c r="S597" s="144"/>
      <c r="T597" s="144"/>
      <c r="U597" s="144"/>
      <c r="V597" s="144"/>
      <c r="W597" s="144"/>
      <c r="Y597" s="144"/>
      <c r="Z597" s="144"/>
      <c r="AA597" s="144"/>
      <c r="AB597" s="144"/>
      <c r="AC597" s="144"/>
    </row>
    <row r="598" spans="1:29" x14ac:dyDescent="0.2">
      <c r="A598" s="144"/>
      <c r="B598" s="145"/>
      <c r="C598" s="144"/>
      <c r="D598" s="144"/>
      <c r="E598" s="144"/>
      <c r="F598" s="144"/>
      <c r="G598" s="144"/>
      <c r="H598" s="144"/>
      <c r="I598" s="144"/>
      <c r="J598" s="144"/>
      <c r="K598" s="144"/>
      <c r="M598" s="144"/>
      <c r="N598" s="144"/>
      <c r="O598" s="144"/>
      <c r="P598" s="144"/>
      <c r="Q598" s="144"/>
      <c r="R598" s="144"/>
      <c r="S598" s="144"/>
      <c r="T598" s="144"/>
      <c r="U598" s="144"/>
      <c r="V598" s="144"/>
      <c r="W598" s="144"/>
      <c r="Y598" s="144"/>
      <c r="Z598" s="144"/>
      <c r="AA598" s="144"/>
      <c r="AB598" s="144"/>
      <c r="AC598" s="144"/>
    </row>
    <row r="599" spans="1:29" x14ac:dyDescent="0.2">
      <c r="A599" s="144"/>
      <c r="B599" s="145"/>
      <c r="C599" s="144"/>
      <c r="D599" s="144"/>
      <c r="E599" s="144"/>
      <c r="F599" s="144"/>
      <c r="G599" s="144"/>
      <c r="H599" s="144"/>
      <c r="I599" s="144"/>
      <c r="J599" s="144"/>
      <c r="K599" s="144"/>
      <c r="M599" s="144"/>
      <c r="N599" s="144"/>
      <c r="O599" s="144"/>
      <c r="P599" s="144"/>
      <c r="Q599" s="144"/>
      <c r="R599" s="144"/>
      <c r="S599" s="144"/>
      <c r="T599" s="144"/>
      <c r="U599" s="144"/>
      <c r="V599" s="144"/>
      <c r="W599" s="144"/>
      <c r="Y599" s="144"/>
      <c r="Z599" s="144"/>
      <c r="AA599" s="144"/>
      <c r="AB599" s="144"/>
      <c r="AC599" s="144"/>
    </row>
    <row r="600" spans="1:29" x14ac:dyDescent="0.2">
      <c r="A600" s="144"/>
      <c r="B600" s="145"/>
      <c r="C600" s="144"/>
      <c r="D600" s="144"/>
      <c r="E600" s="144"/>
      <c r="F600" s="144"/>
      <c r="G600" s="144"/>
      <c r="H600" s="144"/>
      <c r="I600" s="144"/>
      <c r="J600" s="144"/>
      <c r="K600" s="144"/>
      <c r="M600" s="144"/>
      <c r="N600" s="144"/>
      <c r="O600" s="144"/>
      <c r="P600" s="144"/>
      <c r="Q600" s="144"/>
      <c r="R600" s="144"/>
      <c r="S600" s="144"/>
      <c r="T600" s="144"/>
      <c r="U600" s="144"/>
      <c r="V600" s="144"/>
      <c r="W600" s="144"/>
      <c r="Y600" s="144"/>
      <c r="Z600" s="144"/>
      <c r="AA600" s="144"/>
      <c r="AB600" s="144"/>
      <c r="AC600" s="144"/>
    </row>
    <row r="601" spans="1:29" x14ac:dyDescent="0.2">
      <c r="A601" s="144"/>
      <c r="B601" s="145"/>
      <c r="C601" s="144"/>
      <c r="D601" s="144"/>
      <c r="E601" s="144"/>
      <c r="F601" s="144"/>
      <c r="G601" s="144"/>
      <c r="H601" s="144"/>
      <c r="I601" s="144"/>
      <c r="J601" s="144"/>
      <c r="K601" s="144"/>
      <c r="M601" s="144"/>
      <c r="N601" s="144"/>
      <c r="O601" s="144"/>
      <c r="P601" s="144"/>
      <c r="Q601" s="144"/>
      <c r="R601" s="144"/>
      <c r="S601" s="144"/>
      <c r="T601" s="144"/>
      <c r="U601" s="144"/>
      <c r="V601" s="144"/>
      <c r="W601" s="144"/>
      <c r="Y601" s="144"/>
      <c r="Z601" s="144"/>
      <c r="AA601" s="144"/>
      <c r="AB601" s="144"/>
      <c r="AC601" s="144"/>
    </row>
    <row r="602" spans="1:29" x14ac:dyDescent="0.2">
      <c r="A602" s="144"/>
      <c r="B602" s="145"/>
      <c r="C602" s="144"/>
      <c r="D602" s="144"/>
      <c r="E602" s="144"/>
      <c r="F602" s="144"/>
      <c r="G602" s="144"/>
      <c r="H602" s="144"/>
      <c r="I602" s="144"/>
      <c r="J602" s="144"/>
      <c r="K602" s="144"/>
      <c r="M602" s="144"/>
      <c r="N602" s="144"/>
      <c r="O602" s="144"/>
      <c r="P602" s="144"/>
      <c r="Q602" s="144"/>
      <c r="R602" s="144"/>
      <c r="S602" s="144"/>
      <c r="T602" s="144"/>
      <c r="U602" s="144"/>
      <c r="V602" s="144"/>
      <c r="W602" s="144"/>
      <c r="Y602" s="144"/>
      <c r="Z602" s="144"/>
      <c r="AA602" s="144"/>
      <c r="AB602" s="144"/>
      <c r="AC602" s="144"/>
    </row>
    <row r="603" spans="1:29" x14ac:dyDescent="0.2">
      <c r="A603" s="144"/>
      <c r="B603" s="145"/>
      <c r="C603" s="144"/>
      <c r="D603" s="144"/>
      <c r="E603" s="144"/>
      <c r="F603" s="144"/>
      <c r="G603" s="144"/>
      <c r="H603" s="144"/>
      <c r="I603" s="144"/>
      <c r="J603" s="144"/>
      <c r="K603" s="144"/>
      <c r="M603" s="144"/>
      <c r="N603" s="144"/>
      <c r="O603" s="144"/>
      <c r="P603" s="144"/>
      <c r="Q603" s="144"/>
      <c r="R603" s="144"/>
      <c r="S603" s="144"/>
      <c r="T603" s="144"/>
      <c r="U603" s="144"/>
      <c r="V603" s="144"/>
      <c r="W603" s="144"/>
      <c r="Y603" s="144"/>
      <c r="Z603" s="144"/>
      <c r="AA603" s="144"/>
      <c r="AB603" s="144"/>
      <c r="AC603" s="144"/>
    </row>
    <row r="604" spans="1:29" x14ac:dyDescent="0.2">
      <c r="A604" s="144"/>
      <c r="B604" s="145"/>
      <c r="C604" s="144"/>
      <c r="D604" s="144"/>
      <c r="E604" s="144"/>
      <c r="F604" s="144"/>
      <c r="G604" s="144"/>
      <c r="H604" s="144"/>
      <c r="I604" s="144"/>
      <c r="J604" s="144"/>
      <c r="K604" s="144"/>
      <c r="M604" s="144"/>
      <c r="N604" s="144"/>
      <c r="O604" s="144"/>
      <c r="P604" s="144"/>
      <c r="Q604" s="144"/>
      <c r="R604" s="144"/>
      <c r="S604" s="144"/>
      <c r="T604" s="144"/>
      <c r="U604" s="144"/>
      <c r="V604" s="144"/>
      <c r="W604" s="144"/>
      <c r="Y604" s="144"/>
      <c r="Z604" s="144"/>
      <c r="AA604" s="144"/>
      <c r="AB604" s="144"/>
      <c r="AC604" s="144"/>
    </row>
    <row r="605" spans="1:29" x14ac:dyDescent="0.2">
      <c r="A605" s="144"/>
      <c r="B605" s="145"/>
      <c r="C605" s="144"/>
      <c r="D605" s="144"/>
      <c r="E605" s="144"/>
      <c r="F605" s="144"/>
      <c r="G605" s="144"/>
      <c r="H605" s="144"/>
      <c r="I605" s="144"/>
      <c r="J605" s="144"/>
      <c r="K605" s="144"/>
      <c r="M605" s="144"/>
      <c r="N605" s="144"/>
      <c r="O605" s="144"/>
      <c r="P605" s="144"/>
      <c r="Q605" s="144"/>
      <c r="R605" s="144"/>
      <c r="S605" s="144"/>
      <c r="T605" s="144"/>
      <c r="U605" s="144"/>
      <c r="V605" s="144"/>
      <c r="W605" s="144"/>
      <c r="Y605" s="144"/>
      <c r="Z605" s="144"/>
      <c r="AA605" s="144"/>
      <c r="AB605" s="144"/>
      <c r="AC605" s="144"/>
    </row>
    <row r="606" spans="1:29" x14ac:dyDescent="0.2">
      <c r="A606" s="144"/>
      <c r="B606" s="145"/>
      <c r="C606" s="144"/>
      <c r="D606" s="144"/>
      <c r="E606" s="144"/>
      <c r="F606" s="144"/>
      <c r="G606" s="144"/>
      <c r="H606" s="144"/>
      <c r="I606" s="144"/>
      <c r="J606" s="144"/>
      <c r="K606" s="144"/>
      <c r="M606" s="144"/>
      <c r="N606" s="144"/>
      <c r="O606" s="144"/>
      <c r="P606" s="144"/>
      <c r="Q606" s="144"/>
      <c r="R606" s="144"/>
      <c r="S606" s="144"/>
      <c r="T606" s="144"/>
      <c r="U606" s="144"/>
      <c r="V606" s="144"/>
      <c r="W606" s="144"/>
      <c r="Y606" s="144"/>
      <c r="Z606" s="144"/>
      <c r="AA606" s="144"/>
      <c r="AB606" s="144"/>
      <c r="AC606" s="144"/>
    </row>
    <row r="607" spans="1:29" x14ac:dyDescent="0.2">
      <c r="A607" s="144"/>
      <c r="B607" s="145"/>
      <c r="C607" s="144"/>
      <c r="D607" s="144"/>
      <c r="E607" s="144"/>
      <c r="F607" s="144"/>
      <c r="G607" s="144"/>
      <c r="H607" s="144"/>
      <c r="I607" s="144"/>
      <c r="J607" s="144"/>
      <c r="K607" s="144"/>
      <c r="M607" s="144"/>
      <c r="N607" s="144"/>
      <c r="O607" s="144"/>
      <c r="P607" s="144"/>
      <c r="Q607" s="144"/>
      <c r="R607" s="144"/>
      <c r="S607" s="144"/>
      <c r="T607" s="144"/>
      <c r="U607" s="144"/>
      <c r="V607" s="144"/>
      <c r="W607" s="144"/>
      <c r="Y607" s="144"/>
      <c r="Z607" s="144"/>
      <c r="AA607" s="144"/>
      <c r="AB607" s="144"/>
      <c r="AC607" s="144"/>
    </row>
    <row r="608" spans="1:29" x14ac:dyDescent="0.2">
      <c r="A608" s="144"/>
      <c r="B608" s="145"/>
      <c r="C608" s="144"/>
      <c r="D608" s="144"/>
      <c r="E608" s="144"/>
      <c r="F608" s="144"/>
      <c r="G608" s="144"/>
      <c r="H608" s="144"/>
      <c r="I608" s="144"/>
      <c r="J608" s="144"/>
      <c r="K608" s="144"/>
      <c r="M608" s="144"/>
      <c r="N608" s="144"/>
      <c r="O608" s="144"/>
      <c r="P608" s="144"/>
      <c r="Q608" s="144"/>
      <c r="R608" s="144"/>
      <c r="S608" s="144"/>
      <c r="T608" s="144"/>
      <c r="U608" s="144"/>
      <c r="V608" s="144"/>
      <c r="W608" s="144"/>
      <c r="Y608" s="144"/>
      <c r="Z608" s="144"/>
      <c r="AA608" s="144"/>
      <c r="AB608" s="144"/>
      <c r="AC608" s="144"/>
    </row>
    <row r="609" spans="1:29" x14ac:dyDescent="0.2">
      <c r="A609" s="144"/>
      <c r="B609" s="145"/>
      <c r="C609" s="144"/>
      <c r="D609" s="144"/>
      <c r="E609" s="144"/>
      <c r="F609" s="144"/>
      <c r="G609" s="144"/>
      <c r="H609" s="144"/>
      <c r="I609" s="144"/>
      <c r="J609" s="144"/>
      <c r="K609" s="144"/>
      <c r="M609" s="144"/>
      <c r="N609" s="144"/>
      <c r="O609" s="144"/>
      <c r="P609" s="144"/>
      <c r="Q609" s="144"/>
      <c r="R609" s="144"/>
      <c r="S609" s="144"/>
      <c r="T609" s="144"/>
      <c r="U609" s="144"/>
      <c r="V609" s="144"/>
      <c r="W609" s="144"/>
      <c r="Y609" s="144"/>
      <c r="Z609" s="144"/>
      <c r="AA609" s="144"/>
      <c r="AB609" s="144"/>
      <c r="AC609" s="144"/>
    </row>
    <row r="610" spans="1:29" x14ac:dyDescent="0.2">
      <c r="A610" s="144"/>
      <c r="B610" s="145"/>
      <c r="C610" s="144"/>
      <c r="D610" s="144"/>
      <c r="E610" s="144"/>
      <c r="F610" s="144"/>
      <c r="G610" s="144"/>
      <c r="H610" s="144"/>
      <c r="I610" s="144"/>
      <c r="J610" s="144"/>
      <c r="K610" s="144"/>
      <c r="M610" s="144"/>
      <c r="N610" s="144"/>
      <c r="O610" s="144"/>
      <c r="P610" s="144"/>
      <c r="Q610" s="144"/>
      <c r="R610" s="144"/>
      <c r="S610" s="144"/>
      <c r="T610" s="144"/>
      <c r="U610" s="144"/>
      <c r="V610" s="144"/>
      <c r="W610" s="144"/>
      <c r="Y610" s="144"/>
      <c r="Z610" s="144"/>
      <c r="AA610" s="144"/>
      <c r="AB610" s="144"/>
      <c r="AC610" s="144"/>
    </row>
    <row r="611" spans="1:29" x14ac:dyDescent="0.2">
      <c r="A611" s="144"/>
      <c r="B611" s="145"/>
      <c r="C611" s="144"/>
      <c r="D611" s="144"/>
      <c r="E611" s="144"/>
      <c r="F611" s="144"/>
      <c r="G611" s="144"/>
      <c r="H611" s="144"/>
      <c r="I611" s="144"/>
      <c r="J611" s="144"/>
      <c r="K611" s="144"/>
      <c r="M611" s="144"/>
      <c r="N611" s="144"/>
      <c r="O611" s="144"/>
      <c r="P611" s="144"/>
      <c r="Q611" s="144"/>
      <c r="R611" s="144"/>
      <c r="S611" s="144"/>
      <c r="T611" s="144"/>
      <c r="U611" s="144"/>
      <c r="V611" s="144"/>
      <c r="W611" s="144"/>
      <c r="Y611" s="144"/>
      <c r="Z611" s="144"/>
      <c r="AA611" s="144"/>
      <c r="AB611" s="144"/>
      <c r="AC611" s="144"/>
    </row>
    <row r="612" spans="1:29" x14ac:dyDescent="0.2">
      <c r="A612" s="144"/>
      <c r="B612" s="145"/>
      <c r="C612" s="144"/>
      <c r="D612" s="144"/>
      <c r="E612" s="144"/>
      <c r="F612" s="144"/>
      <c r="G612" s="144"/>
      <c r="H612" s="144"/>
      <c r="I612" s="144"/>
      <c r="J612" s="144"/>
      <c r="K612" s="144"/>
      <c r="M612" s="144"/>
      <c r="N612" s="144"/>
      <c r="O612" s="144"/>
      <c r="P612" s="144"/>
      <c r="Q612" s="144"/>
      <c r="R612" s="144"/>
      <c r="S612" s="144"/>
      <c r="T612" s="144"/>
      <c r="U612" s="144"/>
      <c r="V612" s="144"/>
      <c r="W612" s="144"/>
      <c r="Y612" s="144"/>
      <c r="Z612" s="144"/>
      <c r="AA612" s="144"/>
      <c r="AB612" s="144"/>
      <c r="AC612" s="144"/>
    </row>
    <row r="613" spans="1:29" x14ac:dyDescent="0.2">
      <c r="A613" s="144"/>
      <c r="B613" s="145"/>
      <c r="C613" s="144"/>
      <c r="D613" s="144"/>
      <c r="E613" s="144"/>
      <c r="F613" s="144"/>
      <c r="G613" s="144"/>
      <c r="H613" s="144"/>
      <c r="I613" s="144"/>
      <c r="J613" s="144"/>
      <c r="K613" s="144"/>
      <c r="M613" s="144"/>
      <c r="N613" s="144"/>
      <c r="O613" s="144"/>
      <c r="P613" s="144"/>
      <c r="Q613" s="144"/>
      <c r="R613" s="144"/>
      <c r="S613" s="144"/>
      <c r="T613" s="144"/>
      <c r="U613" s="144"/>
      <c r="V613" s="144"/>
      <c r="W613" s="144"/>
      <c r="Y613" s="144"/>
      <c r="Z613" s="144"/>
      <c r="AA613" s="144"/>
      <c r="AB613" s="144"/>
      <c r="AC613" s="144"/>
    </row>
    <row r="614" spans="1:29" x14ac:dyDescent="0.2">
      <c r="A614" s="144"/>
      <c r="B614" s="145"/>
      <c r="C614" s="144"/>
      <c r="D614" s="144"/>
      <c r="E614" s="144"/>
      <c r="F614" s="144"/>
      <c r="G614" s="144"/>
      <c r="H614" s="144"/>
      <c r="I614" s="144"/>
      <c r="J614" s="144"/>
      <c r="K614" s="144"/>
      <c r="M614" s="144"/>
      <c r="N614" s="144"/>
      <c r="O614" s="144"/>
      <c r="P614" s="144"/>
      <c r="Q614" s="144"/>
      <c r="R614" s="144"/>
      <c r="S614" s="144"/>
      <c r="T614" s="144"/>
      <c r="U614" s="144"/>
      <c r="V614" s="144"/>
      <c r="W614" s="144"/>
      <c r="Y614" s="144"/>
      <c r="Z614" s="144"/>
      <c r="AA614" s="144"/>
      <c r="AB614" s="144"/>
      <c r="AC614" s="144"/>
    </row>
    <row r="615" spans="1:29" x14ac:dyDescent="0.2">
      <c r="A615" s="144"/>
      <c r="B615" s="145"/>
      <c r="C615" s="144"/>
      <c r="D615" s="144"/>
      <c r="E615" s="144"/>
      <c r="F615" s="144"/>
      <c r="G615" s="144"/>
      <c r="H615" s="144"/>
      <c r="I615" s="144"/>
      <c r="J615" s="144"/>
      <c r="K615" s="144"/>
      <c r="M615" s="144"/>
      <c r="N615" s="144"/>
      <c r="O615" s="144"/>
      <c r="P615" s="144"/>
      <c r="Q615" s="144"/>
      <c r="R615" s="144"/>
      <c r="S615" s="144"/>
      <c r="T615" s="144"/>
      <c r="U615" s="144"/>
      <c r="V615" s="144"/>
      <c r="W615" s="144"/>
      <c r="Y615" s="144"/>
      <c r="Z615" s="144"/>
      <c r="AA615" s="144"/>
      <c r="AB615" s="144"/>
      <c r="AC615" s="144"/>
    </row>
    <row r="616" spans="1:29" x14ac:dyDescent="0.2">
      <c r="A616" s="144"/>
      <c r="B616" s="145"/>
      <c r="C616" s="144"/>
      <c r="D616" s="144"/>
      <c r="E616" s="144"/>
      <c r="F616" s="144"/>
      <c r="G616" s="144"/>
      <c r="H616" s="144"/>
      <c r="I616" s="144"/>
      <c r="J616" s="144"/>
      <c r="K616" s="144"/>
      <c r="M616" s="144"/>
      <c r="N616" s="144"/>
      <c r="O616" s="144"/>
      <c r="P616" s="144"/>
      <c r="Q616" s="144"/>
      <c r="R616" s="144"/>
      <c r="S616" s="144"/>
      <c r="T616" s="144"/>
      <c r="U616" s="144"/>
      <c r="V616" s="144"/>
      <c r="W616" s="144"/>
      <c r="Y616" s="144"/>
      <c r="Z616" s="144"/>
      <c r="AA616" s="144"/>
      <c r="AB616" s="144"/>
      <c r="AC616" s="144"/>
    </row>
    <row r="617" spans="1:29" x14ac:dyDescent="0.2">
      <c r="A617" s="144"/>
      <c r="B617" s="145"/>
      <c r="C617" s="144"/>
      <c r="D617" s="144"/>
      <c r="E617" s="144"/>
      <c r="F617" s="144"/>
      <c r="G617" s="144"/>
      <c r="H617" s="144"/>
      <c r="I617" s="144"/>
      <c r="J617" s="144"/>
      <c r="K617" s="144"/>
      <c r="M617" s="144"/>
      <c r="N617" s="144"/>
      <c r="O617" s="144"/>
      <c r="P617" s="144"/>
      <c r="Q617" s="144"/>
      <c r="R617" s="144"/>
      <c r="S617" s="144"/>
      <c r="T617" s="144"/>
      <c r="U617" s="144"/>
      <c r="V617" s="144"/>
      <c r="W617" s="144"/>
      <c r="Y617" s="144"/>
      <c r="Z617" s="144"/>
      <c r="AA617" s="144"/>
      <c r="AB617" s="144"/>
      <c r="AC617" s="144"/>
    </row>
    <row r="618" spans="1:29" x14ac:dyDescent="0.2">
      <c r="A618" s="144"/>
      <c r="B618" s="145"/>
      <c r="C618" s="144"/>
      <c r="D618" s="144"/>
      <c r="E618" s="144"/>
      <c r="F618" s="144"/>
      <c r="G618" s="144"/>
      <c r="H618" s="144"/>
      <c r="I618" s="144"/>
      <c r="J618" s="144"/>
      <c r="K618" s="144"/>
      <c r="M618" s="144"/>
      <c r="N618" s="144"/>
      <c r="O618" s="144"/>
      <c r="P618" s="144"/>
      <c r="Q618" s="144"/>
      <c r="R618" s="144"/>
      <c r="S618" s="144"/>
      <c r="T618" s="144"/>
      <c r="U618" s="144"/>
      <c r="V618" s="144"/>
      <c r="W618" s="144"/>
      <c r="Y618" s="144"/>
      <c r="Z618" s="144"/>
      <c r="AA618" s="144"/>
      <c r="AB618" s="144"/>
      <c r="AC618" s="144"/>
    </row>
    <row r="619" spans="1:29" x14ac:dyDescent="0.2">
      <c r="A619" s="144"/>
      <c r="B619" s="145"/>
      <c r="C619" s="144"/>
      <c r="D619" s="144"/>
      <c r="E619" s="144"/>
      <c r="F619" s="144"/>
      <c r="G619" s="144"/>
      <c r="H619" s="144"/>
      <c r="I619" s="144"/>
      <c r="J619" s="144"/>
      <c r="K619" s="144"/>
      <c r="M619" s="144"/>
      <c r="N619" s="144"/>
      <c r="O619" s="144"/>
      <c r="P619" s="144"/>
      <c r="Q619" s="144"/>
      <c r="R619" s="144"/>
      <c r="S619" s="144"/>
      <c r="T619" s="144"/>
      <c r="U619" s="144"/>
      <c r="V619" s="144"/>
      <c r="W619" s="144"/>
      <c r="Y619" s="144"/>
      <c r="Z619" s="144"/>
      <c r="AA619" s="144"/>
      <c r="AB619" s="144"/>
      <c r="AC619" s="144"/>
    </row>
    <row r="620" spans="1:29" x14ac:dyDescent="0.2">
      <c r="A620" s="144"/>
      <c r="B620" s="145"/>
      <c r="C620" s="144"/>
      <c r="D620" s="144"/>
      <c r="E620" s="144"/>
      <c r="F620" s="144"/>
      <c r="G620" s="144"/>
      <c r="H620" s="144"/>
      <c r="I620" s="144"/>
      <c r="J620" s="144"/>
      <c r="K620" s="144"/>
      <c r="M620" s="144"/>
      <c r="N620" s="144"/>
      <c r="O620" s="144"/>
      <c r="P620" s="144"/>
      <c r="Q620" s="144"/>
      <c r="R620" s="144"/>
      <c r="S620" s="144"/>
      <c r="T620" s="144"/>
      <c r="U620" s="144"/>
      <c r="V620" s="144"/>
      <c r="W620" s="144"/>
      <c r="Y620" s="144"/>
      <c r="Z620" s="144"/>
      <c r="AA620" s="144"/>
      <c r="AB620" s="144"/>
      <c r="AC620" s="144"/>
    </row>
    <row r="621" spans="1:29" x14ac:dyDescent="0.2">
      <c r="A621" s="144"/>
      <c r="B621" s="145"/>
      <c r="C621" s="144"/>
      <c r="D621" s="144"/>
      <c r="E621" s="144"/>
      <c r="F621" s="144"/>
      <c r="G621" s="144"/>
      <c r="H621" s="144"/>
      <c r="I621" s="144"/>
      <c r="J621" s="144"/>
      <c r="K621" s="144"/>
      <c r="M621" s="144"/>
      <c r="N621" s="144"/>
      <c r="O621" s="144"/>
      <c r="P621" s="144"/>
      <c r="Q621" s="144"/>
      <c r="R621" s="144"/>
      <c r="S621" s="144"/>
      <c r="T621" s="144"/>
      <c r="U621" s="144"/>
      <c r="V621" s="144"/>
      <c r="W621" s="144"/>
      <c r="Y621" s="144"/>
      <c r="Z621" s="144"/>
      <c r="AA621" s="144"/>
      <c r="AB621" s="144"/>
      <c r="AC621" s="144"/>
    </row>
    <row r="622" spans="1:29" x14ac:dyDescent="0.2">
      <c r="A622" s="144"/>
      <c r="B622" s="145"/>
      <c r="C622" s="144"/>
      <c r="D622" s="144"/>
      <c r="E622" s="144"/>
      <c r="F622" s="144"/>
      <c r="G622" s="144"/>
      <c r="H622" s="144"/>
      <c r="I622" s="144"/>
      <c r="J622" s="144"/>
      <c r="K622" s="144"/>
      <c r="M622" s="144"/>
      <c r="N622" s="144"/>
      <c r="O622" s="144"/>
      <c r="P622" s="144"/>
      <c r="Q622" s="144"/>
      <c r="R622" s="144"/>
      <c r="S622" s="144"/>
      <c r="T622" s="144"/>
      <c r="U622" s="144"/>
      <c r="V622" s="144"/>
      <c r="W622" s="144"/>
      <c r="Y622" s="144"/>
      <c r="Z622" s="144"/>
      <c r="AA622" s="144"/>
      <c r="AB622" s="144"/>
      <c r="AC622" s="144"/>
    </row>
    <row r="623" spans="1:29" x14ac:dyDescent="0.2">
      <c r="A623" s="144"/>
      <c r="B623" s="145"/>
      <c r="C623" s="144"/>
      <c r="D623" s="144"/>
      <c r="E623" s="144"/>
      <c r="F623" s="144"/>
      <c r="G623" s="144"/>
      <c r="H623" s="144"/>
      <c r="I623" s="144"/>
      <c r="J623" s="144"/>
      <c r="K623" s="144"/>
      <c r="M623" s="144"/>
      <c r="N623" s="144"/>
      <c r="O623" s="144"/>
      <c r="P623" s="144"/>
      <c r="Q623" s="144"/>
      <c r="R623" s="144"/>
      <c r="S623" s="144"/>
      <c r="T623" s="144"/>
      <c r="U623" s="144"/>
      <c r="V623" s="144"/>
      <c r="W623" s="144"/>
      <c r="Y623" s="144"/>
      <c r="Z623" s="144"/>
      <c r="AA623" s="144"/>
      <c r="AB623" s="144"/>
      <c r="AC623" s="144"/>
    </row>
    <row r="624" spans="1:29" x14ac:dyDescent="0.2">
      <c r="A624" s="144"/>
      <c r="B624" s="145"/>
      <c r="C624" s="144"/>
      <c r="D624" s="144"/>
      <c r="E624" s="144"/>
      <c r="F624" s="144"/>
      <c r="G624" s="144"/>
      <c r="H624" s="144"/>
      <c r="I624" s="144"/>
      <c r="J624" s="144"/>
      <c r="K624" s="144"/>
      <c r="M624" s="144"/>
      <c r="N624" s="144"/>
      <c r="O624" s="144"/>
      <c r="P624" s="144"/>
      <c r="Q624" s="144"/>
      <c r="R624" s="144"/>
      <c r="S624" s="144"/>
      <c r="T624" s="144"/>
      <c r="U624" s="144"/>
      <c r="V624" s="144"/>
      <c r="W624" s="144"/>
      <c r="Y624" s="144"/>
      <c r="Z624" s="144"/>
      <c r="AA624" s="144"/>
      <c r="AB624" s="144"/>
      <c r="AC624" s="144"/>
    </row>
    <row r="625" spans="1:29" x14ac:dyDescent="0.2">
      <c r="A625" s="144"/>
      <c r="B625" s="145"/>
      <c r="C625" s="144"/>
      <c r="D625" s="144"/>
      <c r="E625" s="144"/>
      <c r="F625" s="144"/>
      <c r="G625" s="144"/>
      <c r="H625" s="144"/>
      <c r="I625" s="144"/>
      <c r="J625" s="144"/>
      <c r="K625" s="144"/>
      <c r="M625" s="144"/>
      <c r="N625" s="144"/>
      <c r="O625" s="144"/>
      <c r="P625" s="144"/>
      <c r="Q625" s="144"/>
      <c r="R625" s="144"/>
      <c r="S625" s="144"/>
      <c r="T625" s="144"/>
      <c r="U625" s="144"/>
      <c r="V625" s="144"/>
      <c r="W625" s="144"/>
      <c r="Y625" s="144"/>
      <c r="Z625" s="144"/>
      <c r="AA625" s="144"/>
      <c r="AB625" s="144"/>
      <c r="AC625" s="144"/>
    </row>
    <row r="626" spans="1:29" x14ac:dyDescent="0.2">
      <c r="A626" s="144"/>
      <c r="B626" s="145"/>
      <c r="C626" s="144"/>
      <c r="D626" s="144"/>
      <c r="E626" s="144"/>
      <c r="F626" s="144"/>
      <c r="G626" s="144"/>
      <c r="H626" s="144"/>
      <c r="I626" s="144"/>
      <c r="J626" s="144"/>
      <c r="K626" s="144"/>
      <c r="M626" s="144"/>
      <c r="N626" s="144"/>
      <c r="O626" s="144"/>
      <c r="P626" s="144"/>
      <c r="Q626" s="144"/>
      <c r="R626" s="144"/>
      <c r="S626" s="144"/>
      <c r="T626" s="144"/>
      <c r="U626" s="144"/>
      <c r="V626" s="144"/>
      <c r="W626" s="144"/>
      <c r="Y626" s="144"/>
      <c r="Z626" s="144"/>
      <c r="AA626" s="144"/>
      <c r="AB626" s="144"/>
      <c r="AC626" s="144"/>
    </row>
    <row r="627" spans="1:29" x14ac:dyDescent="0.2">
      <c r="A627" s="144"/>
      <c r="B627" s="145"/>
      <c r="C627" s="144"/>
      <c r="D627" s="144"/>
      <c r="E627" s="144"/>
      <c r="F627" s="144"/>
      <c r="G627" s="144"/>
      <c r="H627" s="144"/>
      <c r="I627" s="144"/>
      <c r="J627" s="144"/>
      <c r="K627" s="144"/>
      <c r="M627" s="144"/>
      <c r="N627" s="144"/>
      <c r="O627" s="144"/>
      <c r="P627" s="144"/>
      <c r="Q627" s="144"/>
      <c r="R627" s="144"/>
      <c r="S627" s="144"/>
      <c r="T627" s="144"/>
      <c r="U627" s="144"/>
      <c r="V627" s="144"/>
      <c r="W627" s="144"/>
      <c r="Y627" s="144"/>
      <c r="Z627" s="144"/>
      <c r="AA627" s="144"/>
      <c r="AB627" s="144"/>
      <c r="AC627" s="144"/>
    </row>
    <row r="628" spans="1:29" x14ac:dyDescent="0.2">
      <c r="A628" s="144"/>
      <c r="B628" s="145"/>
      <c r="C628" s="144"/>
      <c r="D628" s="144"/>
      <c r="E628" s="144"/>
      <c r="F628" s="144"/>
      <c r="G628" s="144"/>
      <c r="H628" s="144"/>
      <c r="I628" s="144"/>
      <c r="J628" s="144"/>
      <c r="K628" s="144"/>
      <c r="M628" s="144"/>
      <c r="N628" s="144"/>
      <c r="O628" s="144"/>
      <c r="P628" s="144"/>
      <c r="Q628" s="144"/>
      <c r="R628" s="144"/>
      <c r="S628" s="144"/>
      <c r="T628" s="144"/>
      <c r="U628" s="144"/>
      <c r="V628" s="144"/>
      <c r="W628" s="144"/>
      <c r="Y628" s="144"/>
      <c r="Z628" s="144"/>
      <c r="AA628" s="144"/>
      <c r="AB628" s="144"/>
      <c r="AC628" s="144"/>
    </row>
    <row r="629" spans="1:29" x14ac:dyDescent="0.2">
      <c r="A629" s="144"/>
      <c r="B629" s="145"/>
      <c r="C629" s="144"/>
      <c r="D629" s="144"/>
      <c r="E629" s="144"/>
      <c r="F629" s="144"/>
      <c r="G629" s="144"/>
      <c r="H629" s="144"/>
      <c r="I629" s="144"/>
      <c r="J629" s="144"/>
      <c r="K629" s="144"/>
      <c r="M629" s="144"/>
      <c r="N629" s="144"/>
      <c r="O629" s="144"/>
      <c r="P629" s="144"/>
      <c r="Q629" s="144"/>
      <c r="R629" s="144"/>
      <c r="S629" s="144"/>
      <c r="T629" s="144"/>
      <c r="U629" s="144"/>
      <c r="V629" s="144"/>
      <c r="W629" s="144"/>
      <c r="Y629" s="144"/>
      <c r="Z629" s="144"/>
      <c r="AA629" s="144"/>
      <c r="AB629" s="144"/>
      <c r="AC629" s="144"/>
    </row>
    <row r="630" spans="1:29" x14ac:dyDescent="0.2">
      <c r="A630" s="144"/>
      <c r="B630" s="145"/>
      <c r="C630" s="144"/>
      <c r="D630" s="144"/>
      <c r="E630" s="144"/>
      <c r="F630" s="144"/>
      <c r="G630" s="144"/>
      <c r="H630" s="144"/>
      <c r="I630" s="144"/>
      <c r="J630" s="144"/>
      <c r="K630" s="144"/>
      <c r="M630" s="144"/>
      <c r="N630" s="144"/>
      <c r="O630" s="144"/>
      <c r="P630" s="144"/>
      <c r="Q630" s="144"/>
      <c r="R630" s="144"/>
      <c r="S630" s="144"/>
      <c r="T630" s="144"/>
      <c r="U630" s="144"/>
      <c r="V630" s="144"/>
      <c r="W630" s="144"/>
      <c r="Y630" s="144"/>
      <c r="Z630" s="144"/>
      <c r="AA630" s="144"/>
      <c r="AB630" s="144"/>
      <c r="AC630" s="144"/>
    </row>
    <row r="631" spans="1:29" x14ac:dyDescent="0.2">
      <c r="A631" s="144"/>
      <c r="B631" s="145"/>
      <c r="C631" s="144"/>
      <c r="D631" s="144"/>
      <c r="E631" s="144"/>
      <c r="F631" s="144"/>
      <c r="G631" s="144"/>
      <c r="H631" s="144"/>
      <c r="I631" s="144"/>
      <c r="J631" s="144"/>
      <c r="K631" s="144"/>
      <c r="M631" s="144"/>
      <c r="N631" s="144"/>
      <c r="O631" s="144"/>
      <c r="P631" s="144"/>
      <c r="Q631" s="144"/>
      <c r="R631" s="144"/>
      <c r="S631" s="144"/>
      <c r="T631" s="144"/>
      <c r="U631" s="144"/>
      <c r="V631" s="144"/>
      <c r="W631" s="144"/>
      <c r="Y631" s="144"/>
      <c r="Z631" s="144"/>
      <c r="AA631" s="144"/>
      <c r="AB631" s="144"/>
      <c r="AC631" s="144"/>
    </row>
    <row r="632" spans="1:29" x14ac:dyDescent="0.2">
      <c r="A632" s="144"/>
      <c r="B632" s="145"/>
      <c r="C632" s="144"/>
      <c r="D632" s="144"/>
      <c r="E632" s="144"/>
      <c r="F632" s="144"/>
      <c r="G632" s="144"/>
      <c r="H632" s="144"/>
      <c r="I632" s="144"/>
      <c r="J632" s="144"/>
      <c r="K632" s="144"/>
      <c r="M632" s="144"/>
      <c r="N632" s="144"/>
      <c r="O632" s="144"/>
      <c r="P632" s="144"/>
      <c r="Q632" s="144"/>
      <c r="R632" s="144"/>
      <c r="S632" s="144"/>
      <c r="T632" s="144"/>
      <c r="U632" s="144"/>
      <c r="V632" s="144"/>
      <c r="W632" s="144"/>
      <c r="Y632" s="144"/>
      <c r="Z632" s="144"/>
      <c r="AA632" s="144"/>
      <c r="AB632" s="144"/>
      <c r="AC632" s="144"/>
    </row>
    <row r="633" spans="1:29" x14ac:dyDescent="0.2">
      <c r="A633" s="144"/>
      <c r="B633" s="145"/>
      <c r="C633" s="144"/>
      <c r="D633" s="144"/>
      <c r="E633" s="144"/>
      <c r="F633" s="144"/>
      <c r="G633" s="144"/>
      <c r="H633" s="144"/>
      <c r="I633" s="144"/>
      <c r="J633" s="144"/>
      <c r="K633" s="144"/>
      <c r="M633" s="144"/>
      <c r="N633" s="144"/>
      <c r="O633" s="144"/>
      <c r="P633" s="144"/>
      <c r="Q633" s="144"/>
      <c r="R633" s="144"/>
      <c r="S633" s="144"/>
      <c r="T633" s="144"/>
      <c r="U633" s="144"/>
      <c r="V633" s="144"/>
      <c r="W633" s="144"/>
      <c r="Y633" s="144"/>
      <c r="Z633" s="144"/>
      <c r="AA633" s="144"/>
      <c r="AB633" s="144"/>
      <c r="AC633" s="144"/>
    </row>
    <row r="634" spans="1:29" x14ac:dyDescent="0.2">
      <c r="A634" s="144"/>
      <c r="B634" s="145"/>
      <c r="C634" s="144"/>
      <c r="D634" s="144"/>
      <c r="E634" s="144"/>
      <c r="F634" s="144"/>
      <c r="G634" s="144"/>
      <c r="H634" s="144"/>
      <c r="I634" s="144"/>
      <c r="J634" s="144"/>
      <c r="K634" s="144"/>
      <c r="M634" s="144"/>
      <c r="N634" s="144"/>
      <c r="O634" s="144"/>
      <c r="P634" s="144"/>
      <c r="Q634" s="144"/>
      <c r="R634" s="144"/>
      <c r="S634" s="144"/>
      <c r="T634" s="144"/>
      <c r="U634" s="144"/>
      <c r="V634" s="144"/>
      <c r="W634" s="144"/>
      <c r="Y634" s="144"/>
      <c r="Z634" s="144"/>
      <c r="AA634" s="144"/>
      <c r="AB634" s="144"/>
      <c r="AC634" s="144"/>
    </row>
    <row r="635" spans="1:29" x14ac:dyDescent="0.2">
      <c r="A635" s="144"/>
      <c r="B635" s="145"/>
      <c r="C635" s="144"/>
      <c r="D635" s="144"/>
      <c r="E635" s="144"/>
      <c r="F635" s="144"/>
      <c r="G635" s="144"/>
      <c r="H635" s="144"/>
      <c r="I635" s="144"/>
      <c r="J635" s="144"/>
      <c r="K635" s="144"/>
      <c r="M635" s="144"/>
      <c r="N635" s="144"/>
      <c r="O635" s="144"/>
      <c r="P635" s="144"/>
      <c r="Q635" s="144"/>
      <c r="R635" s="144"/>
      <c r="S635" s="144"/>
      <c r="T635" s="144"/>
      <c r="U635" s="144"/>
      <c r="V635" s="144"/>
      <c r="W635" s="144"/>
      <c r="Y635" s="144"/>
      <c r="Z635" s="144"/>
      <c r="AA635" s="144"/>
      <c r="AB635" s="144"/>
      <c r="AC635" s="144"/>
    </row>
    <row r="636" spans="1:29" x14ac:dyDescent="0.2">
      <c r="A636" s="144"/>
      <c r="B636" s="145"/>
      <c r="C636" s="144"/>
      <c r="D636" s="144"/>
      <c r="E636" s="144"/>
      <c r="F636" s="144"/>
      <c r="G636" s="144"/>
      <c r="H636" s="144"/>
      <c r="I636" s="144"/>
      <c r="J636" s="144"/>
      <c r="K636" s="144"/>
      <c r="M636" s="144"/>
      <c r="N636" s="144"/>
      <c r="O636" s="144"/>
      <c r="P636" s="144"/>
      <c r="Q636" s="144"/>
      <c r="R636" s="144"/>
      <c r="S636" s="144"/>
      <c r="T636" s="144"/>
      <c r="U636" s="144"/>
      <c r="V636" s="144"/>
      <c r="W636" s="144"/>
      <c r="Y636" s="144"/>
      <c r="Z636" s="144"/>
      <c r="AA636" s="144"/>
      <c r="AB636" s="144"/>
      <c r="AC636" s="144"/>
    </row>
    <row r="637" spans="1:29" x14ac:dyDescent="0.2">
      <c r="A637" s="144"/>
      <c r="B637" s="145"/>
      <c r="C637" s="144"/>
      <c r="D637" s="144"/>
      <c r="E637" s="144"/>
      <c r="F637" s="144"/>
      <c r="G637" s="144"/>
      <c r="H637" s="144"/>
      <c r="I637" s="144"/>
      <c r="J637" s="144"/>
      <c r="K637" s="144"/>
      <c r="M637" s="144"/>
      <c r="N637" s="144"/>
      <c r="O637" s="144"/>
      <c r="P637" s="144"/>
      <c r="Q637" s="144"/>
      <c r="R637" s="144"/>
      <c r="S637" s="144"/>
      <c r="T637" s="144"/>
      <c r="U637" s="144"/>
      <c r="V637" s="144"/>
      <c r="W637" s="144"/>
      <c r="Y637" s="144"/>
      <c r="Z637" s="144"/>
      <c r="AA637" s="144"/>
      <c r="AB637" s="144"/>
      <c r="AC637" s="144"/>
    </row>
    <row r="638" spans="1:29" x14ac:dyDescent="0.2">
      <c r="A638" s="144"/>
      <c r="B638" s="145"/>
      <c r="C638" s="144"/>
      <c r="D638" s="144"/>
      <c r="E638" s="144"/>
      <c r="F638" s="144"/>
      <c r="G638" s="144"/>
      <c r="H638" s="144"/>
      <c r="I638" s="144"/>
      <c r="J638" s="144"/>
      <c r="K638" s="144"/>
      <c r="M638" s="144"/>
      <c r="N638" s="144"/>
      <c r="O638" s="144"/>
      <c r="P638" s="144"/>
      <c r="Q638" s="144"/>
      <c r="R638" s="144"/>
      <c r="S638" s="144"/>
      <c r="T638" s="144"/>
      <c r="U638" s="144"/>
      <c r="V638" s="144"/>
      <c r="W638" s="144"/>
      <c r="Y638" s="144"/>
      <c r="Z638" s="144"/>
      <c r="AA638" s="144"/>
      <c r="AB638" s="144"/>
      <c r="AC638" s="144"/>
    </row>
    <row r="639" spans="1:29" x14ac:dyDescent="0.2">
      <c r="A639" s="144"/>
      <c r="B639" s="145"/>
      <c r="C639" s="144"/>
      <c r="D639" s="144"/>
      <c r="E639" s="144"/>
      <c r="F639" s="144"/>
      <c r="G639" s="144"/>
      <c r="H639" s="144"/>
      <c r="I639" s="144"/>
      <c r="J639" s="144"/>
      <c r="K639" s="144"/>
      <c r="M639" s="144"/>
      <c r="N639" s="144"/>
      <c r="O639" s="144"/>
      <c r="P639" s="144"/>
      <c r="Q639" s="144"/>
      <c r="R639" s="144"/>
      <c r="S639" s="144"/>
      <c r="T639" s="144"/>
      <c r="U639" s="144"/>
      <c r="V639" s="144"/>
      <c r="W639" s="144"/>
      <c r="Y639" s="144"/>
      <c r="Z639" s="144"/>
      <c r="AA639" s="144"/>
      <c r="AB639" s="144"/>
      <c r="AC639" s="144"/>
    </row>
    <row r="640" spans="1:29" x14ac:dyDescent="0.2">
      <c r="A640" s="144"/>
      <c r="B640" s="145"/>
      <c r="C640" s="144"/>
      <c r="D640" s="144"/>
      <c r="E640" s="144"/>
      <c r="F640" s="144"/>
      <c r="G640" s="144"/>
      <c r="H640" s="144"/>
      <c r="I640" s="144"/>
      <c r="J640" s="144"/>
      <c r="K640" s="144"/>
      <c r="M640" s="144"/>
      <c r="N640" s="144"/>
      <c r="O640" s="144"/>
      <c r="P640" s="144"/>
      <c r="Q640" s="144"/>
      <c r="R640" s="144"/>
      <c r="S640" s="144"/>
      <c r="T640" s="144"/>
      <c r="U640" s="144"/>
      <c r="V640" s="144"/>
      <c r="W640" s="144"/>
      <c r="Y640" s="144"/>
      <c r="Z640" s="144"/>
      <c r="AA640" s="144"/>
      <c r="AB640" s="144"/>
      <c r="AC640" s="144"/>
    </row>
    <row r="641" spans="1:29" x14ac:dyDescent="0.2">
      <c r="A641" s="144"/>
      <c r="B641" s="145"/>
      <c r="C641" s="144"/>
      <c r="D641" s="144"/>
      <c r="E641" s="144"/>
      <c r="F641" s="144"/>
      <c r="G641" s="144"/>
      <c r="H641" s="144"/>
      <c r="I641" s="144"/>
      <c r="J641" s="144"/>
      <c r="K641" s="144"/>
      <c r="M641" s="144"/>
      <c r="N641" s="144"/>
      <c r="O641" s="144"/>
      <c r="P641" s="144"/>
      <c r="Q641" s="144"/>
      <c r="R641" s="144"/>
      <c r="S641" s="144"/>
      <c r="T641" s="144"/>
      <c r="U641" s="144"/>
      <c r="V641" s="144"/>
      <c r="W641" s="144"/>
      <c r="Y641" s="144"/>
      <c r="Z641" s="144"/>
      <c r="AA641" s="144"/>
      <c r="AB641" s="144"/>
      <c r="AC641" s="144"/>
    </row>
    <row r="642" spans="1:29" x14ac:dyDescent="0.2">
      <c r="A642" s="144"/>
      <c r="B642" s="145"/>
      <c r="C642" s="144"/>
      <c r="D642" s="144"/>
      <c r="E642" s="144"/>
      <c r="F642" s="144"/>
      <c r="G642" s="144"/>
      <c r="H642" s="144"/>
      <c r="I642" s="144"/>
      <c r="J642" s="144"/>
      <c r="K642" s="144"/>
      <c r="M642" s="144"/>
      <c r="N642" s="144"/>
      <c r="O642" s="144"/>
      <c r="P642" s="144"/>
      <c r="Q642" s="144"/>
      <c r="R642" s="144"/>
      <c r="S642" s="144"/>
      <c r="T642" s="144"/>
      <c r="U642" s="144"/>
      <c r="V642" s="144"/>
      <c r="W642" s="144"/>
      <c r="Y642" s="144"/>
      <c r="Z642" s="144"/>
      <c r="AA642" s="144"/>
      <c r="AB642" s="144"/>
      <c r="AC642" s="144"/>
    </row>
    <row r="643" spans="1:29" x14ac:dyDescent="0.2">
      <c r="A643" s="144"/>
      <c r="B643" s="145"/>
      <c r="C643" s="144"/>
      <c r="D643" s="144"/>
      <c r="E643" s="144"/>
      <c r="F643" s="144"/>
      <c r="G643" s="144"/>
      <c r="H643" s="144"/>
      <c r="I643" s="144"/>
      <c r="J643" s="144"/>
      <c r="K643" s="144"/>
      <c r="M643" s="144"/>
      <c r="N643" s="144"/>
      <c r="O643" s="144"/>
      <c r="P643" s="144"/>
      <c r="Q643" s="144"/>
      <c r="R643" s="144"/>
      <c r="S643" s="144"/>
      <c r="T643" s="144"/>
      <c r="U643" s="144"/>
      <c r="V643" s="144"/>
      <c r="W643" s="144"/>
      <c r="Y643" s="144"/>
      <c r="Z643" s="144"/>
      <c r="AA643" s="144"/>
      <c r="AB643" s="144"/>
      <c r="AC643" s="144"/>
    </row>
    <row r="644" spans="1:29" x14ac:dyDescent="0.2">
      <c r="A644" s="144"/>
      <c r="B644" s="145"/>
      <c r="C644" s="144"/>
      <c r="D644" s="144"/>
      <c r="E644" s="144"/>
      <c r="F644" s="144"/>
      <c r="G644" s="144"/>
      <c r="H644" s="144"/>
      <c r="I644" s="144"/>
      <c r="J644" s="144"/>
      <c r="K644" s="144"/>
      <c r="M644" s="144"/>
      <c r="N644" s="144"/>
      <c r="O644" s="144"/>
      <c r="P644" s="144"/>
      <c r="Q644" s="144"/>
      <c r="R644" s="144"/>
      <c r="S644" s="144"/>
      <c r="T644" s="144"/>
      <c r="U644" s="144"/>
      <c r="V644" s="144"/>
      <c r="W644" s="144"/>
      <c r="Y644" s="144"/>
      <c r="Z644" s="144"/>
      <c r="AA644" s="144"/>
      <c r="AB644" s="144"/>
      <c r="AC644" s="144"/>
    </row>
    <row r="645" spans="1:29" x14ac:dyDescent="0.2">
      <c r="A645" s="144"/>
      <c r="B645" s="145"/>
      <c r="C645" s="144"/>
      <c r="D645" s="144"/>
      <c r="E645" s="144"/>
      <c r="F645" s="144"/>
      <c r="G645" s="144"/>
      <c r="H645" s="144"/>
      <c r="I645" s="144"/>
      <c r="J645" s="144"/>
      <c r="K645" s="144"/>
      <c r="M645" s="144"/>
      <c r="N645" s="144"/>
      <c r="O645" s="144"/>
      <c r="P645" s="144"/>
      <c r="Q645" s="144"/>
      <c r="R645" s="144"/>
      <c r="S645" s="144"/>
      <c r="T645" s="144"/>
      <c r="U645" s="144"/>
      <c r="V645" s="144"/>
      <c r="W645" s="144"/>
      <c r="Y645" s="144"/>
      <c r="Z645" s="144"/>
      <c r="AA645" s="144"/>
      <c r="AB645" s="144"/>
      <c r="AC645" s="144"/>
    </row>
    <row r="646" spans="1:29" x14ac:dyDescent="0.2">
      <c r="A646" s="144"/>
      <c r="B646" s="145"/>
      <c r="C646" s="144"/>
      <c r="D646" s="144"/>
      <c r="E646" s="144"/>
      <c r="F646" s="144"/>
      <c r="G646" s="144"/>
      <c r="H646" s="144"/>
      <c r="I646" s="144"/>
      <c r="J646" s="144"/>
      <c r="K646" s="144"/>
      <c r="M646" s="144"/>
      <c r="N646" s="144"/>
      <c r="O646" s="144"/>
      <c r="P646" s="144"/>
      <c r="Q646" s="144"/>
      <c r="R646" s="144"/>
      <c r="S646" s="144"/>
      <c r="T646" s="144"/>
      <c r="U646" s="144"/>
      <c r="V646" s="144"/>
      <c r="W646" s="144"/>
      <c r="Y646" s="144"/>
      <c r="Z646" s="144"/>
      <c r="AA646" s="144"/>
      <c r="AB646" s="144"/>
      <c r="AC646" s="144"/>
    </row>
    <row r="647" spans="1:29" x14ac:dyDescent="0.2">
      <c r="A647" s="144"/>
      <c r="B647" s="145"/>
      <c r="C647" s="144"/>
      <c r="D647" s="144"/>
      <c r="E647" s="144"/>
      <c r="F647" s="144"/>
      <c r="G647" s="144"/>
      <c r="H647" s="144"/>
      <c r="I647" s="144"/>
      <c r="J647" s="144"/>
      <c r="K647" s="144"/>
      <c r="M647" s="144"/>
      <c r="N647" s="144"/>
      <c r="O647" s="144"/>
      <c r="P647" s="144"/>
      <c r="Q647" s="144"/>
      <c r="R647" s="144"/>
      <c r="S647" s="144"/>
      <c r="T647" s="144"/>
      <c r="U647" s="144"/>
      <c r="V647" s="144"/>
      <c r="W647" s="144"/>
      <c r="Y647" s="144"/>
      <c r="Z647" s="144"/>
      <c r="AA647" s="144"/>
      <c r="AB647" s="144"/>
      <c r="AC647" s="144"/>
    </row>
    <row r="648" spans="1:29" x14ac:dyDescent="0.2">
      <c r="A648" s="144"/>
      <c r="B648" s="145"/>
      <c r="C648" s="144"/>
      <c r="D648" s="144"/>
      <c r="E648" s="144"/>
      <c r="F648" s="144"/>
      <c r="G648" s="144"/>
      <c r="H648" s="144"/>
      <c r="I648" s="144"/>
      <c r="J648" s="144"/>
      <c r="K648" s="144"/>
      <c r="M648" s="144"/>
      <c r="N648" s="144"/>
      <c r="O648" s="144"/>
      <c r="P648" s="144"/>
      <c r="Q648" s="144"/>
      <c r="R648" s="144"/>
      <c r="S648" s="144"/>
      <c r="T648" s="144"/>
      <c r="U648" s="144"/>
      <c r="V648" s="144"/>
      <c r="W648" s="144"/>
      <c r="Y648" s="144"/>
      <c r="Z648" s="144"/>
      <c r="AA648" s="144"/>
      <c r="AB648" s="144"/>
      <c r="AC648" s="144"/>
    </row>
    <row r="649" spans="1:29" x14ac:dyDescent="0.2">
      <c r="A649" s="144"/>
      <c r="B649" s="145"/>
      <c r="C649" s="144"/>
      <c r="D649" s="144"/>
      <c r="E649" s="144"/>
      <c r="F649" s="144"/>
      <c r="G649" s="144"/>
      <c r="H649" s="144"/>
      <c r="I649" s="144"/>
      <c r="J649" s="144"/>
      <c r="K649" s="144"/>
      <c r="M649" s="144"/>
      <c r="N649" s="144"/>
      <c r="O649" s="144"/>
      <c r="P649" s="144"/>
      <c r="Q649" s="144"/>
      <c r="R649" s="144"/>
      <c r="S649" s="144"/>
      <c r="T649" s="144"/>
      <c r="U649" s="144"/>
      <c r="V649" s="144"/>
      <c r="W649" s="144"/>
      <c r="Y649" s="144"/>
      <c r="Z649" s="144"/>
      <c r="AA649" s="144"/>
      <c r="AB649" s="144"/>
      <c r="AC649" s="144"/>
    </row>
    <row r="650" spans="1:29" x14ac:dyDescent="0.2">
      <c r="A650" s="144"/>
      <c r="B650" s="145"/>
      <c r="C650" s="144"/>
      <c r="D650" s="144"/>
      <c r="E650" s="144"/>
      <c r="F650" s="144"/>
      <c r="G650" s="144"/>
      <c r="H650" s="144"/>
      <c r="I650" s="144"/>
      <c r="J650" s="144"/>
      <c r="K650" s="144"/>
      <c r="M650" s="144"/>
      <c r="N650" s="144"/>
      <c r="O650" s="144"/>
      <c r="P650" s="144"/>
      <c r="Q650" s="144"/>
      <c r="R650" s="144"/>
      <c r="S650" s="144"/>
      <c r="T650" s="144"/>
      <c r="U650" s="144"/>
      <c r="V650" s="144"/>
      <c r="W650" s="144"/>
      <c r="Y650" s="144"/>
      <c r="Z650" s="144"/>
      <c r="AA650" s="144"/>
      <c r="AB650" s="144"/>
      <c r="AC650" s="144"/>
    </row>
    <row r="651" spans="1:29" x14ac:dyDescent="0.2">
      <c r="A651" s="144"/>
      <c r="B651" s="145"/>
      <c r="C651" s="144"/>
      <c r="D651" s="144"/>
      <c r="E651" s="144"/>
      <c r="F651" s="144"/>
      <c r="G651" s="144"/>
      <c r="H651" s="144"/>
      <c r="I651" s="144"/>
      <c r="J651" s="144"/>
      <c r="K651" s="144"/>
      <c r="M651" s="144"/>
      <c r="N651" s="144"/>
      <c r="O651" s="144"/>
      <c r="P651" s="144"/>
      <c r="Q651" s="144"/>
      <c r="R651" s="144"/>
      <c r="S651" s="144"/>
      <c r="T651" s="144"/>
      <c r="U651" s="144"/>
      <c r="V651" s="144"/>
      <c r="W651" s="144"/>
      <c r="Y651" s="144"/>
      <c r="Z651" s="144"/>
      <c r="AA651" s="144"/>
      <c r="AB651" s="144"/>
      <c r="AC651" s="144"/>
    </row>
    <row r="652" spans="1:29" x14ac:dyDescent="0.2">
      <c r="A652" s="144"/>
      <c r="B652" s="145"/>
      <c r="C652" s="144"/>
      <c r="D652" s="144"/>
      <c r="E652" s="144"/>
      <c r="F652" s="144"/>
      <c r="G652" s="144"/>
      <c r="H652" s="144"/>
      <c r="I652" s="144"/>
      <c r="J652" s="144"/>
      <c r="K652" s="144"/>
      <c r="M652" s="144"/>
      <c r="N652" s="144"/>
      <c r="O652" s="144"/>
      <c r="P652" s="144"/>
      <c r="Q652" s="144"/>
      <c r="R652" s="144"/>
      <c r="S652" s="144"/>
      <c r="T652" s="144"/>
      <c r="U652" s="144"/>
      <c r="V652" s="144"/>
      <c r="W652" s="144"/>
      <c r="Y652" s="144"/>
      <c r="Z652" s="144"/>
      <c r="AA652" s="144"/>
      <c r="AB652" s="144"/>
      <c r="AC652" s="144"/>
    </row>
    <row r="653" spans="1:29" x14ac:dyDescent="0.2">
      <c r="A653" s="144"/>
      <c r="B653" s="145"/>
      <c r="C653" s="144"/>
      <c r="D653" s="144"/>
      <c r="E653" s="144"/>
      <c r="F653" s="144"/>
      <c r="G653" s="144"/>
      <c r="H653" s="144"/>
      <c r="I653" s="144"/>
      <c r="J653" s="144"/>
      <c r="K653" s="144"/>
      <c r="M653" s="144"/>
      <c r="N653" s="144"/>
      <c r="O653" s="144"/>
      <c r="P653" s="144"/>
      <c r="Q653" s="144"/>
      <c r="R653" s="144"/>
      <c r="S653" s="144"/>
      <c r="T653" s="144"/>
      <c r="U653" s="144"/>
      <c r="V653" s="144"/>
      <c r="W653" s="144"/>
      <c r="Y653" s="144"/>
      <c r="Z653" s="144"/>
      <c r="AA653" s="144"/>
      <c r="AB653" s="144"/>
      <c r="AC653" s="144"/>
    </row>
    <row r="654" spans="1:29" x14ac:dyDescent="0.2">
      <c r="A654" s="144"/>
      <c r="B654" s="145"/>
      <c r="C654" s="144"/>
      <c r="D654" s="144"/>
      <c r="E654" s="144"/>
      <c r="F654" s="144"/>
      <c r="G654" s="144"/>
      <c r="H654" s="144"/>
      <c r="I654" s="144"/>
      <c r="J654" s="144"/>
      <c r="K654" s="144"/>
      <c r="M654" s="144"/>
      <c r="N654" s="144"/>
      <c r="O654" s="144"/>
      <c r="P654" s="144"/>
      <c r="Q654" s="144"/>
      <c r="R654" s="144"/>
      <c r="S654" s="144"/>
      <c r="T654" s="144"/>
      <c r="U654" s="144"/>
      <c r="V654" s="144"/>
      <c r="W654" s="144"/>
      <c r="Y654" s="144"/>
      <c r="Z654" s="144"/>
      <c r="AA654" s="144"/>
      <c r="AB654" s="144"/>
      <c r="AC654" s="144"/>
    </row>
    <row r="655" spans="1:29" x14ac:dyDescent="0.2">
      <c r="A655" s="144"/>
      <c r="B655" s="145"/>
      <c r="C655" s="144"/>
      <c r="D655" s="144"/>
      <c r="E655" s="144"/>
      <c r="F655" s="144"/>
      <c r="G655" s="144"/>
      <c r="H655" s="144"/>
      <c r="I655" s="144"/>
      <c r="J655" s="144"/>
      <c r="K655" s="144"/>
      <c r="M655" s="144"/>
      <c r="N655" s="144"/>
      <c r="O655" s="144"/>
      <c r="P655" s="144"/>
      <c r="Q655" s="144"/>
      <c r="R655" s="144"/>
      <c r="S655" s="144"/>
      <c r="T655" s="144"/>
      <c r="U655" s="144"/>
      <c r="V655" s="144"/>
      <c r="W655" s="144"/>
      <c r="Y655" s="144"/>
      <c r="Z655" s="144"/>
      <c r="AA655" s="144"/>
      <c r="AB655" s="144"/>
      <c r="AC655" s="144"/>
    </row>
  </sheetData>
  <pageMargins left="0.7" right="0.7" top="0.78740157499999996" bottom="0.78740157499999996" header="0.3" footer="0.3"/>
  <ignoredErrors>
    <ignoredError sqref="B6:B9" twoDigitTextYea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C12C-C44C-0846-8CD2-2DD5BE180CEF}">
  <sheetPr codeName="Tabelle5"/>
  <dimension ref="A2:AC655"/>
  <sheetViews>
    <sheetView topLeftCell="A2" workbookViewId="0">
      <selection activeCell="B22" sqref="B22"/>
    </sheetView>
  </sheetViews>
  <sheetFormatPr baseColWidth="10" defaultRowHeight="15" x14ac:dyDescent="0.2"/>
  <cols>
    <col min="2" max="2" width="74.1640625" customWidth="1"/>
  </cols>
  <sheetData>
    <row r="2" spans="1:29" x14ac:dyDescent="0.2">
      <c r="B2" s="146" t="s">
        <v>2129</v>
      </c>
    </row>
    <row r="3" spans="1:29" ht="16" x14ac:dyDescent="0.2">
      <c r="A3" s="146" t="s">
        <v>2127</v>
      </c>
      <c r="B3" s="147" t="s">
        <v>2130</v>
      </c>
    </row>
    <row r="4" spans="1:29" ht="16" x14ac:dyDescent="0.2">
      <c r="A4" s="146" t="s">
        <v>2128</v>
      </c>
      <c r="B4" s="147" t="s">
        <v>2118</v>
      </c>
    </row>
    <row r="12" spans="1:29" x14ac:dyDescent="0.2">
      <c r="A12" s="144"/>
      <c r="B12" s="144"/>
      <c r="C12" s="144"/>
      <c r="D12" s="144"/>
      <c r="E12" s="144"/>
      <c r="F12" s="144"/>
      <c r="G12" s="144"/>
      <c r="H12" s="144"/>
      <c r="I12" s="144"/>
      <c r="J12" s="144"/>
      <c r="K12" s="144"/>
      <c r="M12" s="144"/>
      <c r="N12" s="144"/>
      <c r="O12" s="144"/>
      <c r="P12" s="144"/>
      <c r="Q12" s="144"/>
      <c r="R12" s="144"/>
      <c r="S12" s="144"/>
      <c r="T12" s="144"/>
      <c r="U12" s="144"/>
      <c r="V12" s="144"/>
      <c r="W12" s="144"/>
      <c r="Y12" s="144"/>
      <c r="Z12" s="144"/>
      <c r="AA12" s="144"/>
      <c r="AB12" s="144"/>
      <c r="AC12" s="144"/>
    </row>
    <row r="13" spans="1:29" x14ac:dyDescent="0.2">
      <c r="A13" s="144"/>
      <c r="B13" s="144"/>
      <c r="C13" s="144"/>
      <c r="D13" s="144"/>
      <c r="E13" s="144"/>
      <c r="F13" s="144"/>
      <c r="G13" s="144"/>
      <c r="H13" s="144"/>
      <c r="I13" s="144"/>
      <c r="J13" s="144"/>
      <c r="K13" s="144"/>
      <c r="M13" s="144"/>
      <c r="N13" s="144"/>
      <c r="O13" s="144"/>
      <c r="P13" s="144"/>
      <c r="Q13" s="144"/>
      <c r="R13" s="144"/>
      <c r="S13" s="144"/>
      <c r="T13" s="144"/>
      <c r="U13" s="144"/>
      <c r="V13" s="144"/>
      <c r="W13" s="144"/>
      <c r="Y13" s="144"/>
      <c r="Z13" s="144"/>
      <c r="AA13" s="144"/>
      <c r="AB13" s="144"/>
      <c r="AC13" s="144"/>
    </row>
    <row r="14" spans="1:29" x14ac:dyDescent="0.2">
      <c r="A14" s="144"/>
      <c r="B14" s="144"/>
      <c r="C14" s="144"/>
      <c r="D14" s="144"/>
      <c r="E14" s="144"/>
      <c r="F14" s="144"/>
      <c r="G14" s="144"/>
      <c r="H14" s="144"/>
      <c r="I14" s="144"/>
      <c r="J14" s="144"/>
      <c r="K14" s="144"/>
      <c r="M14" s="144"/>
      <c r="N14" s="144"/>
      <c r="O14" s="144"/>
      <c r="P14" s="144"/>
      <c r="Q14" s="144"/>
      <c r="R14" s="144"/>
      <c r="S14" s="144"/>
      <c r="T14" s="144"/>
      <c r="U14" s="144"/>
      <c r="V14" s="144"/>
      <c r="W14" s="144"/>
      <c r="Y14" s="144"/>
      <c r="Z14" s="144"/>
      <c r="AA14" s="144"/>
      <c r="AB14" s="144"/>
      <c r="AC14" s="144"/>
    </row>
    <row r="15" spans="1:29" x14ac:dyDescent="0.2">
      <c r="A15" s="144"/>
      <c r="B15" s="144"/>
      <c r="C15" s="144"/>
      <c r="D15" s="144"/>
      <c r="E15" s="144"/>
      <c r="F15" s="144"/>
      <c r="G15" s="144"/>
      <c r="H15" s="144"/>
      <c r="I15" s="144"/>
      <c r="J15" s="144"/>
      <c r="K15" s="144"/>
      <c r="M15" s="144"/>
      <c r="N15" s="144"/>
      <c r="O15" s="144"/>
      <c r="P15" s="144"/>
      <c r="Q15" s="144"/>
      <c r="R15" s="144"/>
      <c r="S15" s="144"/>
      <c r="T15" s="144"/>
      <c r="U15" s="144"/>
      <c r="V15" s="144"/>
      <c r="W15" s="144"/>
      <c r="Y15" s="144"/>
      <c r="Z15" s="144"/>
      <c r="AA15" s="144"/>
      <c r="AB15" s="144"/>
      <c r="AC15" s="144"/>
    </row>
    <row r="16" spans="1:29" x14ac:dyDescent="0.2">
      <c r="A16" s="144"/>
      <c r="B16" s="144"/>
      <c r="C16" s="144"/>
      <c r="D16" s="144"/>
      <c r="E16" s="144"/>
      <c r="F16" s="144"/>
      <c r="G16" s="144"/>
      <c r="H16" s="144"/>
      <c r="I16" s="144"/>
      <c r="J16" s="144"/>
      <c r="K16" s="144"/>
      <c r="M16" s="144"/>
      <c r="N16" s="144"/>
      <c r="O16" s="144"/>
      <c r="P16" s="144"/>
      <c r="Q16" s="144"/>
      <c r="R16" s="144"/>
      <c r="S16" s="144"/>
      <c r="T16" s="144"/>
      <c r="U16" s="144"/>
      <c r="V16" s="144"/>
      <c r="W16" s="144"/>
      <c r="Y16" s="144"/>
      <c r="Z16" s="144"/>
      <c r="AA16" s="144"/>
      <c r="AB16" s="144"/>
      <c r="AC16" s="144"/>
    </row>
    <row r="17" spans="1:29" x14ac:dyDescent="0.2">
      <c r="A17" s="144"/>
      <c r="B17" s="144"/>
      <c r="C17" s="144"/>
      <c r="D17" s="144"/>
      <c r="E17" s="144"/>
      <c r="F17" s="144"/>
      <c r="G17" s="144"/>
      <c r="H17" s="144"/>
      <c r="I17" s="144"/>
      <c r="J17" s="144"/>
      <c r="K17" s="144"/>
      <c r="M17" s="144"/>
      <c r="N17" s="144"/>
      <c r="O17" s="144"/>
      <c r="P17" s="144"/>
      <c r="Q17" s="144"/>
      <c r="R17" s="144"/>
      <c r="S17" s="144"/>
      <c r="T17" s="144"/>
      <c r="U17" s="144"/>
      <c r="V17" s="144"/>
      <c r="W17" s="144"/>
      <c r="Y17" s="144"/>
      <c r="Z17" s="144"/>
      <c r="AA17" s="144"/>
      <c r="AB17" s="144"/>
      <c r="AC17" s="144"/>
    </row>
    <row r="18" spans="1:29" x14ac:dyDescent="0.2">
      <c r="A18" s="144"/>
      <c r="B18" s="144"/>
      <c r="C18" s="144"/>
      <c r="D18" s="144"/>
      <c r="E18" s="144"/>
      <c r="F18" s="144"/>
      <c r="G18" s="144"/>
      <c r="H18" s="144"/>
      <c r="I18" s="144"/>
      <c r="J18" s="144"/>
      <c r="K18" s="144"/>
      <c r="M18" s="144"/>
      <c r="N18" s="144"/>
      <c r="O18" s="144"/>
      <c r="P18" s="144"/>
      <c r="Q18" s="144"/>
      <c r="R18" s="144"/>
      <c r="S18" s="144"/>
      <c r="T18" s="144"/>
      <c r="U18" s="144"/>
      <c r="V18" s="144"/>
      <c r="W18" s="144"/>
      <c r="Y18" s="144"/>
      <c r="Z18" s="144"/>
      <c r="AA18" s="144"/>
      <c r="AB18" s="144"/>
      <c r="AC18" s="144"/>
    </row>
    <row r="19" spans="1:29" x14ac:dyDescent="0.2">
      <c r="A19" s="144"/>
      <c r="B19" s="144"/>
      <c r="C19" s="144"/>
      <c r="D19" s="144"/>
      <c r="E19" s="144"/>
      <c r="F19" s="144"/>
      <c r="G19" s="144"/>
      <c r="H19" s="144"/>
      <c r="I19" s="144"/>
      <c r="J19" s="144"/>
      <c r="K19" s="144"/>
      <c r="M19" s="144"/>
      <c r="N19" s="144"/>
      <c r="O19" s="144"/>
      <c r="P19" s="144"/>
      <c r="Q19" s="144"/>
      <c r="R19" s="144"/>
      <c r="S19" s="144"/>
      <c r="T19" s="144"/>
      <c r="U19" s="144"/>
      <c r="V19" s="144"/>
      <c r="W19" s="144"/>
      <c r="Y19" s="144"/>
      <c r="Z19" s="144"/>
      <c r="AA19" s="144"/>
      <c r="AB19" s="144"/>
      <c r="AC19" s="144"/>
    </row>
    <row r="20" spans="1:29" x14ac:dyDescent="0.2">
      <c r="A20" s="144"/>
      <c r="B20" s="144"/>
      <c r="C20" s="144"/>
      <c r="D20" s="144"/>
      <c r="E20" s="144"/>
      <c r="F20" s="144"/>
      <c r="G20" s="144"/>
      <c r="H20" s="144"/>
      <c r="I20" s="144"/>
      <c r="J20" s="144"/>
      <c r="K20" s="144"/>
      <c r="M20" s="144"/>
      <c r="N20" s="144"/>
      <c r="O20" s="144"/>
      <c r="P20" s="144"/>
      <c r="Q20" s="144"/>
      <c r="R20" s="144"/>
      <c r="S20" s="144"/>
      <c r="T20" s="144"/>
      <c r="U20" s="144"/>
      <c r="V20" s="144"/>
      <c r="W20" s="144"/>
      <c r="Y20" s="144"/>
      <c r="Z20" s="144"/>
      <c r="AA20" s="144"/>
      <c r="AB20" s="144"/>
      <c r="AC20" s="144"/>
    </row>
    <row r="21" spans="1:29" x14ac:dyDescent="0.2">
      <c r="A21" s="144"/>
      <c r="B21" s="144"/>
      <c r="C21" s="144"/>
      <c r="D21" s="144"/>
      <c r="E21" s="144"/>
      <c r="F21" s="144"/>
      <c r="G21" s="144"/>
      <c r="H21" s="144"/>
      <c r="I21" s="144"/>
      <c r="J21" s="144"/>
      <c r="K21" s="144"/>
      <c r="M21" s="144"/>
      <c r="N21" s="144"/>
      <c r="O21" s="144"/>
      <c r="P21" s="144"/>
      <c r="Q21" s="144"/>
      <c r="R21" s="144"/>
      <c r="S21" s="144"/>
      <c r="T21" s="144"/>
      <c r="U21" s="144"/>
      <c r="V21" s="144"/>
      <c r="W21" s="144"/>
      <c r="Y21" s="144"/>
      <c r="Z21" s="144"/>
      <c r="AA21" s="144"/>
      <c r="AB21" s="144"/>
      <c r="AC21" s="144"/>
    </row>
    <row r="22" spans="1:29" x14ac:dyDescent="0.2">
      <c r="A22" s="144"/>
      <c r="B22" s="144"/>
      <c r="C22" s="144"/>
      <c r="D22" s="144"/>
      <c r="E22" s="144"/>
      <c r="F22" s="144"/>
      <c r="G22" s="144"/>
      <c r="H22" s="144"/>
      <c r="I22" s="144"/>
      <c r="J22" s="144"/>
      <c r="K22" s="144"/>
      <c r="M22" s="144"/>
      <c r="N22" s="144"/>
      <c r="O22" s="144"/>
      <c r="P22" s="144"/>
      <c r="Q22" s="144"/>
      <c r="R22" s="144"/>
      <c r="S22" s="144"/>
      <c r="T22" s="144"/>
      <c r="U22" s="144"/>
      <c r="V22" s="144"/>
      <c r="W22" s="144"/>
      <c r="Y22" s="144"/>
      <c r="Z22" s="144"/>
      <c r="AA22" s="144"/>
      <c r="AB22" s="144"/>
      <c r="AC22" s="144"/>
    </row>
    <row r="23" spans="1:29" x14ac:dyDescent="0.2">
      <c r="A23" s="144"/>
      <c r="B23" s="144"/>
      <c r="C23" s="144"/>
      <c r="D23" s="144"/>
      <c r="E23" s="144"/>
      <c r="F23" s="144"/>
      <c r="G23" s="144"/>
      <c r="H23" s="144"/>
      <c r="I23" s="144"/>
      <c r="J23" s="144"/>
      <c r="K23" s="144"/>
      <c r="M23" s="144"/>
      <c r="N23" s="144"/>
      <c r="O23" s="144"/>
      <c r="P23" s="144"/>
      <c r="Q23" s="144"/>
      <c r="R23" s="144"/>
      <c r="S23" s="144"/>
      <c r="T23" s="144"/>
      <c r="U23" s="144"/>
      <c r="V23" s="144"/>
      <c r="W23" s="144"/>
      <c r="Y23" s="144"/>
      <c r="Z23" s="144"/>
      <c r="AA23" s="144"/>
      <c r="AB23" s="144"/>
      <c r="AC23" s="144"/>
    </row>
    <row r="24" spans="1:29" x14ac:dyDescent="0.2">
      <c r="A24" s="144"/>
      <c r="B24" s="144"/>
      <c r="C24" s="144"/>
      <c r="D24" s="144"/>
      <c r="E24" s="144"/>
      <c r="F24" s="144"/>
      <c r="G24" s="144"/>
      <c r="H24" s="144"/>
      <c r="I24" s="144"/>
      <c r="J24" s="144"/>
      <c r="K24" s="144"/>
      <c r="M24" s="144"/>
      <c r="N24" s="144"/>
      <c r="O24" s="144"/>
      <c r="P24" s="144"/>
      <c r="Q24" s="144"/>
      <c r="R24" s="144"/>
      <c r="S24" s="144"/>
      <c r="T24" s="144"/>
      <c r="U24" s="144"/>
      <c r="V24" s="144"/>
      <c r="W24" s="144"/>
      <c r="Y24" s="144"/>
      <c r="Z24" s="144"/>
      <c r="AA24" s="144"/>
      <c r="AB24" s="144"/>
      <c r="AC24" s="144"/>
    </row>
    <row r="25" spans="1:29" x14ac:dyDescent="0.2">
      <c r="A25" s="144"/>
      <c r="B25" s="144"/>
      <c r="C25" s="144"/>
      <c r="D25" s="144"/>
      <c r="E25" s="144"/>
      <c r="F25" s="144"/>
      <c r="G25" s="144"/>
      <c r="H25" s="144"/>
      <c r="I25" s="144"/>
      <c r="J25" s="144"/>
      <c r="K25" s="144"/>
      <c r="M25" s="144"/>
      <c r="N25" s="144"/>
      <c r="O25" s="144"/>
      <c r="P25" s="144"/>
      <c r="Q25" s="144"/>
      <c r="R25" s="144"/>
      <c r="S25" s="144"/>
      <c r="T25" s="144"/>
      <c r="U25" s="144"/>
      <c r="V25" s="144"/>
      <c r="W25" s="144"/>
      <c r="Y25" s="144"/>
      <c r="Z25" s="144"/>
      <c r="AA25" s="144"/>
      <c r="AB25" s="144"/>
      <c r="AC25" s="144"/>
    </row>
    <row r="26" spans="1:29" x14ac:dyDescent="0.2">
      <c r="A26" s="144"/>
      <c r="B26" s="144"/>
      <c r="C26" s="144"/>
      <c r="D26" s="144"/>
      <c r="E26" s="144"/>
      <c r="F26" s="144"/>
      <c r="G26" s="144"/>
      <c r="H26" s="144"/>
      <c r="I26" s="144"/>
      <c r="J26" s="144"/>
      <c r="K26" s="144"/>
      <c r="M26" s="144"/>
      <c r="N26" s="144"/>
      <c r="O26" s="144"/>
      <c r="P26" s="144"/>
      <c r="Q26" s="144"/>
      <c r="R26" s="144"/>
      <c r="S26" s="144"/>
      <c r="T26" s="144"/>
      <c r="U26" s="144"/>
      <c r="V26" s="144"/>
      <c r="W26" s="144"/>
      <c r="Y26" s="144"/>
      <c r="Z26" s="144"/>
      <c r="AA26" s="144"/>
      <c r="AB26" s="144"/>
      <c r="AC26" s="144"/>
    </row>
    <row r="27" spans="1:29" x14ac:dyDescent="0.2">
      <c r="A27" s="144"/>
      <c r="B27" s="144"/>
      <c r="C27" s="144"/>
      <c r="D27" s="144"/>
      <c r="E27" s="144"/>
      <c r="F27" s="144"/>
      <c r="G27" s="144"/>
      <c r="H27" s="144"/>
      <c r="I27" s="144"/>
      <c r="J27" s="144"/>
      <c r="K27" s="144"/>
      <c r="M27" s="144"/>
      <c r="N27" s="144"/>
      <c r="O27" s="144"/>
      <c r="P27" s="144"/>
      <c r="Q27" s="144"/>
      <c r="R27" s="144"/>
      <c r="S27" s="144"/>
      <c r="T27" s="144"/>
      <c r="U27" s="144"/>
      <c r="V27" s="144"/>
      <c r="W27" s="144"/>
      <c r="Y27" s="144"/>
      <c r="Z27" s="144"/>
      <c r="AA27" s="144"/>
      <c r="AB27" s="144"/>
      <c r="AC27" s="144"/>
    </row>
    <row r="28" spans="1:29" x14ac:dyDescent="0.2">
      <c r="A28" s="144"/>
      <c r="B28" s="144"/>
      <c r="C28" s="144"/>
      <c r="D28" s="144"/>
      <c r="E28" s="144"/>
      <c r="F28" s="144"/>
      <c r="G28" s="144"/>
      <c r="H28" s="144"/>
      <c r="I28" s="144"/>
      <c r="J28" s="144"/>
      <c r="K28" s="144"/>
      <c r="M28" s="144"/>
      <c r="N28" s="144"/>
      <c r="O28" s="144"/>
      <c r="P28" s="144"/>
      <c r="Q28" s="144"/>
      <c r="R28" s="144"/>
      <c r="S28" s="144"/>
      <c r="T28" s="144"/>
      <c r="U28" s="144"/>
      <c r="V28" s="144"/>
      <c r="W28" s="144"/>
      <c r="Y28" s="144"/>
      <c r="Z28" s="144"/>
      <c r="AA28" s="144"/>
      <c r="AB28" s="144"/>
      <c r="AC28" s="144"/>
    </row>
    <row r="29" spans="1:29" x14ac:dyDescent="0.2">
      <c r="A29" s="144"/>
      <c r="B29" s="144"/>
      <c r="C29" s="144"/>
      <c r="D29" s="144"/>
      <c r="E29" s="144"/>
      <c r="F29" s="144"/>
      <c r="G29" s="144"/>
      <c r="H29" s="144"/>
      <c r="I29" s="144"/>
      <c r="J29" s="144"/>
      <c r="K29" s="144"/>
      <c r="M29" s="144"/>
      <c r="N29" s="144"/>
      <c r="O29" s="144"/>
      <c r="P29" s="144"/>
      <c r="Q29" s="144"/>
      <c r="R29" s="144"/>
      <c r="S29" s="144"/>
      <c r="T29" s="144"/>
      <c r="U29" s="144"/>
      <c r="V29" s="144"/>
      <c r="W29" s="144"/>
      <c r="Y29" s="144"/>
      <c r="Z29" s="144"/>
      <c r="AA29" s="144"/>
      <c r="AB29" s="144"/>
      <c r="AC29" s="144"/>
    </row>
    <row r="30" spans="1:29" x14ac:dyDescent="0.2">
      <c r="A30" s="144"/>
      <c r="B30" s="144"/>
      <c r="C30" s="144"/>
      <c r="D30" s="144"/>
      <c r="E30" s="144"/>
      <c r="F30" s="144"/>
      <c r="G30" s="144"/>
      <c r="H30" s="144"/>
      <c r="I30" s="144"/>
      <c r="J30" s="144"/>
      <c r="K30" s="144"/>
      <c r="M30" s="144"/>
      <c r="N30" s="144"/>
      <c r="O30" s="144"/>
      <c r="P30" s="144"/>
      <c r="Q30" s="144"/>
      <c r="R30" s="144"/>
      <c r="S30" s="144"/>
      <c r="T30" s="144"/>
      <c r="U30" s="144"/>
      <c r="V30" s="144"/>
      <c r="W30" s="144"/>
      <c r="Y30" s="144"/>
      <c r="Z30" s="144"/>
      <c r="AA30" s="144"/>
      <c r="AB30" s="144"/>
      <c r="AC30" s="144"/>
    </row>
    <row r="31" spans="1:29" x14ac:dyDescent="0.2">
      <c r="A31" s="144"/>
      <c r="B31" s="144"/>
      <c r="C31" s="144"/>
      <c r="D31" s="144"/>
      <c r="E31" s="144"/>
      <c r="F31" s="144"/>
      <c r="G31" s="144"/>
      <c r="H31" s="144"/>
      <c r="I31" s="144"/>
      <c r="J31" s="144"/>
      <c r="K31" s="144"/>
      <c r="M31" s="144"/>
      <c r="N31" s="144"/>
      <c r="O31" s="144"/>
      <c r="P31" s="144"/>
      <c r="Q31" s="144"/>
      <c r="R31" s="144"/>
      <c r="S31" s="144"/>
      <c r="T31" s="144"/>
      <c r="U31" s="144"/>
      <c r="V31" s="144"/>
      <c r="W31" s="144"/>
      <c r="Y31" s="144"/>
      <c r="Z31" s="144"/>
      <c r="AA31" s="144"/>
      <c r="AB31" s="144"/>
      <c r="AC31" s="144"/>
    </row>
    <row r="32" spans="1:29" x14ac:dyDescent="0.2">
      <c r="A32" s="144"/>
      <c r="B32" s="144"/>
      <c r="C32" s="144"/>
      <c r="D32" s="144"/>
      <c r="E32" s="144"/>
      <c r="F32" s="144"/>
      <c r="G32" s="144"/>
      <c r="H32" s="144"/>
      <c r="I32" s="144"/>
      <c r="J32" s="144"/>
      <c r="K32" s="144"/>
      <c r="M32" s="144"/>
      <c r="N32" s="144"/>
      <c r="O32" s="144"/>
      <c r="P32" s="144"/>
      <c r="Q32" s="144"/>
      <c r="R32" s="144"/>
      <c r="S32" s="144"/>
      <c r="T32" s="144"/>
      <c r="U32" s="144"/>
      <c r="V32" s="144"/>
      <c r="W32" s="144"/>
      <c r="Y32" s="144"/>
      <c r="Z32" s="144"/>
      <c r="AA32" s="144"/>
      <c r="AB32" s="144"/>
      <c r="AC32" s="144"/>
    </row>
    <row r="33" spans="1:29" x14ac:dyDescent="0.2">
      <c r="A33" s="144"/>
      <c r="B33" s="144"/>
      <c r="C33" s="144"/>
      <c r="D33" s="144"/>
      <c r="E33" s="144"/>
      <c r="F33" s="144"/>
      <c r="G33" s="144"/>
      <c r="H33" s="144"/>
      <c r="I33" s="144"/>
      <c r="J33" s="144"/>
      <c r="K33" s="144"/>
      <c r="M33" s="144"/>
      <c r="N33" s="144"/>
      <c r="O33" s="144"/>
      <c r="P33" s="144"/>
      <c r="Q33" s="144"/>
      <c r="R33" s="144"/>
      <c r="S33" s="144"/>
      <c r="T33" s="144"/>
      <c r="U33" s="144"/>
      <c r="V33" s="144"/>
      <c r="W33" s="144"/>
      <c r="Y33" s="144"/>
      <c r="Z33" s="144"/>
      <c r="AA33" s="144"/>
      <c r="AB33" s="144"/>
      <c r="AC33" s="144"/>
    </row>
    <row r="34" spans="1:29" x14ac:dyDescent="0.2">
      <c r="A34" s="144"/>
      <c r="B34" s="144"/>
      <c r="C34" s="144"/>
      <c r="D34" s="144"/>
      <c r="E34" s="144"/>
      <c r="F34" s="144"/>
      <c r="G34" s="144"/>
      <c r="H34" s="144"/>
      <c r="I34" s="144"/>
      <c r="J34" s="144"/>
      <c r="K34" s="144"/>
      <c r="M34" s="144"/>
      <c r="N34" s="144"/>
      <c r="O34" s="144"/>
      <c r="P34" s="144"/>
      <c r="Q34" s="144"/>
      <c r="R34" s="144"/>
      <c r="S34" s="144"/>
      <c r="T34" s="144"/>
      <c r="U34" s="144"/>
      <c r="V34" s="144"/>
      <c r="W34" s="144"/>
      <c r="Y34" s="144"/>
      <c r="Z34" s="144"/>
      <c r="AA34" s="144"/>
      <c r="AB34" s="144"/>
      <c r="AC34" s="144"/>
    </row>
    <row r="35" spans="1:29" x14ac:dyDescent="0.2">
      <c r="A35" s="144"/>
      <c r="B35" s="144"/>
      <c r="C35" s="144"/>
      <c r="D35" s="144"/>
      <c r="E35" s="144"/>
      <c r="F35" s="144"/>
      <c r="G35" s="144"/>
      <c r="H35" s="144"/>
      <c r="I35" s="144"/>
      <c r="J35" s="144"/>
      <c r="K35" s="144"/>
      <c r="M35" s="144"/>
      <c r="N35" s="144"/>
      <c r="O35" s="144"/>
      <c r="P35" s="144"/>
      <c r="Q35" s="144"/>
      <c r="R35" s="144"/>
      <c r="S35" s="144"/>
      <c r="T35" s="144"/>
      <c r="U35" s="144"/>
      <c r="V35" s="144"/>
      <c r="W35" s="144"/>
      <c r="Y35" s="144"/>
      <c r="Z35" s="144"/>
      <c r="AA35" s="144"/>
      <c r="AB35" s="144"/>
      <c r="AC35" s="144"/>
    </row>
    <row r="36" spans="1:29" x14ac:dyDescent="0.2">
      <c r="A36" s="144"/>
      <c r="B36" s="144"/>
      <c r="C36" s="144"/>
      <c r="D36" s="144"/>
      <c r="E36" s="144"/>
      <c r="F36" s="144"/>
      <c r="G36" s="144"/>
      <c r="H36" s="144"/>
      <c r="I36" s="144"/>
      <c r="J36" s="144"/>
      <c r="K36" s="144"/>
      <c r="M36" s="144"/>
      <c r="N36" s="144"/>
      <c r="O36" s="144"/>
      <c r="P36" s="144"/>
      <c r="Q36" s="144"/>
      <c r="R36" s="144"/>
      <c r="S36" s="144"/>
      <c r="T36" s="144"/>
      <c r="U36" s="144"/>
      <c r="V36" s="144"/>
      <c r="W36" s="144"/>
      <c r="Y36" s="144"/>
      <c r="Z36" s="144"/>
      <c r="AA36" s="144"/>
      <c r="AB36" s="144"/>
      <c r="AC36" s="144"/>
    </row>
    <row r="37" spans="1:29" x14ac:dyDescent="0.2">
      <c r="A37" s="144"/>
      <c r="B37" s="144"/>
      <c r="C37" s="144"/>
      <c r="D37" s="144"/>
      <c r="E37" s="144"/>
      <c r="F37" s="144"/>
      <c r="G37" s="144"/>
      <c r="H37" s="144"/>
      <c r="I37" s="144"/>
      <c r="J37" s="144"/>
      <c r="K37" s="144"/>
      <c r="M37" s="144"/>
      <c r="N37" s="144"/>
      <c r="O37" s="144"/>
      <c r="P37" s="144"/>
      <c r="Q37" s="144"/>
      <c r="R37" s="144"/>
      <c r="S37" s="144"/>
      <c r="T37" s="144"/>
      <c r="U37" s="144"/>
      <c r="V37" s="144"/>
      <c r="W37" s="144"/>
      <c r="Y37" s="144"/>
      <c r="Z37" s="144"/>
      <c r="AA37" s="144"/>
      <c r="AB37" s="144"/>
      <c r="AC37" s="144"/>
    </row>
    <row r="38" spans="1:29" x14ac:dyDescent="0.2">
      <c r="A38" s="144"/>
      <c r="B38" s="144"/>
      <c r="C38" s="144"/>
      <c r="D38" s="144"/>
      <c r="E38" s="144"/>
      <c r="F38" s="144"/>
      <c r="G38" s="144"/>
      <c r="H38" s="144"/>
      <c r="I38" s="144"/>
      <c r="J38" s="144"/>
      <c r="K38" s="144"/>
      <c r="M38" s="144"/>
      <c r="N38" s="144"/>
      <c r="O38" s="144"/>
      <c r="P38" s="144"/>
      <c r="Q38" s="144"/>
      <c r="R38" s="144"/>
      <c r="S38" s="144"/>
      <c r="T38" s="144"/>
      <c r="U38" s="144"/>
      <c r="V38" s="144"/>
      <c r="W38" s="144"/>
      <c r="Y38" s="144"/>
      <c r="Z38" s="144"/>
      <c r="AA38" s="144"/>
      <c r="AB38" s="144"/>
      <c r="AC38" s="144"/>
    </row>
    <row r="39" spans="1:29" x14ac:dyDescent="0.2">
      <c r="A39" s="144"/>
      <c r="B39" s="144"/>
      <c r="C39" s="144"/>
      <c r="D39" s="144"/>
      <c r="E39" s="144"/>
      <c r="F39" s="144"/>
      <c r="G39" s="144"/>
      <c r="H39" s="144"/>
      <c r="I39" s="144"/>
      <c r="J39" s="144"/>
      <c r="K39" s="144"/>
      <c r="M39" s="144"/>
      <c r="N39" s="144"/>
      <c r="O39" s="144"/>
      <c r="P39" s="144"/>
      <c r="Q39" s="144"/>
      <c r="R39" s="144"/>
      <c r="S39" s="144"/>
      <c r="T39" s="144"/>
      <c r="U39" s="144"/>
      <c r="V39" s="144"/>
      <c r="W39" s="144"/>
      <c r="Y39" s="144"/>
      <c r="Z39" s="144"/>
      <c r="AA39" s="144"/>
      <c r="AB39" s="144"/>
      <c r="AC39" s="144"/>
    </row>
    <row r="40" spans="1:29" x14ac:dyDescent="0.2">
      <c r="A40" s="144"/>
      <c r="B40" s="144"/>
      <c r="C40" s="144"/>
      <c r="D40" s="144"/>
      <c r="E40" s="144"/>
      <c r="F40" s="144"/>
      <c r="G40" s="144"/>
      <c r="H40" s="144"/>
      <c r="I40" s="144"/>
      <c r="J40" s="144"/>
      <c r="K40" s="144"/>
      <c r="M40" s="144"/>
      <c r="N40" s="144"/>
      <c r="O40" s="144"/>
      <c r="P40" s="144"/>
      <c r="Q40" s="144"/>
      <c r="R40" s="144"/>
      <c r="S40" s="144"/>
      <c r="T40" s="144"/>
      <c r="U40" s="144"/>
      <c r="V40" s="144"/>
      <c r="W40" s="144"/>
      <c r="Y40" s="144"/>
      <c r="Z40" s="144"/>
      <c r="AA40" s="144"/>
      <c r="AB40" s="144"/>
      <c r="AC40" s="144"/>
    </row>
    <row r="41" spans="1:29" x14ac:dyDescent="0.2">
      <c r="A41" s="144"/>
      <c r="B41" s="144"/>
      <c r="C41" s="144"/>
      <c r="D41" s="144"/>
      <c r="E41" s="144"/>
      <c r="F41" s="144"/>
      <c r="G41" s="144"/>
      <c r="H41" s="144"/>
      <c r="I41" s="144"/>
      <c r="J41" s="144"/>
      <c r="K41" s="144"/>
      <c r="M41" s="144"/>
      <c r="N41" s="144"/>
      <c r="O41" s="144"/>
      <c r="P41" s="144"/>
      <c r="Q41" s="144"/>
      <c r="R41" s="144"/>
      <c r="S41" s="144"/>
      <c r="T41" s="144"/>
      <c r="U41" s="144"/>
      <c r="V41" s="144"/>
      <c r="W41" s="144"/>
      <c r="Y41" s="144"/>
      <c r="Z41" s="144"/>
      <c r="AA41" s="144"/>
      <c r="AB41" s="144"/>
      <c r="AC41" s="144"/>
    </row>
    <row r="42" spans="1:29" x14ac:dyDescent="0.2">
      <c r="A42" s="144"/>
      <c r="B42" s="144"/>
      <c r="C42" s="144"/>
      <c r="D42" s="144"/>
      <c r="E42" s="144"/>
      <c r="F42" s="144"/>
      <c r="G42" s="144"/>
      <c r="H42" s="144"/>
      <c r="I42" s="144"/>
      <c r="J42" s="144"/>
      <c r="K42" s="144"/>
      <c r="M42" s="144"/>
      <c r="N42" s="144"/>
      <c r="O42" s="144"/>
      <c r="P42" s="144"/>
      <c r="Q42" s="144"/>
      <c r="R42" s="144"/>
      <c r="S42" s="144"/>
      <c r="T42" s="144"/>
      <c r="U42" s="144"/>
      <c r="V42" s="144"/>
      <c r="W42" s="144"/>
      <c r="Y42" s="144"/>
      <c r="Z42" s="144"/>
      <c r="AA42" s="144"/>
      <c r="AB42" s="144"/>
      <c r="AC42" s="144"/>
    </row>
    <row r="43" spans="1:29" x14ac:dyDescent="0.2">
      <c r="A43" s="144"/>
      <c r="B43" s="144"/>
      <c r="C43" s="144"/>
      <c r="D43" s="144"/>
      <c r="E43" s="144"/>
      <c r="F43" s="144"/>
      <c r="G43" s="144"/>
      <c r="H43" s="144"/>
      <c r="I43" s="144"/>
      <c r="J43" s="144"/>
      <c r="K43" s="144"/>
      <c r="M43" s="144"/>
      <c r="N43" s="144"/>
      <c r="O43" s="144"/>
      <c r="P43" s="144"/>
      <c r="Q43" s="144"/>
      <c r="R43" s="144"/>
      <c r="S43" s="144"/>
      <c r="T43" s="144"/>
      <c r="U43" s="144"/>
      <c r="V43" s="144"/>
      <c r="W43" s="144"/>
      <c r="Y43" s="144"/>
      <c r="Z43" s="144"/>
      <c r="AA43" s="144"/>
      <c r="AB43" s="144"/>
      <c r="AC43" s="144"/>
    </row>
    <row r="44" spans="1:29" x14ac:dyDescent="0.2">
      <c r="A44" s="144"/>
      <c r="B44" s="144"/>
      <c r="C44" s="144"/>
      <c r="D44" s="144"/>
      <c r="E44" s="144"/>
      <c r="F44" s="144"/>
      <c r="G44" s="144"/>
      <c r="H44" s="144"/>
      <c r="I44" s="144"/>
      <c r="J44" s="144"/>
      <c r="K44" s="144"/>
      <c r="M44" s="144"/>
      <c r="N44" s="144"/>
      <c r="O44" s="144"/>
      <c r="P44" s="144"/>
      <c r="Q44" s="144"/>
      <c r="R44" s="144"/>
      <c r="S44" s="144"/>
      <c r="T44" s="144"/>
      <c r="U44" s="144"/>
      <c r="V44" s="144"/>
      <c r="W44" s="144"/>
      <c r="Y44" s="144"/>
      <c r="Z44" s="144"/>
      <c r="AA44" s="144"/>
      <c r="AB44" s="144"/>
      <c r="AC44" s="144"/>
    </row>
    <row r="45" spans="1:29" x14ac:dyDescent="0.2">
      <c r="A45" s="144"/>
      <c r="B45" s="144"/>
      <c r="C45" s="144"/>
      <c r="D45" s="144"/>
      <c r="E45" s="144"/>
      <c r="F45" s="144"/>
      <c r="G45" s="144"/>
      <c r="H45" s="144"/>
      <c r="I45" s="144"/>
      <c r="J45" s="144"/>
      <c r="K45" s="144"/>
      <c r="M45" s="144"/>
      <c r="N45" s="144"/>
      <c r="O45" s="144"/>
      <c r="P45" s="144"/>
      <c r="Q45" s="144"/>
      <c r="R45" s="144"/>
      <c r="S45" s="144"/>
      <c r="T45" s="144"/>
      <c r="U45" s="144"/>
      <c r="V45" s="144"/>
      <c r="W45" s="144"/>
      <c r="Y45" s="144"/>
      <c r="Z45" s="144"/>
      <c r="AA45" s="144"/>
      <c r="AB45" s="144"/>
      <c r="AC45" s="144"/>
    </row>
    <row r="46" spans="1:29" x14ac:dyDescent="0.2">
      <c r="A46" s="144"/>
      <c r="B46" s="144"/>
      <c r="C46" s="144"/>
      <c r="D46" s="144"/>
      <c r="E46" s="144"/>
      <c r="F46" s="144"/>
      <c r="G46" s="144"/>
      <c r="H46" s="144"/>
      <c r="I46" s="144"/>
      <c r="J46" s="144"/>
      <c r="K46" s="144"/>
      <c r="M46" s="144"/>
      <c r="N46" s="144"/>
      <c r="O46" s="144"/>
      <c r="P46" s="144"/>
      <c r="Q46" s="144"/>
      <c r="R46" s="144"/>
      <c r="S46" s="144"/>
      <c r="T46" s="144"/>
      <c r="U46" s="144"/>
      <c r="V46" s="144"/>
      <c r="W46" s="144"/>
      <c r="Y46" s="144"/>
      <c r="Z46" s="144"/>
      <c r="AA46" s="144"/>
      <c r="AB46" s="144"/>
      <c r="AC46" s="144"/>
    </row>
    <row r="47" spans="1:29" x14ac:dyDescent="0.2">
      <c r="A47" s="144"/>
      <c r="B47" s="144"/>
      <c r="C47" s="144"/>
      <c r="D47" s="144"/>
      <c r="E47" s="144"/>
      <c r="F47" s="144"/>
      <c r="G47" s="144"/>
      <c r="H47" s="144"/>
      <c r="I47" s="144"/>
      <c r="J47" s="144"/>
      <c r="K47" s="144"/>
      <c r="M47" s="144"/>
      <c r="N47" s="144"/>
      <c r="O47" s="144"/>
      <c r="P47" s="144"/>
      <c r="Q47" s="144"/>
      <c r="R47" s="144"/>
      <c r="S47" s="144"/>
      <c r="T47" s="144"/>
      <c r="U47" s="144"/>
      <c r="V47" s="144"/>
      <c r="W47" s="144"/>
      <c r="Y47" s="144"/>
      <c r="Z47" s="144"/>
      <c r="AA47" s="144"/>
      <c r="AB47" s="144"/>
      <c r="AC47" s="144"/>
    </row>
    <row r="48" spans="1:29" x14ac:dyDescent="0.2">
      <c r="A48" s="144"/>
      <c r="B48" s="144"/>
      <c r="C48" s="144"/>
      <c r="D48" s="144"/>
      <c r="E48" s="144"/>
      <c r="F48" s="144"/>
      <c r="G48" s="144"/>
      <c r="H48" s="144"/>
      <c r="I48" s="144"/>
      <c r="J48" s="144"/>
      <c r="K48" s="144"/>
      <c r="M48" s="144"/>
      <c r="N48" s="144"/>
      <c r="O48" s="144"/>
      <c r="P48" s="144"/>
      <c r="Q48" s="144"/>
      <c r="R48" s="144"/>
      <c r="S48" s="144"/>
      <c r="T48" s="144"/>
      <c r="U48" s="144"/>
      <c r="V48" s="144"/>
      <c r="W48" s="144"/>
      <c r="Y48" s="144"/>
      <c r="Z48" s="144"/>
      <c r="AA48" s="144"/>
      <c r="AB48" s="144"/>
      <c r="AC48" s="144"/>
    </row>
    <row r="49" spans="1:29" x14ac:dyDescent="0.2">
      <c r="A49" s="144"/>
      <c r="B49" s="144"/>
      <c r="C49" s="144"/>
      <c r="D49" s="144"/>
      <c r="E49" s="144"/>
      <c r="F49" s="144"/>
      <c r="G49" s="144"/>
      <c r="H49" s="144"/>
      <c r="I49" s="144"/>
      <c r="J49" s="144"/>
      <c r="K49" s="144"/>
      <c r="M49" s="144"/>
      <c r="N49" s="144"/>
      <c r="O49" s="144"/>
      <c r="P49" s="144"/>
      <c r="Q49" s="144"/>
      <c r="R49" s="144"/>
      <c r="S49" s="144"/>
      <c r="T49" s="144"/>
      <c r="U49" s="144"/>
      <c r="V49" s="144"/>
      <c r="W49" s="144"/>
      <c r="Y49" s="144"/>
      <c r="Z49" s="144"/>
      <c r="AA49" s="144"/>
      <c r="AB49" s="144"/>
      <c r="AC49" s="144"/>
    </row>
    <row r="50" spans="1:29" x14ac:dyDescent="0.2">
      <c r="A50" s="144"/>
      <c r="B50" s="144"/>
      <c r="C50" s="144"/>
      <c r="D50" s="144"/>
      <c r="E50" s="144"/>
      <c r="F50" s="144"/>
      <c r="G50" s="144"/>
      <c r="H50" s="144"/>
      <c r="I50" s="144"/>
      <c r="J50" s="144"/>
      <c r="K50" s="144"/>
      <c r="M50" s="144"/>
      <c r="N50" s="144"/>
      <c r="O50" s="144"/>
      <c r="P50" s="144"/>
      <c r="Q50" s="144"/>
      <c r="R50" s="144"/>
      <c r="S50" s="144"/>
      <c r="T50" s="144"/>
      <c r="U50" s="144"/>
      <c r="V50" s="144"/>
      <c r="W50" s="144"/>
      <c r="Y50" s="144"/>
      <c r="Z50" s="144"/>
      <c r="AA50" s="144"/>
      <c r="AB50" s="144"/>
      <c r="AC50" s="144"/>
    </row>
    <row r="51" spans="1:29" x14ac:dyDescent="0.2">
      <c r="A51" s="144"/>
      <c r="B51" s="144"/>
      <c r="C51" s="144"/>
      <c r="D51" s="144"/>
      <c r="E51" s="144"/>
      <c r="F51" s="144"/>
      <c r="G51" s="144"/>
      <c r="H51" s="144"/>
      <c r="I51" s="144"/>
      <c r="J51" s="144"/>
      <c r="K51" s="144"/>
      <c r="M51" s="144"/>
      <c r="N51" s="144"/>
      <c r="O51" s="144"/>
      <c r="P51" s="144"/>
      <c r="Q51" s="144"/>
      <c r="R51" s="144"/>
      <c r="S51" s="144"/>
      <c r="T51" s="144"/>
      <c r="U51" s="144"/>
      <c r="V51" s="144"/>
      <c r="W51" s="144"/>
      <c r="Y51" s="144"/>
      <c r="Z51" s="144"/>
      <c r="AA51" s="144"/>
      <c r="AB51" s="144"/>
      <c r="AC51" s="144"/>
    </row>
    <row r="52" spans="1:29" x14ac:dyDescent="0.2">
      <c r="A52" s="144"/>
      <c r="B52" s="144"/>
      <c r="C52" s="144"/>
      <c r="D52" s="144"/>
      <c r="E52" s="144"/>
      <c r="F52" s="144"/>
      <c r="G52" s="144"/>
      <c r="H52" s="144"/>
      <c r="I52" s="144"/>
      <c r="J52" s="144"/>
      <c r="K52" s="144"/>
      <c r="M52" s="144"/>
      <c r="N52" s="144"/>
      <c r="O52" s="144"/>
      <c r="P52" s="144"/>
      <c r="Q52" s="144"/>
      <c r="R52" s="144"/>
      <c r="S52" s="144"/>
      <c r="T52" s="144"/>
      <c r="U52" s="144"/>
      <c r="V52" s="144"/>
      <c r="W52" s="144"/>
      <c r="Y52" s="144"/>
      <c r="Z52" s="144"/>
      <c r="AA52" s="144"/>
      <c r="AB52" s="144"/>
      <c r="AC52" s="144"/>
    </row>
    <row r="53" spans="1:29" x14ac:dyDescent="0.2">
      <c r="A53" s="144"/>
      <c r="B53" s="144"/>
      <c r="C53" s="144"/>
      <c r="D53" s="144"/>
      <c r="E53" s="144"/>
      <c r="F53" s="144"/>
      <c r="G53" s="144"/>
      <c r="H53" s="144"/>
      <c r="I53" s="144"/>
      <c r="J53" s="144"/>
      <c r="K53" s="144"/>
      <c r="M53" s="144"/>
      <c r="N53" s="144"/>
      <c r="O53" s="144"/>
      <c r="P53" s="144"/>
      <c r="Q53" s="144"/>
      <c r="R53" s="144"/>
      <c r="S53" s="144"/>
      <c r="T53" s="144"/>
      <c r="U53" s="144"/>
      <c r="V53" s="144"/>
      <c r="W53" s="144"/>
      <c r="Y53" s="144"/>
      <c r="Z53" s="144"/>
      <c r="AA53" s="144"/>
      <c r="AB53" s="144"/>
      <c r="AC53" s="144"/>
    </row>
    <row r="54" spans="1:29" x14ac:dyDescent="0.2">
      <c r="A54" s="144"/>
      <c r="B54" s="144"/>
      <c r="C54" s="144"/>
      <c r="D54" s="144"/>
      <c r="E54" s="144"/>
      <c r="F54" s="144"/>
      <c r="G54" s="144"/>
      <c r="H54" s="144"/>
      <c r="I54" s="144"/>
      <c r="J54" s="144"/>
      <c r="K54" s="144"/>
      <c r="M54" s="144"/>
      <c r="N54" s="144"/>
      <c r="O54" s="144"/>
      <c r="P54" s="144"/>
      <c r="Q54" s="144"/>
      <c r="R54" s="144"/>
      <c r="S54" s="144"/>
      <c r="T54" s="144"/>
      <c r="U54" s="144"/>
      <c r="V54" s="144"/>
      <c r="W54" s="144"/>
      <c r="Y54" s="144"/>
      <c r="Z54" s="144"/>
      <c r="AA54" s="144"/>
      <c r="AB54" s="144"/>
      <c r="AC54" s="144"/>
    </row>
    <row r="55" spans="1:29" x14ac:dyDescent="0.2">
      <c r="A55" s="144"/>
      <c r="B55" s="144"/>
      <c r="C55" s="144"/>
      <c r="D55" s="144"/>
      <c r="E55" s="144"/>
      <c r="F55" s="144"/>
      <c r="G55" s="144"/>
      <c r="H55" s="144"/>
      <c r="I55" s="144"/>
      <c r="J55" s="144"/>
      <c r="K55" s="144"/>
      <c r="M55" s="144"/>
      <c r="N55" s="144"/>
      <c r="O55" s="144"/>
      <c r="P55" s="144"/>
      <c r="Q55" s="144"/>
      <c r="R55" s="144"/>
      <c r="S55" s="144"/>
      <c r="T55" s="144"/>
      <c r="U55" s="144"/>
      <c r="V55" s="144"/>
      <c r="W55" s="144"/>
      <c r="Y55" s="144"/>
      <c r="Z55" s="144"/>
      <c r="AA55" s="144"/>
      <c r="AB55" s="144"/>
      <c r="AC55" s="144"/>
    </row>
    <row r="56" spans="1:29" x14ac:dyDescent="0.2">
      <c r="A56" s="144"/>
      <c r="B56" s="144"/>
      <c r="C56" s="144"/>
      <c r="D56" s="144"/>
      <c r="E56" s="144"/>
      <c r="F56" s="144"/>
      <c r="G56" s="144"/>
      <c r="H56" s="144"/>
      <c r="I56" s="144"/>
      <c r="J56" s="144"/>
      <c r="K56" s="144"/>
      <c r="M56" s="144"/>
      <c r="N56" s="144"/>
      <c r="O56" s="144"/>
      <c r="P56" s="144"/>
      <c r="Q56" s="144"/>
      <c r="R56" s="144"/>
      <c r="S56" s="144"/>
      <c r="T56" s="144"/>
      <c r="U56" s="144"/>
      <c r="V56" s="144"/>
      <c r="W56" s="144"/>
      <c r="Y56" s="144"/>
      <c r="Z56" s="144"/>
      <c r="AA56" s="144"/>
      <c r="AB56" s="144"/>
      <c r="AC56" s="144"/>
    </row>
    <row r="57" spans="1:29" x14ac:dyDescent="0.2">
      <c r="A57" s="144"/>
      <c r="B57" s="144"/>
      <c r="C57" s="144"/>
      <c r="D57" s="144"/>
      <c r="E57" s="144"/>
      <c r="F57" s="144"/>
      <c r="G57" s="144"/>
      <c r="H57" s="144"/>
      <c r="I57" s="144"/>
      <c r="J57" s="144"/>
      <c r="K57" s="144"/>
      <c r="M57" s="144"/>
      <c r="N57" s="144"/>
      <c r="O57" s="144"/>
      <c r="P57" s="144"/>
      <c r="Q57" s="144"/>
      <c r="R57" s="144"/>
      <c r="S57" s="144"/>
      <c r="T57" s="144"/>
      <c r="U57" s="144"/>
      <c r="V57" s="144"/>
      <c r="W57" s="144"/>
      <c r="Y57" s="144"/>
      <c r="Z57" s="144"/>
      <c r="AA57" s="144"/>
      <c r="AB57" s="144"/>
      <c r="AC57" s="144"/>
    </row>
    <row r="58" spans="1:29" x14ac:dyDescent="0.2">
      <c r="A58" s="144"/>
      <c r="B58" s="144"/>
      <c r="C58" s="144"/>
      <c r="D58" s="144"/>
      <c r="E58" s="144"/>
      <c r="F58" s="144"/>
      <c r="G58" s="144"/>
      <c r="H58" s="144"/>
      <c r="I58" s="144"/>
      <c r="J58" s="144"/>
      <c r="K58" s="144"/>
      <c r="M58" s="144"/>
      <c r="N58" s="144"/>
      <c r="O58" s="144"/>
      <c r="P58" s="144"/>
      <c r="Q58" s="144"/>
      <c r="R58" s="144"/>
      <c r="S58" s="144"/>
      <c r="T58" s="144"/>
      <c r="U58" s="144"/>
      <c r="V58" s="144"/>
      <c r="W58" s="144"/>
      <c r="Y58" s="144"/>
      <c r="Z58" s="144"/>
      <c r="AA58" s="144"/>
      <c r="AB58" s="144"/>
      <c r="AC58" s="144"/>
    </row>
    <row r="59" spans="1:29" x14ac:dyDescent="0.2">
      <c r="A59" s="144"/>
      <c r="B59" s="144"/>
      <c r="C59" s="144"/>
      <c r="D59" s="144"/>
      <c r="E59" s="144"/>
      <c r="F59" s="144"/>
      <c r="G59" s="144"/>
      <c r="H59" s="144"/>
      <c r="I59" s="144"/>
      <c r="J59" s="144"/>
      <c r="K59" s="144"/>
      <c r="M59" s="144"/>
      <c r="N59" s="144"/>
      <c r="O59" s="144"/>
      <c r="P59" s="144"/>
      <c r="Q59" s="144"/>
      <c r="R59" s="144"/>
      <c r="S59" s="144"/>
      <c r="T59" s="144"/>
      <c r="U59" s="144"/>
      <c r="V59" s="144"/>
      <c r="W59" s="144"/>
      <c r="Y59" s="144"/>
      <c r="Z59" s="144"/>
      <c r="AA59" s="144"/>
      <c r="AB59" s="144"/>
      <c r="AC59" s="144"/>
    </row>
    <row r="60" spans="1:29" x14ac:dyDescent="0.2">
      <c r="A60" s="144"/>
      <c r="B60" s="144"/>
      <c r="C60" s="144"/>
      <c r="D60" s="144"/>
      <c r="E60" s="144"/>
      <c r="F60" s="144"/>
      <c r="G60" s="144"/>
      <c r="H60" s="144"/>
      <c r="I60" s="144"/>
      <c r="J60" s="144"/>
      <c r="K60" s="144"/>
      <c r="M60" s="144"/>
      <c r="N60" s="144"/>
      <c r="O60" s="144"/>
      <c r="P60" s="144"/>
      <c r="Q60" s="144"/>
      <c r="R60" s="144"/>
      <c r="S60" s="144"/>
      <c r="T60" s="144"/>
      <c r="U60" s="144"/>
      <c r="V60" s="144"/>
      <c r="W60" s="144"/>
      <c r="Y60" s="144"/>
      <c r="Z60" s="144"/>
      <c r="AA60" s="144"/>
      <c r="AB60" s="144"/>
      <c r="AC60" s="144"/>
    </row>
    <row r="61" spans="1:29" x14ac:dyDescent="0.2">
      <c r="A61" s="144"/>
      <c r="B61" s="144"/>
      <c r="C61" s="144"/>
      <c r="D61" s="144"/>
      <c r="E61" s="144"/>
      <c r="F61" s="144"/>
      <c r="G61" s="144"/>
      <c r="H61" s="144"/>
      <c r="I61" s="144"/>
      <c r="J61" s="144"/>
      <c r="K61" s="144"/>
      <c r="M61" s="144"/>
      <c r="N61" s="144"/>
      <c r="O61" s="144"/>
      <c r="P61" s="144"/>
      <c r="Q61" s="144"/>
      <c r="R61" s="144"/>
      <c r="S61" s="144"/>
      <c r="T61" s="144"/>
      <c r="U61" s="144"/>
      <c r="V61" s="144"/>
      <c r="W61" s="144"/>
      <c r="Y61" s="144"/>
      <c r="Z61" s="144"/>
      <c r="AA61" s="144"/>
      <c r="AB61" s="144"/>
      <c r="AC61" s="144"/>
    </row>
    <row r="62" spans="1:29" x14ac:dyDescent="0.2">
      <c r="A62" s="144"/>
      <c r="B62" s="144"/>
      <c r="C62" s="144"/>
      <c r="D62" s="144"/>
      <c r="E62" s="144"/>
      <c r="F62" s="144"/>
      <c r="G62" s="144"/>
      <c r="H62" s="144"/>
      <c r="I62" s="144"/>
      <c r="J62" s="144"/>
      <c r="K62" s="144"/>
      <c r="M62" s="144"/>
      <c r="N62" s="144"/>
      <c r="O62" s="144"/>
      <c r="P62" s="144"/>
      <c r="Q62" s="144"/>
      <c r="R62" s="144"/>
      <c r="S62" s="144"/>
      <c r="T62" s="144"/>
      <c r="U62" s="144"/>
      <c r="V62" s="144"/>
      <c r="W62" s="144"/>
      <c r="Y62" s="144"/>
      <c r="Z62" s="144"/>
      <c r="AA62" s="144"/>
      <c r="AB62" s="144"/>
      <c r="AC62" s="144"/>
    </row>
    <row r="63" spans="1:29" x14ac:dyDescent="0.2">
      <c r="A63" s="144"/>
      <c r="B63" s="144"/>
      <c r="C63" s="144"/>
      <c r="D63" s="144"/>
      <c r="E63" s="144"/>
      <c r="F63" s="144"/>
      <c r="G63" s="144"/>
      <c r="H63" s="144"/>
      <c r="I63" s="144"/>
      <c r="J63" s="144"/>
      <c r="K63" s="144"/>
      <c r="M63" s="144"/>
      <c r="N63" s="144"/>
      <c r="O63" s="144"/>
      <c r="P63" s="144"/>
      <c r="Q63" s="144"/>
      <c r="R63" s="144"/>
      <c r="S63" s="144"/>
      <c r="T63" s="144"/>
      <c r="U63" s="144"/>
      <c r="V63" s="144"/>
      <c r="W63" s="144"/>
      <c r="Y63" s="144"/>
      <c r="Z63" s="144"/>
      <c r="AA63" s="144"/>
      <c r="AB63" s="144"/>
      <c r="AC63" s="144"/>
    </row>
    <row r="64" spans="1:29" x14ac:dyDescent="0.2">
      <c r="A64" s="144"/>
      <c r="B64" s="144"/>
      <c r="C64" s="144"/>
      <c r="D64" s="144"/>
      <c r="E64" s="144"/>
      <c r="F64" s="144"/>
      <c r="G64" s="144"/>
      <c r="H64" s="144"/>
      <c r="I64" s="144"/>
      <c r="J64" s="144"/>
      <c r="K64" s="144"/>
      <c r="M64" s="144"/>
      <c r="N64" s="144"/>
      <c r="O64" s="144"/>
      <c r="P64" s="144"/>
      <c r="Q64" s="144"/>
      <c r="R64" s="144"/>
      <c r="S64" s="144"/>
      <c r="T64" s="144"/>
      <c r="U64" s="144"/>
      <c r="V64" s="144"/>
      <c r="W64" s="144"/>
      <c r="Y64" s="144"/>
      <c r="Z64" s="144"/>
      <c r="AA64" s="144"/>
      <c r="AB64" s="144"/>
      <c r="AC64" s="144"/>
    </row>
    <row r="65" spans="1:29" x14ac:dyDescent="0.2">
      <c r="A65" s="144"/>
      <c r="B65" s="144"/>
      <c r="C65" s="144"/>
      <c r="D65" s="144"/>
      <c r="E65" s="144"/>
      <c r="F65" s="144"/>
      <c r="G65" s="144"/>
      <c r="H65" s="144"/>
      <c r="I65" s="144"/>
      <c r="J65" s="144"/>
      <c r="K65" s="144"/>
      <c r="M65" s="144"/>
      <c r="N65" s="144"/>
      <c r="O65" s="144"/>
      <c r="P65" s="144"/>
      <c r="Q65" s="144"/>
      <c r="R65" s="144"/>
      <c r="S65" s="144"/>
      <c r="T65" s="144"/>
      <c r="U65" s="144"/>
      <c r="V65" s="144"/>
      <c r="W65" s="144"/>
      <c r="Y65" s="144"/>
      <c r="Z65" s="144"/>
      <c r="AA65" s="144"/>
      <c r="AB65" s="144"/>
      <c r="AC65" s="144"/>
    </row>
    <row r="66" spans="1:29" x14ac:dyDescent="0.2">
      <c r="A66" s="144"/>
      <c r="B66" s="144"/>
      <c r="C66" s="144"/>
      <c r="D66" s="144"/>
      <c r="E66" s="144"/>
      <c r="F66" s="144"/>
      <c r="G66" s="144"/>
      <c r="H66" s="144"/>
      <c r="I66" s="144"/>
      <c r="J66" s="144"/>
      <c r="K66" s="144"/>
      <c r="M66" s="144"/>
      <c r="N66" s="144"/>
      <c r="O66" s="144"/>
      <c r="P66" s="144"/>
      <c r="Q66" s="144"/>
      <c r="R66" s="144"/>
      <c r="S66" s="144"/>
      <c r="T66" s="144"/>
      <c r="U66" s="144"/>
      <c r="V66" s="144"/>
      <c r="W66" s="144"/>
      <c r="Y66" s="144"/>
      <c r="Z66" s="144"/>
      <c r="AA66" s="144"/>
      <c r="AB66" s="144"/>
      <c r="AC66" s="144"/>
    </row>
    <row r="67" spans="1:29" x14ac:dyDescent="0.2">
      <c r="A67" s="144"/>
      <c r="B67" s="144"/>
      <c r="C67" s="144"/>
      <c r="D67" s="144"/>
      <c r="E67" s="144"/>
      <c r="F67" s="144"/>
      <c r="G67" s="144"/>
      <c r="H67" s="144"/>
      <c r="I67" s="144"/>
      <c r="J67" s="144"/>
      <c r="K67" s="144"/>
      <c r="M67" s="144"/>
      <c r="N67" s="144"/>
      <c r="O67" s="144"/>
      <c r="P67" s="144"/>
      <c r="Q67" s="144"/>
      <c r="R67" s="144"/>
      <c r="S67" s="144"/>
      <c r="T67" s="144"/>
      <c r="U67" s="144"/>
      <c r="V67" s="144"/>
      <c r="W67" s="144"/>
      <c r="Y67" s="144"/>
      <c r="Z67" s="144"/>
      <c r="AA67" s="144"/>
      <c r="AB67" s="144"/>
      <c r="AC67" s="144"/>
    </row>
    <row r="68" spans="1:29" x14ac:dyDescent="0.2">
      <c r="A68" s="144"/>
      <c r="B68" s="144"/>
      <c r="C68" s="144"/>
      <c r="D68" s="144"/>
      <c r="E68" s="144"/>
      <c r="F68" s="144"/>
      <c r="G68" s="144"/>
      <c r="H68" s="144"/>
      <c r="I68" s="144"/>
      <c r="J68" s="144"/>
      <c r="K68" s="144"/>
      <c r="M68" s="144"/>
      <c r="N68" s="144"/>
      <c r="O68" s="144"/>
      <c r="P68" s="144"/>
      <c r="Q68" s="144"/>
      <c r="R68" s="144"/>
      <c r="S68" s="144"/>
      <c r="T68" s="144"/>
      <c r="U68" s="144"/>
      <c r="V68" s="144"/>
      <c r="W68" s="144"/>
      <c r="Y68" s="144"/>
      <c r="Z68" s="144"/>
      <c r="AA68" s="144"/>
      <c r="AB68" s="144"/>
      <c r="AC68" s="144"/>
    </row>
    <row r="69" spans="1:29" x14ac:dyDescent="0.2">
      <c r="A69" s="144"/>
      <c r="B69" s="144"/>
      <c r="C69" s="144"/>
      <c r="D69" s="144"/>
      <c r="E69" s="144"/>
      <c r="F69" s="144"/>
      <c r="G69" s="144"/>
      <c r="H69" s="144"/>
      <c r="I69" s="144"/>
      <c r="J69" s="144"/>
      <c r="K69" s="144"/>
      <c r="M69" s="144"/>
      <c r="N69" s="144"/>
      <c r="O69" s="144"/>
      <c r="P69" s="144"/>
      <c r="Q69" s="144"/>
      <c r="R69" s="144"/>
      <c r="S69" s="144"/>
      <c r="T69" s="144"/>
      <c r="U69" s="144"/>
      <c r="V69" s="144"/>
      <c r="W69" s="144"/>
      <c r="Y69" s="144"/>
      <c r="Z69" s="144"/>
      <c r="AA69" s="144"/>
      <c r="AB69" s="144"/>
      <c r="AC69" s="144"/>
    </row>
    <row r="70" spans="1:29" x14ac:dyDescent="0.2">
      <c r="A70" s="144"/>
      <c r="B70" s="144"/>
      <c r="C70" s="144"/>
      <c r="D70" s="144"/>
      <c r="E70" s="144"/>
      <c r="F70" s="144"/>
      <c r="G70" s="144"/>
      <c r="H70" s="144"/>
      <c r="I70" s="144"/>
      <c r="J70" s="144"/>
      <c r="K70" s="144"/>
      <c r="M70" s="144"/>
      <c r="N70" s="144"/>
      <c r="O70" s="144"/>
      <c r="P70" s="144"/>
      <c r="Q70" s="144"/>
      <c r="R70" s="144"/>
      <c r="S70" s="144"/>
      <c r="T70" s="144"/>
      <c r="U70" s="144"/>
      <c r="V70" s="144"/>
      <c r="W70" s="144"/>
      <c r="Y70" s="144"/>
      <c r="Z70" s="144"/>
      <c r="AA70" s="144"/>
      <c r="AB70" s="144"/>
      <c r="AC70" s="144"/>
    </row>
    <row r="71" spans="1:29" x14ac:dyDescent="0.2">
      <c r="A71" s="144"/>
      <c r="B71" s="144"/>
      <c r="C71" s="144"/>
      <c r="D71" s="144"/>
      <c r="E71" s="144"/>
      <c r="F71" s="144"/>
      <c r="G71" s="144"/>
      <c r="H71" s="144"/>
      <c r="I71" s="144"/>
      <c r="J71" s="144"/>
      <c r="K71" s="144"/>
      <c r="M71" s="144"/>
      <c r="N71" s="144"/>
      <c r="O71" s="144"/>
      <c r="P71" s="144"/>
      <c r="Q71" s="144"/>
      <c r="R71" s="144"/>
      <c r="S71" s="144"/>
      <c r="T71" s="144"/>
      <c r="U71" s="144"/>
      <c r="V71" s="144"/>
      <c r="W71" s="144"/>
      <c r="Y71" s="144"/>
      <c r="Z71" s="144"/>
      <c r="AA71" s="144"/>
      <c r="AB71" s="144"/>
      <c r="AC71" s="144"/>
    </row>
    <row r="72" spans="1:29" x14ac:dyDescent="0.2">
      <c r="A72" s="144"/>
      <c r="B72" s="144"/>
      <c r="C72" s="144"/>
      <c r="D72" s="144"/>
      <c r="E72" s="144"/>
      <c r="F72" s="144"/>
      <c r="G72" s="144"/>
      <c r="H72" s="144"/>
      <c r="I72" s="144"/>
      <c r="J72" s="144"/>
      <c r="K72" s="144"/>
      <c r="M72" s="144"/>
      <c r="N72" s="144"/>
      <c r="O72" s="144"/>
      <c r="P72" s="144"/>
      <c r="Q72" s="144"/>
      <c r="R72" s="144"/>
      <c r="S72" s="144"/>
      <c r="T72" s="144"/>
      <c r="U72" s="144"/>
      <c r="V72" s="144"/>
      <c r="W72" s="144"/>
      <c r="Y72" s="144"/>
      <c r="Z72" s="144"/>
      <c r="AA72" s="144"/>
      <c r="AB72" s="144"/>
      <c r="AC72" s="144"/>
    </row>
    <row r="73" spans="1:29" x14ac:dyDescent="0.2">
      <c r="A73" s="144"/>
      <c r="B73" s="144"/>
      <c r="C73" s="144"/>
      <c r="D73" s="144"/>
      <c r="E73" s="144"/>
      <c r="F73" s="144"/>
      <c r="G73" s="144"/>
      <c r="H73" s="144"/>
      <c r="I73" s="144"/>
      <c r="J73" s="144"/>
      <c r="K73" s="144"/>
      <c r="M73" s="144"/>
      <c r="N73" s="144"/>
      <c r="O73" s="144"/>
      <c r="P73" s="144"/>
      <c r="Q73" s="144"/>
      <c r="R73" s="144"/>
      <c r="S73" s="144"/>
      <c r="T73" s="144"/>
      <c r="U73" s="144"/>
      <c r="V73" s="144"/>
      <c r="W73" s="144"/>
      <c r="Y73" s="144"/>
      <c r="Z73" s="144"/>
      <c r="AA73" s="144"/>
      <c r="AB73" s="144"/>
      <c r="AC73" s="144"/>
    </row>
    <row r="74" spans="1:29" x14ac:dyDescent="0.2">
      <c r="A74" s="144"/>
      <c r="B74" s="144"/>
      <c r="C74" s="144"/>
      <c r="D74" s="144"/>
      <c r="E74" s="144"/>
      <c r="F74" s="144"/>
      <c r="G74" s="144"/>
      <c r="H74" s="144"/>
      <c r="I74" s="144"/>
      <c r="J74" s="144"/>
      <c r="K74" s="144"/>
      <c r="M74" s="144"/>
      <c r="N74" s="144"/>
      <c r="O74" s="144"/>
      <c r="P74" s="144"/>
      <c r="Q74" s="144"/>
      <c r="R74" s="144"/>
      <c r="S74" s="144"/>
      <c r="T74" s="144"/>
      <c r="U74" s="144"/>
      <c r="V74" s="144"/>
      <c r="W74" s="144"/>
      <c r="Y74" s="144"/>
      <c r="Z74" s="144"/>
      <c r="AA74" s="144"/>
      <c r="AB74" s="144"/>
      <c r="AC74" s="144"/>
    </row>
    <row r="75" spans="1:29" x14ac:dyDescent="0.2">
      <c r="A75" s="144"/>
      <c r="B75" s="144"/>
      <c r="C75" s="144"/>
      <c r="D75" s="144"/>
      <c r="E75" s="144"/>
      <c r="F75" s="144"/>
      <c r="G75" s="144"/>
      <c r="H75" s="144"/>
      <c r="I75" s="144"/>
      <c r="J75" s="144"/>
      <c r="K75" s="144"/>
      <c r="M75" s="144"/>
      <c r="N75" s="144"/>
      <c r="O75" s="144"/>
      <c r="P75" s="144"/>
      <c r="Q75" s="144"/>
      <c r="R75" s="144"/>
      <c r="S75" s="144"/>
      <c r="T75" s="144"/>
      <c r="U75" s="144"/>
      <c r="V75" s="144"/>
      <c r="W75" s="144"/>
      <c r="Y75" s="144"/>
      <c r="Z75" s="144"/>
      <c r="AA75" s="144"/>
      <c r="AB75" s="144"/>
      <c r="AC75" s="144"/>
    </row>
    <row r="76" spans="1:29" x14ac:dyDescent="0.2">
      <c r="A76" s="144"/>
      <c r="B76" s="144"/>
      <c r="C76" s="144"/>
      <c r="D76" s="144"/>
      <c r="E76" s="144"/>
      <c r="F76" s="144"/>
      <c r="G76" s="144"/>
      <c r="H76" s="144"/>
      <c r="I76" s="144"/>
      <c r="J76" s="144"/>
      <c r="K76" s="144"/>
      <c r="M76" s="144"/>
      <c r="N76" s="144"/>
      <c r="O76" s="144"/>
      <c r="P76" s="144"/>
      <c r="Q76" s="144"/>
      <c r="R76" s="144"/>
      <c r="S76" s="144"/>
      <c r="T76" s="144"/>
      <c r="U76" s="144"/>
      <c r="V76" s="144"/>
      <c r="W76" s="144"/>
      <c r="Y76" s="144"/>
      <c r="Z76" s="144"/>
      <c r="AA76" s="144"/>
      <c r="AB76" s="144"/>
      <c r="AC76" s="144"/>
    </row>
    <row r="77" spans="1:29" x14ac:dyDescent="0.2">
      <c r="A77" s="144"/>
      <c r="B77" s="144"/>
      <c r="C77" s="144"/>
      <c r="D77" s="144"/>
      <c r="E77" s="144"/>
      <c r="F77" s="144"/>
      <c r="G77" s="144"/>
      <c r="H77" s="144"/>
      <c r="I77" s="144"/>
      <c r="J77" s="144"/>
      <c r="K77" s="144"/>
      <c r="M77" s="144"/>
      <c r="N77" s="144"/>
      <c r="O77" s="144"/>
      <c r="P77" s="144"/>
      <c r="Q77" s="144"/>
      <c r="R77" s="144"/>
      <c r="S77" s="144"/>
      <c r="T77" s="144"/>
      <c r="U77" s="144"/>
      <c r="V77" s="144"/>
      <c r="W77" s="144"/>
      <c r="Y77" s="144"/>
      <c r="Z77" s="144"/>
      <c r="AA77" s="144"/>
      <c r="AB77" s="144"/>
      <c r="AC77" s="144"/>
    </row>
    <row r="78" spans="1:29" x14ac:dyDescent="0.2">
      <c r="A78" s="144"/>
      <c r="B78" s="144"/>
      <c r="C78" s="144"/>
      <c r="D78" s="144"/>
      <c r="E78" s="144"/>
      <c r="F78" s="144"/>
      <c r="G78" s="144"/>
      <c r="H78" s="144"/>
      <c r="I78" s="144"/>
      <c r="J78" s="144"/>
      <c r="K78" s="144"/>
      <c r="M78" s="144"/>
      <c r="N78" s="144"/>
      <c r="O78" s="144"/>
      <c r="P78" s="144"/>
      <c r="Q78" s="144"/>
      <c r="R78" s="144"/>
      <c r="S78" s="144"/>
      <c r="T78" s="144"/>
      <c r="U78" s="144"/>
      <c r="V78" s="144"/>
      <c r="W78" s="144"/>
      <c r="Y78" s="144"/>
      <c r="Z78" s="144"/>
      <c r="AA78" s="144"/>
      <c r="AB78" s="144"/>
      <c r="AC78" s="144"/>
    </row>
    <row r="79" spans="1:29" x14ac:dyDescent="0.2">
      <c r="A79" s="144"/>
      <c r="B79" s="144"/>
      <c r="C79" s="144"/>
      <c r="D79" s="144"/>
      <c r="E79" s="144"/>
      <c r="F79" s="144"/>
      <c r="G79" s="144"/>
      <c r="H79" s="144"/>
      <c r="I79" s="144"/>
      <c r="J79" s="144"/>
      <c r="K79" s="144"/>
      <c r="M79" s="144"/>
      <c r="N79" s="144"/>
      <c r="O79" s="144"/>
      <c r="P79" s="144"/>
      <c r="Q79" s="144"/>
      <c r="R79" s="144"/>
      <c r="S79" s="144"/>
      <c r="T79" s="144"/>
      <c r="U79" s="144"/>
      <c r="V79" s="144"/>
      <c r="W79" s="144"/>
      <c r="Y79" s="144"/>
      <c r="Z79" s="144"/>
      <c r="AA79" s="144"/>
      <c r="AB79" s="144"/>
      <c r="AC79" s="144"/>
    </row>
    <row r="80" spans="1:29" x14ac:dyDescent="0.2">
      <c r="A80" s="144"/>
      <c r="B80" s="144"/>
      <c r="C80" s="144"/>
      <c r="D80" s="144"/>
      <c r="E80" s="144"/>
      <c r="F80" s="144"/>
      <c r="G80" s="144"/>
      <c r="H80" s="144"/>
      <c r="I80" s="144"/>
      <c r="J80" s="144"/>
      <c r="K80" s="144"/>
      <c r="M80" s="144"/>
      <c r="N80" s="144"/>
      <c r="O80" s="144"/>
      <c r="P80" s="144"/>
      <c r="Q80" s="144"/>
      <c r="R80" s="144"/>
      <c r="S80" s="144"/>
      <c r="T80" s="144"/>
      <c r="U80" s="144"/>
      <c r="V80" s="144"/>
      <c r="W80" s="144"/>
      <c r="Y80" s="144"/>
      <c r="Z80" s="144"/>
      <c r="AA80" s="144"/>
      <c r="AB80" s="144"/>
      <c r="AC80" s="144"/>
    </row>
    <row r="81" spans="1:29" x14ac:dyDescent="0.2">
      <c r="A81" s="144"/>
      <c r="B81" s="144"/>
      <c r="C81" s="144"/>
      <c r="D81" s="144"/>
      <c r="E81" s="144"/>
      <c r="F81" s="144"/>
      <c r="G81" s="144"/>
      <c r="H81" s="144"/>
      <c r="I81" s="144"/>
      <c r="J81" s="144"/>
      <c r="K81" s="144"/>
      <c r="M81" s="144"/>
      <c r="N81" s="144"/>
      <c r="O81" s="144"/>
      <c r="P81" s="144"/>
      <c r="Q81" s="144"/>
      <c r="R81" s="144"/>
      <c r="S81" s="144"/>
      <c r="T81" s="144"/>
      <c r="U81" s="144"/>
      <c r="V81" s="144"/>
      <c r="W81" s="144"/>
      <c r="Y81" s="144"/>
      <c r="Z81" s="144"/>
      <c r="AA81" s="144"/>
      <c r="AB81" s="144"/>
      <c r="AC81" s="144"/>
    </row>
    <row r="82" spans="1:29" x14ac:dyDescent="0.2">
      <c r="A82" s="144"/>
      <c r="B82" s="144"/>
      <c r="C82" s="144"/>
      <c r="D82" s="144"/>
      <c r="E82" s="144"/>
      <c r="F82" s="144"/>
      <c r="G82" s="144"/>
      <c r="H82" s="144"/>
      <c r="I82" s="144"/>
      <c r="J82" s="144"/>
      <c r="K82" s="144"/>
      <c r="M82" s="144"/>
      <c r="N82" s="144"/>
      <c r="O82" s="144"/>
      <c r="P82" s="144"/>
      <c r="Q82" s="144"/>
      <c r="R82" s="144"/>
      <c r="S82" s="144"/>
      <c r="T82" s="144"/>
      <c r="U82" s="144"/>
      <c r="V82" s="144"/>
      <c r="W82" s="144"/>
      <c r="Y82" s="144"/>
      <c r="Z82" s="144"/>
      <c r="AA82" s="144"/>
      <c r="AB82" s="144"/>
      <c r="AC82" s="144"/>
    </row>
    <row r="83" spans="1:29" x14ac:dyDescent="0.2">
      <c r="A83" s="144"/>
      <c r="B83" s="144"/>
      <c r="C83" s="144"/>
      <c r="D83" s="144"/>
      <c r="E83" s="144"/>
      <c r="F83" s="144"/>
      <c r="G83" s="144"/>
      <c r="H83" s="144"/>
      <c r="I83" s="144"/>
      <c r="J83" s="144"/>
      <c r="K83" s="144"/>
      <c r="M83" s="144"/>
      <c r="N83" s="144"/>
      <c r="O83" s="144"/>
      <c r="P83" s="144"/>
      <c r="Q83" s="144"/>
      <c r="R83" s="144"/>
      <c r="S83" s="144"/>
      <c r="T83" s="144"/>
      <c r="U83" s="144"/>
      <c r="V83" s="144"/>
      <c r="W83" s="144"/>
      <c r="Y83" s="144"/>
      <c r="Z83" s="144"/>
      <c r="AA83" s="144"/>
      <c r="AB83" s="144"/>
      <c r="AC83" s="144"/>
    </row>
    <row r="84" spans="1:29" x14ac:dyDescent="0.2">
      <c r="A84" s="144"/>
      <c r="B84" s="144"/>
      <c r="C84" s="144"/>
      <c r="D84" s="144"/>
      <c r="E84" s="144"/>
      <c r="F84" s="144"/>
      <c r="G84" s="144"/>
      <c r="H84" s="144"/>
      <c r="I84" s="144"/>
      <c r="J84" s="144"/>
      <c r="K84" s="144"/>
      <c r="M84" s="144"/>
      <c r="N84" s="144"/>
      <c r="O84" s="144"/>
      <c r="P84" s="144"/>
      <c r="Q84" s="144"/>
      <c r="R84" s="144"/>
      <c r="S84" s="144"/>
      <c r="T84" s="144"/>
      <c r="U84" s="144"/>
      <c r="V84" s="144"/>
      <c r="W84" s="144"/>
      <c r="Y84" s="144"/>
      <c r="Z84" s="144"/>
      <c r="AA84" s="144"/>
      <c r="AB84" s="144"/>
      <c r="AC84" s="144"/>
    </row>
    <row r="85" spans="1:29" x14ac:dyDescent="0.2">
      <c r="A85" s="144"/>
      <c r="B85" s="144"/>
      <c r="C85" s="144"/>
      <c r="D85" s="144"/>
      <c r="E85" s="144"/>
      <c r="F85" s="144"/>
      <c r="G85" s="144"/>
      <c r="H85" s="144"/>
      <c r="I85" s="144"/>
      <c r="J85" s="144"/>
      <c r="K85" s="144"/>
      <c r="M85" s="144"/>
      <c r="N85" s="144"/>
      <c r="O85" s="144"/>
      <c r="P85" s="144"/>
      <c r="Q85" s="144"/>
      <c r="R85" s="144"/>
      <c r="S85" s="144"/>
      <c r="T85" s="144"/>
      <c r="U85" s="144"/>
      <c r="V85" s="144"/>
      <c r="W85" s="144"/>
      <c r="Y85" s="144"/>
      <c r="Z85" s="144"/>
      <c r="AA85" s="144"/>
      <c r="AB85" s="144"/>
      <c r="AC85" s="144"/>
    </row>
    <row r="86" spans="1:29" x14ac:dyDescent="0.2">
      <c r="A86" s="144"/>
      <c r="B86" s="144"/>
      <c r="C86" s="144"/>
      <c r="D86" s="144"/>
      <c r="E86" s="144"/>
      <c r="F86" s="144"/>
      <c r="G86" s="144"/>
      <c r="H86" s="144"/>
      <c r="I86" s="144"/>
      <c r="J86" s="144"/>
      <c r="K86" s="144"/>
      <c r="M86" s="144"/>
      <c r="N86" s="144"/>
      <c r="O86" s="144"/>
      <c r="P86" s="144"/>
      <c r="Q86" s="144"/>
      <c r="R86" s="144"/>
      <c r="S86" s="144"/>
      <c r="T86" s="144"/>
      <c r="U86" s="144"/>
      <c r="V86" s="144"/>
      <c r="W86" s="144"/>
      <c r="Y86" s="144"/>
      <c r="Z86" s="144"/>
      <c r="AA86" s="144"/>
      <c r="AB86" s="144"/>
      <c r="AC86" s="144"/>
    </row>
    <row r="87" spans="1:29" x14ac:dyDescent="0.2">
      <c r="A87" s="144"/>
      <c r="B87" s="144"/>
      <c r="C87" s="144"/>
      <c r="D87" s="144"/>
      <c r="E87" s="144"/>
      <c r="F87" s="144"/>
      <c r="G87" s="144"/>
      <c r="H87" s="144"/>
      <c r="I87" s="144"/>
      <c r="J87" s="144"/>
      <c r="K87" s="144"/>
      <c r="M87" s="144"/>
      <c r="N87" s="144"/>
      <c r="O87" s="144"/>
      <c r="P87" s="144"/>
      <c r="Q87" s="144"/>
      <c r="R87" s="144"/>
      <c r="S87" s="144"/>
      <c r="T87" s="144"/>
      <c r="U87" s="144"/>
      <c r="V87" s="144"/>
      <c r="W87" s="144"/>
      <c r="Y87" s="144"/>
      <c r="Z87" s="144"/>
      <c r="AA87" s="144"/>
      <c r="AB87" s="144"/>
      <c r="AC87" s="144"/>
    </row>
    <row r="88" spans="1:29" x14ac:dyDescent="0.2">
      <c r="A88" s="144"/>
      <c r="B88" s="144"/>
      <c r="C88" s="144"/>
      <c r="D88" s="144"/>
      <c r="E88" s="144"/>
      <c r="F88" s="144"/>
      <c r="G88" s="144"/>
      <c r="H88" s="144"/>
      <c r="I88" s="144"/>
      <c r="J88" s="144"/>
      <c r="K88" s="144"/>
      <c r="M88" s="144"/>
      <c r="N88" s="144"/>
      <c r="O88" s="144"/>
      <c r="P88" s="144"/>
      <c r="Q88" s="144"/>
      <c r="R88" s="144"/>
      <c r="S88" s="144"/>
      <c r="T88" s="144"/>
      <c r="U88" s="144"/>
      <c r="V88" s="144"/>
      <c r="W88" s="144"/>
      <c r="Y88" s="144"/>
      <c r="Z88" s="144"/>
      <c r="AA88" s="144"/>
      <c r="AB88" s="144"/>
      <c r="AC88" s="144"/>
    </row>
    <row r="89" spans="1:29" x14ac:dyDescent="0.2">
      <c r="A89" s="144"/>
      <c r="B89" s="144"/>
      <c r="C89" s="144"/>
      <c r="D89" s="144"/>
      <c r="E89" s="144"/>
      <c r="F89" s="144"/>
      <c r="G89" s="144"/>
      <c r="H89" s="144"/>
      <c r="I89" s="144"/>
      <c r="J89" s="144"/>
      <c r="K89" s="144"/>
      <c r="M89" s="144"/>
      <c r="N89" s="144"/>
      <c r="O89" s="144"/>
      <c r="P89" s="144"/>
      <c r="Q89" s="144"/>
      <c r="R89" s="144"/>
      <c r="S89" s="144"/>
      <c r="T89" s="144"/>
      <c r="U89" s="144"/>
      <c r="V89" s="144"/>
      <c r="W89" s="144"/>
      <c r="Y89" s="144"/>
      <c r="Z89" s="144"/>
      <c r="AA89" s="144"/>
      <c r="AB89" s="144"/>
      <c r="AC89" s="144"/>
    </row>
    <row r="90" spans="1:29" x14ac:dyDescent="0.2">
      <c r="A90" s="144"/>
      <c r="B90" s="144"/>
      <c r="C90" s="144"/>
      <c r="D90" s="144"/>
      <c r="E90" s="144"/>
      <c r="F90" s="144"/>
      <c r="G90" s="144"/>
      <c r="H90" s="144"/>
      <c r="I90" s="144"/>
      <c r="J90" s="144"/>
      <c r="K90" s="144"/>
      <c r="M90" s="144"/>
      <c r="N90" s="144"/>
      <c r="O90" s="144"/>
      <c r="P90" s="144"/>
      <c r="Q90" s="144"/>
      <c r="R90" s="144"/>
      <c r="S90" s="144"/>
      <c r="T90" s="144"/>
      <c r="U90" s="144"/>
      <c r="V90" s="144"/>
      <c r="W90" s="144"/>
      <c r="Y90" s="144"/>
      <c r="Z90" s="144"/>
      <c r="AA90" s="144"/>
      <c r="AB90" s="144"/>
      <c r="AC90" s="144"/>
    </row>
    <row r="91" spans="1:29" x14ac:dyDescent="0.2">
      <c r="A91" s="144"/>
      <c r="B91" s="144"/>
      <c r="C91" s="144"/>
      <c r="D91" s="144"/>
      <c r="E91" s="144"/>
      <c r="F91" s="144"/>
      <c r="G91" s="144"/>
      <c r="H91" s="144"/>
      <c r="I91" s="144"/>
      <c r="J91" s="144"/>
      <c r="K91" s="144"/>
      <c r="M91" s="144"/>
      <c r="N91" s="144"/>
      <c r="O91" s="144"/>
      <c r="P91" s="144"/>
      <c r="Q91" s="144"/>
      <c r="R91" s="144"/>
      <c r="S91" s="144"/>
      <c r="T91" s="144"/>
      <c r="U91" s="144"/>
      <c r="V91" s="144"/>
      <c r="W91" s="144"/>
      <c r="Y91" s="144"/>
      <c r="Z91" s="144"/>
      <c r="AA91" s="144"/>
      <c r="AB91" s="144"/>
      <c r="AC91" s="144"/>
    </row>
    <row r="92" spans="1:29" x14ac:dyDescent="0.2">
      <c r="A92" s="144"/>
      <c r="B92" s="144"/>
      <c r="C92" s="144"/>
      <c r="D92" s="144"/>
      <c r="E92" s="144"/>
      <c r="F92" s="144"/>
      <c r="G92" s="144"/>
      <c r="H92" s="144"/>
      <c r="I92" s="144"/>
      <c r="J92" s="144"/>
      <c r="K92" s="144"/>
      <c r="M92" s="144"/>
      <c r="N92" s="144"/>
      <c r="O92" s="144"/>
      <c r="P92" s="144"/>
      <c r="Q92" s="144"/>
      <c r="R92" s="144"/>
      <c r="S92" s="144"/>
      <c r="T92" s="144"/>
      <c r="U92" s="144"/>
      <c r="V92" s="144"/>
      <c r="W92" s="144"/>
      <c r="Y92" s="144"/>
      <c r="Z92" s="144"/>
      <c r="AA92" s="144"/>
      <c r="AB92" s="144"/>
      <c r="AC92" s="144"/>
    </row>
    <row r="93" spans="1:29" x14ac:dyDescent="0.2">
      <c r="A93" s="144"/>
      <c r="B93" s="144"/>
      <c r="C93" s="144"/>
      <c r="D93" s="144"/>
      <c r="E93" s="144"/>
      <c r="F93" s="144"/>
      <c r="G93" s="144"/>
      <c r="H93" s="144"/>
      <c r="I93" s="144"/>
      <c r="J93" s="144"/>
      <c r="K93" s="144"/>
      <c r="M93" s="144"/>
      <c r="N93" s="144"/>
      <c r="O93" s="144"/>
      <c r="P93" s="144"/>
      <c r="Q93" s="144"/>
      <c r="R93" s="144"/>
      <c r="S93" s="144"/>
      <c r="T93" s="144"/>
      <c r="U93" s="144"/>
      <c r="V93" s="144"/>
      <c r="W93" s="144"/>
      <c r="Y93" s="144"/>
      <c r="Z93" s="144"/>
      <c r="AA93" s="144"/>
      <c r="AB93" s="144"/>
      <c r="AC93" s="144"/>
    </row>
    <row r="94" spans="1:29" x14ac:dyDescent="0.2">
      <c r="A94" s="144"/>
      <c r="B94" s="144"/>
      <c r="C94" s="144"/>
      <c r="D94" s="144"/>
      <c r="E94" s="144"/>
      <c r="F94" s="144"/>
      <c r="G94" s="144"/>
      <c r="H94" s="144"/>
      <c r="I94" s="144"/>
      <c r="J94" s="144"/>
      <c r="K94" s="144"/>
      <c r="M94" s="144"/>
      <c r="N94" s="144"/>
      <c r="O94" s="144"/>
      <c r="P94" s="144"/>
      <c r="Q94" s="144"/>
      <c r="R94" s="144"/>
      <c r="S94" s="144"/>
      <c r="T94" s="144"/>
      <c r="U94" s="144"/>
      <c r="V94" s="144"/>
      <c r="W94" s="144"/>
      <c r="Y94" s="144"/>
      <c r="Z94" s="144"/>
      <c r="AA94" s="144"/>
      <c r="AB94" s="144"/>
      <c r="AC94" s="144"/>
    </row>
    <row r="95" spans="1:29" x14ac:dyDescent="0.2">
      <c r="A95" s="144"/>
      <c r="B95" s="144"/>
      <c r="C95" s="144"/>
      <c r="D95" s="144"/>
      <c r="E95" s="144"/>
      <c r="F95" s="144"/>
      <c r="G95" s="144"/>
      <c r="H95" s="144"/>
      <c r="I95" s="144"/>
      <c r="J95" s="144"/>
      <c r="K95" s="144"/>
      <c r="M95" s="144"/>
      <c r="N95" s="144"/>
      <c r="O95" s="144"/>
      <c r="P95" s="144"/>
      <c r="Q95" s="144"/>
      <c r="R95" s="144"/>
      <c r="S95" s="144"/>
      <c r="T95" s="144"/>
      <c r="U95" s="144"/>
      <c r="V95" s="144"/>
      <c r="W95" s="144"/>
      <c r="Y95" s="144"/>
      <c r="Z95" s="144"/>
      <c r="AA95" s="144"/>
      <c r="AB95" s="144"/>
      <c r="AC95" s="144"/>
    </row>
    <row r="96" spans="1:29" x14ac:dyDescent="0.2">
      <c r="A96" s="144"/>
      <c r="B96" s="144"/>
      <c r="C96" s="144"/>
      <c r="D96" s="144"/>
      <c r="E96" s="144"/>
      <c r="F96" s="144"/>
      <c r="G96" s="144"/>
      <c r="H96" s="144"/>
      <c r="I96" s="144"/>
      <c r="J96" s="144"/>
      <c r="K96" s="144"/>
      <c r="M96" s="144"/>
      <c r="N96" s="144"/>
      <c r="O96" s="144"/>
      <c r="P96" s="144"/>
      <c r="Q96" s="144"/>
      <c r="R96" s="144"/>
      <c r="S96" s="144"/>
      <c r="T96" s="144"/>
      <c r="U96" s="144"/>
      <c r="V96" s="144"/>
      <c r="W96" s="144"/>
      <c r="Y96" s="144"/>
      <c r="Z96" s="144"/>
      <c r="AA96" s="144"/>
      <c r="AB96" s="144"/>
      <c r="AC96" s="144"/>
    </row>
    <row r="97" spans="1:29" x14ac:dyDescent="0.2">
      <c r="A97" s="144"/>
      <c r="B97" s="144"/>
      <c r="C97" s="144"/>
      <c r="D97" s="144"/>
      <c r="E97" s="144"/>
      <c r="F97" s="144"/>
      <c r="G97" s="144"/>
      <c r="H97" s="144"/>
      <c r="I97" s="144"/>
      <c r="J97" s="144"/>
      <c r="K97" s="144"/>
      <c r="M97" s="144"/>
      <c r="N97" s="144"/>
      <c r="O97" s="144"/>
      <c r="P97" s="144"/>
      <c r="Q97" s="144"/>
      <c r="R97" s="144"/>
      <c r="S97" s="144"/>
      <c r="T97" s="144"/>
      <c r="U97" s="144"/>
      <c r="V97" s="144"/>
      <c r="W97" s="144"/>
      <c r="Y97" s="144"/>
      <c r="Z97" s="144"/>
      <c r="AA97" s="144"/>
      <c r="AB97" s="144"/>
      <c r="AC97" s="144"/>
    </row>
    <row r="98" spans="1:29" x14ac:dyDescent="0.2">
      <c r="A98" s="144"/>
      <c r="B98" s="144"/>
      <c r="C98" s="144"/>
      <c r="D98" s="144"/>
      <c r="E98" s="144"/>
      <c r="F98" s="144"/>
      <c r="G98" s="144"/>
      <c r="H98" s="144"/>
      <c r="I98" s="144"/>
      <c r="J98" s="144"/>
      <c r="K98" s="144"/>
      <c r="M98" s="144"/>
      <c r="N98" s="144"/>
      <c r="O98" s="144"/>
      <c r="P98" s="144"/>
      <c r="Q98" s="144"/>
      <c r="R98" s="144"/>
      <c r="S98" s="144"/>
      <c r="T98" s="144"/>
      <c r="U98" s="144"/>
      <c r="V98" s="144"/>
      <c r="W98" s="144"/>
      <c r="Y98" s="144"/>
      <c r="Z98" s="144"/>
      <c r="AA98" s="144"/>
      <c r="AB98" s="144"/>
      <c r="AC98" s="144"/>
    </row>
    <row r="99" spans="1:29" x14ac:dyDescent="0.2">
      <c r="A99" s="144"/>
      <c r="B99" s="144"/>
      <c r="C99" s="144"/>
      <c r="D99" s="144"/>
      <c r="E99" s="144"/>
      <c r="F99" s="144"/>
      <c r="G99" s="144"/>
      <c r="H99" s="144"/>
      <c r="I99" s="144"/>
      <c r="J99" s="144"/>
      <c r="K99" s="144"/>
      <c r="M99" s="144"/>
      <c r="N99" s="144"/>
      <c r="O99" s="144"/>
      <c r="P99" s="144"/>
      <c r="Q99" s="144"/>
      <c r="R99" s="144"/>
      <c r="S99" s="144"/>
      <c r="T99" s="144"/>
      <c r="U99" s="144"/>
      <c r="V99" s="144"/>
      <c r="W99" s="144"/>
      <c r="Y99" s="144"/>
      <c r="Z99" s="144"/>
      <c r="AA99" s="144"/>
      <c r="AB99" s="144"/>
      <c r="AC99" s="144"/>
    </row>
    <row r="100" spans="1:29" x14ac:dyDescent="0.2">
      <c r="A100" s="144"/>
      <c r="B100" s="144"/>
      <c r="C100" s="144"/>
      <c r="D100" s="144"/>
      <c r="E100" s="144"/>
      <c r="F100" s="144"/>
      <c r="G100" s="144"/>
      <c r="H100" s="144"/>
      <c r="I100" s="144"/>
      <c r="J100" s="144"/>
      <c r="K100" s="144"/>
      <c r="M100" s="144"/>
      <c r="N100" s="144"/>
      <c r="O100" s="144"/>
      <c r="P100" s="144"/>
      <c r="Q100" s="144"/>
      <c r="R100" s="144"/>
      <c r="S100" s="144"/>
      <c r="T100" s="144"/>
      <c r="U100" s="144"/>
      <c r="V100" s="144"/>
      <c r="W100" s="144"/>
      <c r="Y100" s="144"/>
      <c r="Z100" s="144"/>
      <c r="AA100" s="144"/>
      <c r="AB100" s="144"/>
      <c r="AC100" s="144"/>
    </row>
    <row r="101" spans="1:29" x14ac:dyDescent="0.2">
      <c r="A101" s="144"/>
      <c r="B101" s="144"/>
      <c r="C101" s="144"/>
      <c r="D101" s="144"/>
      <c r="E101" s="144"/>
      <c r="F101" s="144"/>
      <c r="G101" s="144"/>
      <c r="H101" s="144"/>
      <c r="I101" s="144"/>
      <c r="J101" s="144"/>
      <c r="K101" s="144"/>
      <c r="M101" s="144"/>
      <c r="N101" s="144"/>
      <c r="O101" s="144"/>
      <c r="P101" s="144"/>
      <c r="Q101" s="144"/>
      <c r="R101" s="144"/>
      <c r="S101" s="144"/>
      <c r="T101" s="144"/>
      <c r="U101" s="144"/>
      <c r="V101" s="144"/>
      <c r="W101" s="144"/>
      <c r="Y101" s="144"/>
      <c r="Z101" s="144"/>
      <c r="AA101" s="144"/>
      <c r="AB101" s="144"/>
      <c r="AC101" s="144"/>
    </row>
    <row r="102" spans="1:29" x14ac:dyDescent="0.2">
      <c r="A102" s="144"/>
      <c r="B102" s="144"/>
      <c r="C102" s="144"/>
      <c r="D102" s="144"/>
      <c r="E102" s="144"/>
      <c r="F102" s="144"/>
      <c r="G102" s="144"/>
      <c r="H102" s="144"/>
      <c r="I102" s="144"/>
      <c r="J102" s="144"/>
      <c r="K102" s="144"/>
      <c r="M102" s="144"/>
      <c r="N102" s="144"/>
      <c r="O102" s="144"/>
      <c r="P102" s="144"/>
      <c r="Q102" s="144"/>
      <c r="R102" s="144"/>
      <c r="S102" s="144"/>
      <c r="T102" s="144"/>
      <c r="U102" s="144"/>
      <c r="V102" s="144"/>
      <c r="W102" s="144"/>
      <c r="Y102" s="144"/>
      <c r="Z102" s="144"/>
      <c r="AA102" s="144"/>
      <c r="AB102" s="144"/>
      <c r="AC102" s="144"/>
    </row>
    <row r="103" spans="1:29" x14ac:dyDescent="0.2">
      <c r="A103" s="144"/>
      <c r="B103" s="144"/>
      <c r="C103" s="144"/>
      <c r="D103" s="144"/>
      <c r="E103" s="144"/>
      <c r="F103" s="144"/>
      <c r="G103" s="144"/>
      <c r="H103" s="144"/>
      <c r="I103" s="144"/>
      <c r="J103" s="144"/>
      <c r="K103" s="144"/>
      <c r="M103" s="144"/>
      <c r="N103" s="144"/>
      <c r="O103" s="144"/>
      <c r="P103" s="144"/>
      <c r="Q103" s="144"/>
      <c r="R103" s="144"/>
      <c r="S103" s="144"/>
      <c r="T103" s="144"/>
      <c r="U103" s="144"/>
      <c r="V103" s="144"/>
      <c r="W103" s="144"/>
      <c r="Y103" s="144"/>
      <c r="Z103" s="144"/>
      <c r="AA103" s="144"/>
      <c r="AB103" s="144"/>
      <c r="AC103" s="144"/>
    </row>
    <row r="104" spans="1:29" x14ac:dyDescent="0.2">
      <c r="A104" s="144"/>
      <c r="B104" s="144"/>
      <c r="C104" s="144"/>
      <c r="D104" s="144"/>
      <c r="E104" s="144"/>
      <c r="F104" s="144"/>
      <c r="G104" s="144"/>
      <c r="H104" s="144"/>
      <c r="I104" s="144"/>
      <c r="J104" s="144"/>
      <c r="K104" s="144"/>
      <c r="M104" s="144"/>
      <c r="N104" s="144"/>
      <c r="O104" s="144"/>
      <c r="P104" s="144"/>
      <c r="Q104" s="144"/>
      <c r="R104" s="144"/>
      <c r="S104" s="144"/>
      <c r="T104" s="144"/>
      <c r="U104" s="144"/>
      <c r="V104" s="144"/>
      <c r="W104" s="144"/>
      <c r="Y104" s="144"/>
      <c r="Z104" s="144"/>
      <c r="AA104" s="144"/>
      <c r="AB104" s="144"/>
      <c r="AC104" s="144"/>
    </row>
    <row r="105" spans="1:29" x14ac:dyDescent="0.2">
      <c r="A105" s="144"/>
      <c r="B105" s="144"/>
      <c r="C105" s="144"/>
      <c r="D105" s="144"/>
      <c r="E105" s="144"/>
      <c r="F105" s="144"/>
      <c r="G105" s="144"/>
      <c r="H105" s="144"/>
      <c r="I105" s="144"/>
      <c r="J105" s="144"/>
      <c r="K105" s="144"/>
      <c r="M105" s="144"/>
      <c r="N105" s="144"/>
      <c r="O105" s="144"/>
      <c r="P105" s="144"/>
      <c r="Q105" s="144"/>
      <c r="R105" s="144"/>
      <c r="S105" s="144"/>
      <c r="T105" s="144"/>
      <c r="U105" s="144"/>
      <c r="V105" s="144"/>
      <c r="W105" s="144"/>
      <c r="Y105" s="144"/>
      <c r="Z105" s="144"/>
      <c r="AA105" s="144"/>
      <c r="AB105" s="144"/>
      <c r="AC105" s="144"/>
    </row>
    <row r="106" spans="1:29" x14ac:dyDescent="0.2">
      <c r="A106" s="144"/>
      <c r="B106" s="144"/>
      <c r="C106" s="144"/>
      <c r="D106" s="144"/>
      <c r="E106" s="144"/>
      <c r="F106" s="144"/>
      <c r="G106" s="144"/>
      <c r="H106" s="144"/>
      <c r="I106" s="144"/>
      <c r="J106" s="144"/>
      <c r="K106" s="144"/>
      <c r="M106" s="144"/>
      <c r="N106" s="144"/>
      <c r="O106" s="144"/>
      <c r="P106" s="144"/>
      <c r="Q106" s="144"/>
      <c r="R106" s="144"/>
      <c r="S106" s="144"/>
      <c r="T106" s="144"/>
      <c r="U106" s="144"/>
      <c r="V106" s="144"/>
      <c r="W106" s="144"/>
      <c r="Y106" s="144"/>
      <c r="Z106" s="144"/>
      <c r="AA106" s="144"/>
      <c r="AB106" s="144"/>
      <c r="AC106" s="144"/>
    </row>
    <row r="107" spans="1:29" x14ac:dyDescent="0.2">
      <c r="A107" s="144"/>
      <c r="B107" s="144"/>
      <c r="C107" s="144"/>
      <c r="D107" s="144"/>
      <c r="E107" s="144"/>
      <c r="F107" s="144"/>
      <c r="G107" s="144"/>
      <c r="H107" s="144"/>
      <c r="I107" s="144"/>
      <c r="J107" s="144"/>
      <c r="K107" s="144"/>
      <c r="M107" s="144"/>
      <c r="N107" s="144"/>
      <c r="O107" s="144"/>
      <c r="P107" s="144"/>
      <c r="Q107" s="144"/>
      <c r="R107" s="144"/>
      <c r="S107" s="144"/>
      <c r="T107" s="144"/>
      <c r="U107" s="144"/>
      <c r="V107" s="144"/>
      <c r="W107" s="144"/>
      <c r="Y107" s="144"/>
      <c r="Z107" s="144"/>
      <c r="AA107" s="144"/>
      <c r="AB107" s="144"/>
      <c r="AC107" s="144"/>
    </row>
    <row r="108" spans="1:29" x14ac:dyDescent="0.2">
      <c r="A108" s="144"/>
      <c r="B108" s="144"/>
      <c r="C108" s="144"/>
      <c r="D108" s="144"/>
      <c r="E108" s="144"/>
      <c r="F108" s="144"/>
      <c r="G108" s="144"/>
      <c r="H108" s="144"/>
      <c r="I108" s="144"/>
      <c r="J108" s="144"/>
      <c r="K108" s="144"/>
      <c r="M108" s="144"/>
      <c r="N108" s="144"/>
      <c r="O108" s="144"/>
      <c r="P108" s="144"/>
      <c r="Q108" s="144"/>
      <c r="R108" s="144"/>
      <c r="S108" s="144"/>
      <c r="T108" s="144"/>
      <c r="U108" s="144"/>
      <c r="V108" s="144"/>
      <c r="W108" s="144"/>
      <c r="Y108" s="144"/>
      <c r="Z108" s="144"/>
      <c r="AA108" s="144"/>
      <c r="AB108" s="144"/>
      <c r="AC108" s="144"/>
    </row>
    <row r="109" spans="1:29" x14ac:dyDescent="0.2">
      <c r="A109" s="144"/>
      <c r="B109" s="144"/>
      <c r="C109" s="144"/>
      <c r="D109" s="144"/>
      <c r="E109" s="144"/>
      <c r="F109" s="144"/>
      <c r="G109" s="144"/>
      <c r="H109" s="144"/>
      <c r="I109" s="144"/>
      <c r="J109" s="144"/>
      <c r="K109" s="144"/>
      <c r="M109" s="144"/>
      <c r="N109" s="144"/>
      <c r="O109" s="144"/>
      <c r="P109" s="144"/>
      <c r="Q109" s="144"/>
      <c r="R109" s="144"/>
      <c r="S109" s="144"/>
      <c r="T109" s="144"/>
      <c r="U109" s="144"/>
      <c r="V109" s="144"/>
      <c r="W109" s="144"/>
      <c r="Y109" s="144"/>
      <c r="Z109" s="144"/>
      <c r="AA109" s="144"/>
      <c r="AB109" s="144"/>
      <c r="AC109" s="144"/>
    </row>
    <row r="110" spans="1:29" x14ac:dyDescent="0.2">
      <c r="A110" s="144"/>
      <c r="B110" s="144"/>
      <c r="C110" s="144"/>
      <c r="D110" s="144"/>
      <c r="E110" s="144"/>
      <c r="F110" s="144"/>
      <c r="G110" s="144"/>
      <c r="H110" s="144"/>
      <c r="I110" s="144"/>
      <c r="J110" s="144"/>
      <c r="K110" s="144"/>
      <c r="M110" s="144"/>
      <c r="N110" s="144"/>
      <c r="O110" s="144"/>
      <c r="P110" s="144"/>
      <c r="Q110" s="144"/>
      <c r="R110" s="144"/>
      <c r="S110" s="144"/>
      <c r="T110" s="144"/>
      <c r="U110" s="144"/>
      <c r="V110" s="144"/>
      <c r="W110" s="144"/>
      <c r="Y110" s="144"/>
      <c r="Z110" s="144"/>
      <c r="AA110" s="144"/>
      <c r="AB110" s="144"/>
      <c r="AC110" s="144"/>
    </row>
    <row r="111" spans="1:29" x14ac:dyDescent="0.2">
      <c r="A111" s="144"/>
      <c r="B111" s="144"/>
      <c r="C111" s="144"/>
      <c r="D111" s="144"/>
      <c r="E111" s="144"/>
      <c r="F111" s="144"/>
      <c r="G111" s="144"/>
      <c r="H111" s="144"/>
      <c r="I111" s="144"/>
      <c r="J111" s="144"/>
      <c r="K111" s="144"/>
      <c r="M111" s="144"/>
      <c r="N111" s="144"/>
      <c r="O111" s="144"/>
      <c r="P111" s="144"/>
      <c r="Q111" s="144"/>
      <c r="R111" s="144"/>
      <c r="S111" s="144"/>
      <c r="T111" s="144"/>
      <c r="U111" s="144"/>
      <c r="V111" s="144"/>
      <c r="W111" s="144"/>
      <c r="Y111" s="144"/>
      <c r="Z111" s="144"/>
      <c r="AA111" s="144"/>
      <c r="AB111" s="144"/>
      <c r="AC111" s="144"/>
    </row>
    <row r="112" spans="1:29" x14ac:dyDescent="0.2">
      <c r="A112" s="144"/>
      <c r="B112" s="144"/>
      <c r="C112" s="144"/>
      <c r="D112" s="144"/>
      <c r="E112" s="144"/>
      <c r="F112" s="144"/>
      <c r="G112" s="144"/>
      <c r="H112" s="144"/>
      <c r="I112" s="144"/>
      <c r="J112" s="144"/>
      <c r="K112" s="144"/>
      <c r="M112" s="144"/>
      <c r="N112" s="144"/>
      <c r="O112" s="144"/>
      <c r="P112" s="144"/>
      <c r="Q112" s="144"/>
      <c r="R112" s="144"/>
      <c r="S112" s="144"/>
      <c r="T112" s="144"/>
      <c r="U112" s="144"/>
      <c r="V112" s="144"/>
      <c r="W112" s="144"/>
      <c r="Y112" s="144"/>
      <c r="Z112" s="144"/>
      <c r="AA112" s="144"/>
      <c r="AB112" s="144"/>
      <c r="AC112" s="144"/>
    </row>
    <row r="113" spans="1:29" x14ac:dyDescent="0.2">
      <c r="A113" s="144"/>
      <c r="B113" s="144"/>
      <c r="C113" s="144"/>
      <c r="D113" s="144"/>
      <c r="E113" s="144"/>
      <c r="F113" s="144"/>
      <c r="G113" s="144"/>
      <c r="H113" s="144"/>
      <c r="I113" s="144"/>
      <c r="J113" s="144"/>
      <c r="K113" s="144"/>
      <c r="M113" s="144"/>
      <c r="N113" s="144"/>
      <c r="O113" s="144"/>
      <c r="P113" s="144"/>
      <c r="Q113" s="144"/>
      <c r="R113" s="144"/>
      <c r="S113" s="144"/>
      <c r="T113" s="144"/>
      <c r="U113" s="144"/>
      <c r="V113" s="144"/>
      <c r="W113" s="144"/>
      <c r="Y113" s="144"/>
      <c r="Z113" s="144"/>
      <c r="AA113" s="144"/>
      <c r="AB113" s="144"/>
      <c r="AC113" s="144"/>
    </row>
    <row r="114" spans="1:29" x14ac:dyDescent="0.2">
      <c r="A114" s="144"/>
      <c r="B114" s="144"/>
      <c r="C114" s="144"/>
      <c r="D114" s="144"/>
      <c r="E114" s="144"/>
      <c r="F114" s="144"/>
      <c r="G114" s="144"/>
      <c r="H114" s="144"/>
      <c r="I114" s="144"/>
      <c r="J114" s="144"/>
      <c r="K114" s="144"/>
      <c r="M114" s="144"/>
      <c r="N114" s="144"/>
      <c r="O114" s="144"/>
      <c r="P114" s="144"/>
      <c r="Q114" s="144"/>
      <c r="R114" s="144"/>
      <c r="S114" s="144"/>
      <c r="T114" s="144"/>
      <c r="U114" s="144"/>
      <c r="V114" s="144"/>
      <c r="W114" s="144"/>
      <c r="Y114" s="144"/>
      <c r="Z114" s="144"/>
      <c r="AA114" s="144"/>
      <c r="AB114" s="144"/>
      <c r="AC114" s="144"/>
    </row>
    <row r="115" spans="1:29" x14ac:dyDescent="0.2">
      <c r="A115" s="144"/>
      <c r="B115" s="144"/>
      <c r="C115" s="144"/>
      <c r="D115" s="144"/>
      <c r="E115" s="144"/>
      <c r="F115" s="144"/>
      <c r="G115" s="144"/>
      <c r="H115" s="144"/>
      <c r="I115" s="144"/>
      <c r="J115" s="144"/>
      <c r="K115" s="144"/>
      <c r="M115" s="144"/>
      <c r="N115" s="144"/>
      <c r="O115" s="144"/>
      <c r="P115" s="144"/>
      <c r="Q115" s="144"/>
      <c r="R115" s="144"/>
      <c r="S115" s="144"/>
      <c r="T115" s="144"/>
      <c r="U115" s="144"/>
      <c r="V115" s="144"/>
      <c r="W115" s="144"/>
      <c r="Y115" s="144"/>
      <c r="Z115" s="144"/>
      <c r="AA115" s="144"/>
      <c r="AB115" s="144"/>
      <c r="AC115" s="144"/>
    </row>
    <row r="116" spans="1:29" x14ac:dyDescent="0.2">
      <c r="A116" s="144"/>
      <c r="B116" s="144"/>
      <c r="C116" s="144"/>
      <c r="D116" s="144"/>
      <c r="E116" s="144"/>
      <c r="F116" s="144"/>
      <c r="G116" s="144"/>
      <c r="H116" s="144"/>
      <c r="I116" s="144"/>
      <c r="J116" s="144"/>
      <c r="K116" s="144"/>
      <c r="M116" s="144"/>
      <c r="N116" s="144"/>
      <c r="O116" s="144"/>
      <c r="P116" s="144"/>
      <c r="Q116" s="144"/>
      <c r="R116" s="144"/>
      <c r="S116" s="144"/>
      <c r="T116" s="144"/>
      <c r="U116" s="144"/>
      <c r="V116" s="144"/>
      <c r="W116" s="144"/>
      <c r="Y116" s="144"/>
      <c r="Z116" s="144"/>
      <c r="AA116" s="144"/>
      <c r="AB116" s="144"/>
      <c r="AC116" s="144"/>
    </row>
    <row r="117" spans="1:29" x14ac:dyDescent="0.2">
      <c r="A117" s="144"/>
      <c r="B117" s="144"/>
      <c r="C117" s="144"/>
      <c r="D117" s="144"/>
      <c r="E117" s="144"/>
      <c r="F117" s="144"/>
      <c r="G117" s="144"/>
      <c r="H117" s="144"/>
      <c r="I117" s="144"/>
      <c r="J117" s="144"/>
      <c r="K117" s="144"/>
      <c r="M117" s="144"/>
      <c r="N117" s="144"/>
      <c r="O117" s="144"/>
      <c r="P117" s="144"/>
      <c r="Q117" s="144"/>
      <c r="R117" s="144"/>
      <c r="S117" s="144"/>
      <c r="T117" s="144"/>
      <c r="U117" s="144"/>
      <c r="V117" s="144"/>
      <c r="W117" s="144"/>
      <c r="Y117" s="144"/>
      <c r="Z117" s="144"/>
      <c r="AA117" s="144"/>
      <c r="AB117" s="144"/>
      <c r="AC117" s="144"/>
    </row>
    <row r="118" spans="1:29" x14ac:dyDescent="0.2">
      <c r="A118" s="144"/>
      <c r="B118" s="144"/>
      <c r="C118" s="144"/>
      <c r="D118" s="144"/>
      <c r="E118" s="144"/>
      <c r="F118" s="144"/>
      <c r="G118" s="144"/>
      <c r="H118" s="144"/>
      <c r="I118" s="144"/>
      <c r="J118" s="144"/>
      <c r="K118" s="144"/>
      <c r="M118" s="144"/>
      <c r="N118" s="144"/>
      <c r="O118" s="144"/>
      <c r="P118" s="144"/>
      <c r="Q118" s="144"/>
      <c r="R118" s="144"/>
      <c r="S118" s="144"/>
      <c r="T118" s="144"/>
      <c r="U118" s="144"/>
      <c r="V118" s="144"/>
      <c r="W118" s="144"/>
      <c r="Y118" s="144"/>
      <c r="Z118" s="144"/>
      <c r="AA118" s="144"/>
      <c r="AB118" s="144"/>
      <c r="AC118" s="144"/>
    </row>
    <row r="119" spans="1:29" x14ac:dyDescent="0.2">
      <c r="A119" s="144"/>
      <c r="B119" s="144"/>
      <c r="C119" s="144"/>
      <c r="D119" s="144"/>
      <c r="E119" s="144"/>
      <c r="F119" s="144"/>
      <c r="G119" s="144"/>
      <c r="H119" s="144"/>
      <c r="I119" s="144"/>
      <c r="J119" s="144"/>
      <c r="K119" s="144"/>
      <c r="M119" s="144"/>
      <c r="N119" s="144"/>
      <c r="O119" s="144"/>
      <c r="P119" s="144"/>
      <c r="Q119" s="144"/>
      <c r="R119" s="144"/>
      <c r="S119" s="144"/>
      <c r="T119" s="144"/>
      <c r="U119" s="144"/>
      <c r="V119" s="144"/>
      <c r="W119" s="144"/>
      <c r="Y119" s="144"/>
      <c r="Z119" s="144"/>
      <c r="AA119" s="144"/>
      <c r="AB119" s="144"/>
      <c r="AC119" s="144"/>
    </row>
    <row r="120" spans="1:29" x14ac:dyDescent="0.2">
      <c r="A120" s="144"/>
      <c r="B120" s="144"/>
      <c r="C120" s="144"/>
      <c r="D120" s="144"/>
      <c r="E120" s="144"/>
      <c r="F120" s="144"/>
      <c r="G120" s="144"/>
      <c r="H120" s="144"/>
      <c r="I120" s="144"/>
      <c r="J120" s="144"/>
      <c r="K120" s="144"/>
      <c r="M120" s="144"/>
      <c r="N120" s="144"/>
      <c r="O120" s="144"/>
      <c r="P120" s="144"/>
      <c r="Q120" s="144"/>
      <c r="R120" s="144"/>
      <c r="S120" s="144"/>
      <c r="T120" s="144"/>
      <c r="U120" s="144"/>
      <c r="V120" s="144"/>
      <c r="W120" s="144"/>
      <c r="Y120" s="144"/>
      <c r="Z120" s="144"/>
      <c r="AA120" s="144"/>
      <c r="AB120" s="144"/>
      <c r="AC120" s="144"/>
    </row>
    <row r="121" spans="1:29" x14ac:dyDescent="0.2">
      <c r="A121" s="144"/>
      <c r="B121" s="144"/>
      <c r="C121" s="144"/>
      <c r="D121" s="144"/>
      <c r="E121" s="144"/>
      <c r="F121" s="144"/>
      <c r="G121" s="144"/>
      <c r="H121" s="144"/>
      <c r="I121" s="144"/>
      <c r="J121" s="144"/>
      <c r="K121" s="144"/>
      <c r="M121" s="144"/>
      <c r="N121" s="144"/>
      <c r="O121" s="144"/>
      <c r="P121" s="144"/>
      <c r="Q121" s="144"/>
      <c r="R121" s="144"/>
      <c r="S121" s="144"/>
      <c r="T121" s="144"/>
      <c r="U121" s="144"/>
      <c r="V121" s="144"/>
      <c r="W121" s="144"/>
      <c r="Y121" s="144"/>
      <c r="Z121" s="144"/>
      <c r="AA121" s="144"/>
      <c r="AB121" s="144"/>
      <c r="AC121" s="144"/>
    </row>
    <row r="122" spans="1:29" x14ac:dyDescent="0.2">
      <c r="A122" s="144"/>
      <c r="B122" s="144"/>
      <c r="C122" s="144"/>
      <c r="D122" s="144"/>
      <c r="E122" s="144"/>
      <c r="F122" s="144"/>
      <c r="G122" s="144"/>
      <c r="H122" s="144"/>
      <c r="I122" s="144"/>
      <c r="J122" s="144"/>
      <c r="K122" s="144"/>
      <c r="M122" s="144"/>
      <c r="N122" s="144"/>
      <c r="O122" s="144"/>
      <c r="P122" s="144"/>
      <c r="Q122" s="144"/>
      <c r="R122" s="144"/>
      <c r="S122" s="144"/>
      <c r="T122" s="144"/>
      <c r="U122" s="144"/>
      <c r="V122" s="144"/>
      <c r="W122" s="144"/>
      <c r="Y122" s="144"/>
      <c r="Z122" s="144"/>
      <c r="AA122" s="144"/>
      <c r="AB122" s="144"/>
      <c r="AC122" s="144"/>
    </row>
    <row r="123" spans="1:29" x14ac:dyDescent="0.2">
      <c r="A123" s="144"/>
      <c r="B123" s="144"/>
      <c r="C123" s="144"/>
      <c r="D123" s="144"/>
      <c r="E123" s="144"/>
      <c r="F123" s="144"/>
      <c r="G123" s="144"/>
      <c r="H123" s="144"/>
      <c r="I123" s="144"/>
      <c r="J123" s="144"/>
      <c r="K123" s="144"/>
      <c r="M123" s="144"/>
      <c r="N123" s="144"/>
      <c r="O123" s="144"/>
      <c r="P123" s="144"/>
      <c r="Q123" s="144"/>
      <c r="R123" s="144"/>
      <c r="S123" s="144"/>
      <c r="T123" s="144"/>
      <c r="U123" s="144"/>
      <c r="V123" s="144"/>
      <c r="W123" s="144"/>
      <c r="Y123" s="144"/>
      <c r="Z123" s="144"/>
      <c r="AA123" s="144"/>
      <c r="AB123" s="144"/>
      <c r="AC123" s="144"/>
    </row>
    <row r="124" spans="1:29" x14ac:dyDescent="0.2">
      <c r="A124" s="144"/>
      <c r="B124" s="144"/>
      <c r="C124" s="144"/>
      <c r="D124" s="144"/>
      <c r="E124" s="144"/>
      <c r="F124" s="144"/>
      <c r="G124" s="144"/>
      <c r="H124" s="144"/>
      <c r="I124" s="144"/>
      <c r="J124" s="144"/>
      <c r="K124" s="144"/>
      <c r="M124" s="144"/>
      <c r="N124" s="144"/>
      <c r="O124" s="144"/>
      <c r="P124" s="144"/>
      <c r="Q124" s="144"/>
      <c r="R124" s="144"/>
      <c r="S124" s="144"/>
      <c r="T124" s="144"/>
      <c r="U124" s="144"/>
      <c r="V124" s="144"/>
      <c r="W124" s="144"/>
      <c r="Y124" s="144"/>
      <c r="Z124" s="144"/>
      <c r="AA124" s="144"/>
      <c r="AB124" s="144"/>
      <c r="AC124" s="144"/>
    </row>
    <row r="125" spans="1:29" x14ac:dyDescent="0.2">
      <c r="A125" s="144"/>
      <c r="B125" s="144"/>
      <c r="C125" s="144"/>
      <c r="D125" s="144"/>
      <c r="E125" s="144"/>
      <c r="F125" s="144"/>
      <c r="G125" s="144"/>
      <c r="H125" s="144"/>
      <c r="I125" s="144"/>
      <c r="J125" s="144"/>
      <c r="K125" s="144"/>
      <c r="M125" s="144"/>
      <c r="N125" s="144"/>
      <c r="O125" s="144"/>
      <c r="P125" s="144"/>
      <c r="Q125" s="144"/>
      <c r="R125" s="144"/>
      <c r="S125" s="144"/>
      <c r="T125" s="144"/>
      <c r="U125" s="144"/>
      <c r="V125" s="144"/>
      <c r="W125" s="144"/>
      <c r="Y125" s="144"/>
      <c r="Z125" s="144"/>
      <c r="AA125" s="144"/>
      <c r="AB125" s="144"/>
      <c r="AC125" s="144"/>
    </row>
    <row r="126" spans="1:29" x14ac:dyDescent="0.2">
      <c r="A126" s="144"/>
      <c r="B126" s="144"/>
      <c r="C126" s="144"/>
      <c r="D126" s="144"/>
      <c r="E126" s="144"/>
      <c r="F126" s="144"/>
      <c r="G126" s="144"/>
      <c r="H126" s="144"/>
      <c r="I126" s="144"/>
      <c r="J126" s="144"/>
      <c r="K126" s="144"/>
      <c r="M126" s="144"/>
      <c r="N126" s="144"/>
      <c r="O126" s="144"/>
      <c r="P126" s="144"/>
      <c r="Q126" s="144"/>
      <c r="R126" s="144"/>
      <c r="S126" s="144"/>
      <c r="T126" s="144"/>
      <c r="U126" s="144"/>
      <c r="V126" s="144"/>
      <c r="W126" s="144"/>
      <c r="Y126" s="144"/>
      <c r="Z126" s="144"/>
      <c r="AA126" s="144"/>
      <c r="AB126" s="144"/>
      <c r="AC126" s="144"/>
    </row>
    <row r="127" spans="1:29" x14ac:dyDescent="0.2">
      <c r="A127" s="144"/>
      <c r="B127" s="144"/>
      <c r="C127" s="144"/>
      <c r="D127" s="144"/>
      <c r="E127" s="144"/>
      <c r="F127" s="144"/>
      <c r="G127" s="144"/>
      <c r="H127" s="144"/>
      <c r="I127" s="144"/>
      <c r="J127" s="144"/>
      <c r="K127" s="144"/>
      <c r="M127" s="144"/>
      <c r="N127" s="144"/>
      <c r="O127" s="144"/>
      <c r="P127" s="144"/>
      <c r="Q127" s="144"/>
      <c r="R127" s="144"/>
      <c r="S127" s="144"/>
      <c r="T127" s="144"/>
      <c r="U127" s="144"/>
      <c r="V127" s="144"/>
      <c r="W127" s="144"/>
      <c r="Y127" s="144"/>
      <c r="Z127" s="144"/>
      <c r="AA127" s="144"/>
      <c r="AB127" s="144"/>
      <c r="AC127" s="144"/>
    </row>
    <row r="128" spans="1:29" x14ac:dyDescent="0.2">
      <c r="A128" s="144"/>
      <c r="B128" s="144"/>
      <c r="C128" s="144"/>
      <c r="D128" s="144"/>
      <c r="E128" s="144"/>
      <c r="F128" s="144"/>
      <c r="G128" s="144"/>
      <c r="H128" s="144"/>
      <c r="I128" s="144"/>
      <c r="J128" s="144"/>
      <c r="K128" s="144"/>
      <c r="M128" s="144"/>
      <c r="N128" s="144"/>
      <c r="O128" s="144"/>
      <c r="P128" s="144"/>
      <c r="Q128" s="144"/>
      <c r="R128" s="144"/>
      <c r="S128" s="144"/>
      <c r="T128" s="144"/>
      <c r="U128" s="144"/>
      <c r="V128" s="144"/>
      <c r="W128" s="144"/>
      <c r="Y128" s="144"/>
      <c r="Z128" s="144"/>
      <c r="AA128" s="144"/>
      <c r="AB128" s="144"/>
      <c r="AC128" s="144"/>
    </row>
    <row r="129" spans="1:29" x14ac:dyDescent="0.2">
      <c r="A129" s="144"/>
      <c r="B129" s="144"/>
      <c r="C129" s="144"/>
      <c r="D129" s="144"/>
      <c r="E129" s="144"/>
      <c r="F129" s="144"/>
      <c r="G129" s="144"/>
      <c r="H129" s="144"/>
      <c r="I129" s="144"/>
      <c r="J129" s="144"/>
      <c r="K129" s="144"/>
      <c r="M129" s="144"/>
      <c r="N129" s="144"/>
      <c r="O129" s="144"/>
      <c r="P129" s="144"/>
      <c r="Q129" s="144"/>
      <c r="R129" s="144"/>
      <c r="S129" s="144"/>
      <c r="T129" s="144"/>
      <c r="U129" s="144"/>
      <c r="V129" s="144"/>
      <c r="W129" s="144"/>
      <c r="Y129" s="144"/>
      <c r="Z129" s="144"/>
      <c r="AA129" s="144"/>
      <c r="AB129" s="144"/>
      <c r="AC129" s="144"/>
    </row>
    <row r="130" spans="1:29" x14ac:dyDescent="0.2">
      <c r="A130" s="144"/>
      <c r="B130" s="144"/>
      <c r="C130" s="144"/>
      <c r="D130" s="144"/>
      <c r="E130" s="144"/>
      <c r="F130" s="144"/>
      <c r="G130" s="144"/>
      <c r="H130" s="144"/>
      <c r="I130" s="144"/>
      <c r="J130" s="144"/>
      <c r="K130" s="144"/>
      <c r="M130" s="144"/>
      <c r="N130" s="144"/>
      <c r="O130" s="144"/>
      <c r="P130" s="144"/>
      <c r="Q130" s="144"/>
      <c r="R130" s="144"/>
      <c r="S130" s="144"/>
      <c r="T130" s="144"/>
      <c r="U130" s="144"/>
      <c r="V130" s="144"/>
      <c r="W130" s="144"/>
      <c r="Y130" s="144"/>
      <c r="Z130" s="144"/>
      <c r="AA130" s="144"/>
      <c r="AB130" s="144"/>
      <c r="AC130" s="144"/>
    </row>
    <row r="131" spans="1:29" x14ac:dyDescent="0.2">
      <c r="A131" s="144"/>
      <c r="B131" s="144"/>
      <c r="C131" s="144"/>
      <c r="D131" s="144"/>
      <c r="E131" s="144"/>
      <c r="F131" s="144"/>
      <c r="G131" s="144"/>
      <c r="H131" s="144"/>
      <c r="I131" s="144"/>
      <c r="J131" s="144"/>
      <c r="K131" s="144"/>
      <c r="M131" s="144"/>
      <c r="N131" s="144"/>
      <c r="O131" s="144"/>
      <c r="P131" s="144"/>
      <c r="Q131" s="144"/>
      <c r="R131" s="144"/>
      <c r="S131" s="144"/>
      <c r="T131" s="144"/>
      <c r="U131" s="144"/>
      <c r="V131" s="144"/>
      <c r="W131" s="144"/>
      <c r="Y131" s="144"/>
      <c r="Z131" s="144"/>
      <c r="AA131" s="144"/>
      <c r="AB131" s="144"/>
      <c r="AC131" s="144"/>
    </row>
    <row r="132" spans="1:29" x14ac:dyDescent="0.2">
      <c r="A132" s="144"/>
      <c r="B132" s="144"/>
      <c r="C132" s="144"/>
      <c r="D132" s="144"/>
      <c r="E132" s="144"/>
      <c r="F132" s="144"/>
      <c r="G132" s="144"/>
      <c r="H132" s="144"/>
      <c r="I132" s="144"/>
      <c r="J132" s="144"/>
      <c r="K132" s="144"/>
      <c r="M132" s="144"/>
      <c r="N132" s="144"/>
      <c r="O132" s="144"/>
      <c r="P132" s="144"/>
      <c r="Q132" s="144"/>
      <c r="R132" s="144"/>
      <c r="S132" s="144"/>
      <c r="T132" s="144"/>
      <c r="U132" s="144"/>
      <c r="V132" s="144"/>
      <c r="W132" s="144"/>
      <c r="Y132" s="144"/>
      <c r="Z132" s="144"/>
      <c r="AA132" s="144"/>
      <c r="AB132" s="144"/>
      <c r="AC132" s="144"/>
    </row>
    <row r="133" spans="1:29" x14ac:dyDescent="0.2">
      <c r="A133" s="144"/>
      <c r="B133" s="144"/>
      <c r="C133" s="144"/>
      <c r="D133" s="144"/>
      <c r="E133" s="144"/>
      <c r="F133" s="144"/>
      <c r="G133" s="144"/>
      <c r="H133" s="144"/>
      <c r="I133" s="144"/>
      <c r="J133" s="144"/>
      <c r="K133" s="144"/>
      <c r="M133" s="144"/>
      <c r="N133" s="144"/>
      <c r="O133" s="144"/>
      <c r="P133" s="144"/>
      <c r="Q133" s="144"/>
      <c r="R133" s="144"/>
      <c r="S133" s="144"/>
      <c r="T133" s="144"/>
      <c r="U133" s="144"/>
      <c r="V133" s="144"/>
      <c r="W133" s="144"/>
      <c r="Y133" s="144"/>
      <c r="Z133" s="144"/>
      <c r="AA133" s="144"/>
      <c r="AB133" s="144"/>
      <c r="AC133" s="144"/>
    </row>
    <row r="134" spans="1:29" x14ac:dyDescent="0.2">
      <c r="A134" s="144"/>
      <c r="B134" s="144"/>
      <c r="C134" s="144"/>
      <c r="D134" s="144"/>
      <c r="E134" s="144"/>
      <c r="F134" s="144"/>
      <c r="G134" s="144"/>
      <c r="H134" s="144"/>
      <c r="I134" s="144"/>
      <c r="J134" s="144"/>
      <c r="K134" s="144"/>
      <c r="M134" s="144"/>
      <c r="N134" s="144"/>
      <c r="O134" s="144"/>
      <c r="P134" s="144"/>
      <c r="Q134" s="144"/>
      <c r="R134" s="144"/>
      <c r="S134" s="144"/>
      <c r="T134" s="144"/>
      <c r="U134" s="144"/>
      <c r="V134" s="144"/>
      <c r="W134" s="144"/>
      <c r="Y134" s="144"/>
      <c r="Z134" s="144"/>
      <c r="AA134" s="144"/>
      <c r="AB134" s="144"/>
      <c r="AC134" s="144"/>
    </row>
    <row r="135" spans="1:29" x14ac:dyDescent="0.2">
      <c r="A135" s="144"/>
      <c r="B135" s="144"/>
      <c r="C135" s="144"/>
      <c r="D135" s="144"/>
      <c r="E135" s="144"/>
      <c r="F135" s="144"/>
      <c r="G135" s="144"/>
      <c r="H135" s="144"/>
      <c r="I135" s="144"/>
      <c r="J135" s="144"/>
      <c r="K135" s="144"/>
      <c r="M135" s="144"/>
      <c r="N135" s="144"/>
      <c r="O135" s="144"/>
      <c r="P135" s="144"/>
      <c r="Q135" s="144"/>
      <c r="R135" s="144"/>
      <c r="S135" s="144"/>
      <c r="T135" s="144"/>
      <c r="U135" s="144"/>
      <c r="V135" s="144"/>
      <c r="W135" s="144"/>
      <c r="Y135" s="144"/>
      <c r="Z135" s="144"/>
      <c r="AA135" s="144"/>
      <c r="AB135" s="144"/>
      <c r="AC135" s="144"/>
    </row>
    <row r="136" spans="1:29" x14ac:dyDescent="0.2">
      <c r="A136" s="144"/>
      <c r="B136" s="144"/>
      <c r="C136" s="144"/>
      <c r="D136" s="144"/>
      <c r="E136" s="144"/>
      <c r="F136" s="144"/>
      <c r="G136" s="144"/>
      <c r="H136" s="144"/>
      <c r="I136" s="144"/>
      <c r="J136" s="144"/>
      <c r="K136" s="144"/>
      <c r="M136" s="144"/>
      <c r="N136" s="144"/>
      <c r="O136" s="144"/>
      <c r="P136" s="144"/>
      <c r="Q136" s="144"/>
      <c r="R136" s="144"/>
      <c r="S136" s="144"/>
      <c r="T136" s="144"/>
      <c r="U136" s="144"/>
      <c r="V136" s="144"/>
      <c r="W136" s="144"/>
      <c r="Y136" s="144"/>
      <c r="Z136" s="144"/>
      <c r="AA136" s="144"/>
      <c r="AB136" s="144"/>
      <c r="AC136" s="144"/>
    </row>
    <row r="137" spans="1:29" x14ac:dyDescent="0.2">
      <c r="A137" s="144"/>
      <c r="B137" s="144"/>
      <c r="C137" s="144"/>
      <c r="D137" s="144"/>
      <c r="E137" s="144"/>
      <c r="F137" s="144"/>
      <c r="G137" s="144"/>
      <c r="H137" s="144"/>
      <c r="I137" s="144"/>
      <c r="J137" s="144"/>
      <c r="K137" s="144"/>
      <c r="M137" s="144"/>
      <c r="N137" s="144"/>
      <c r="O137" s="144"/>
      <c r="P137" s="144"/>
      <c r="Q137" s="144"/>
      <c r="R137" s="144"/>
      <c r="S137" s="144"/>
      <c r="T137" s="144"/>
      <c r="U137" s="144"/>
      <c r="V137" s="144"/>
      <c r="W137" s="144"/>
      <c r="Y137" s="144"/>
      <c r="Z137" s="144"/>
      <c r="AA137" s="144"/>
      <c r="AB137" s="144"/>
      <c r="AC137" s="144"/>
    </row>
    <row r="138" spans="1:29" x14ac:dyDescent="0.2">
      <c r="A138" s="144"/>
      <c r="B138" s="144"/>
      <c r="C138" s="144"/>
      <c r="D138" s="144"/>
      <c r="E138" s="144"/>
      <c r="F138" s="144"/>
      <c r="G138" s="144"/>
      <c r="H138" s="144"/>
      <c r="I138" s="144"/>
      <c r="J138" s="144"/>
      <c r="K138" s="144"/>
      <c r="M138" s="144"/>
      <c r="N138" s="144"/>
      <c r="O138" s="144"/>
      <c r="P138" s="144"/>
      <c r="Q138" s="144"/>
      <c r="R138" s="144"/>
      <c r="S138" s="144"/>
      <c r="T138" s="144"/>
      <c r="U138" s="144"/>
      <c r="V138" s="144"/>
      <c r="W138" s="144"/>
      <c r="Y138" s="144"/>
      <c r="Z138" s="144"/>
      <c r="AA138" s="144"/>
      <c r="AB138" s="144"/>
      <c r="AC138" s="144"/>
    </row>
    <row r="139" spans="1:29" x14ac:dyDescent="0.2">
      <c r="A139" s="144"/>
      <c r="B139" s="144"/>
      <c r="C139" s="144"/>
      <c r="D139" s="144"/>
      <c r="E139" s="144"/>
      <c r="F139" s="144"/>
      <c r="G139" s="144"/>
      <c r="H139" s="144"/>
      <c r="I139" s="144"/>
      <c r="J139" s="144"/>
      <c r="K139" s="144"/>
      <c r="M139" s="144"/>
      <c r="N139" s="144"/>
      <c r="O139" s="144"/>
      <c r="P139" s="144"/>
      <c r="Q139" s="144"/>
      <c r="R139" s="144"/>
      <c r="S139" s="144"/>
      <c r="T139" s="144"/>
      <c r="U139" s="144"/>
      <c r="V139" s="144"/>
      <c r="W139" s="144"/>
      <c r="Y139" s="144"/>
      <c r="Z139" s="144"/>
      <c r="AA139" s="144"/>
      <c r="AB139" s="144"/>
      <c r="AC139" s="144"/>
    </row>
    <row r="140" spans="1:29" x14ac:dyDescent="0.2">
      <c r="A140" s="144"/>
      <c r="B140" s="144"/>
      <c r="C140" s="144"/>
      <c r="D140" s="144"/>
      <c r="E140" s="144"/>
      <c r="F140" s="144"/>
      <c r="G140" s="144"/>
      <c r="H140" s="144"/>
      <c r="I140" s="144"/>
      <c r="J140" s="144"/>
      <c r="K140" s="144"/>
      <c r="M140" s="144"/>
      <c r="N140" s="144"/>
      <c r="O140" s="144"/>
      <c r="P140" s="144"/>
      <c r="Q140" s="144"/>
      <c r="R140" s="144"/>
      <c r="S140" s="144"/>
      <c r="T140" s="144"/>
      <c r="U140" s="144"/>
      <c r="V140" s="144"/>
      <c r="W140" s="144"/>
      <c r="Y140" s="144"/>
      <c r="Z140" s="144"/>
      <c r="AA140" s="144"/>
      <c r="AB140" s="144"/>
      <c r="AC140" s="144"/>
    </row>
    <row r="141" spans="1:29" x14ac:dyDescent="0.2">
      <c r="A141" s="144"/>
      <c r="B141" s="144"/>
      <c r="C141" s="144"/>
      <c r="D141" s="144"/>
      <c r="E141" s="144"/>
      <c r="F141" s="144"/>
      <c r="G141" s="144"/>
      <c r="H141" s="144"/>
      <c r="I141" s="144"/>
      <c r="J141" s="144"/>
      <c r="K141" s="144"/>
      <c r="M141" s="144"/>
      <c r="N141" s="144"/>
      <c r="O141" s="144"/>
      <c r="P141" s="144"/>
      <c r="Q141" s="144"/>
      <c r="R141" s="144"/>
      <c r="S141" s="144"/>
      <c r="T141" s="144"/>
      <c r="U141" s="144"/>
      <c r="V141" s="144"/>
      <c r="W141" s="144"/>
      <c r="Y141" s="144"/>
      <c r="Z141" s="144"/>
      <c r="AA141" s="144"/>
      <c r="AB141" s="144"/>
      <c r="AC141" s="144"/>
    </row>
    <row r="142" spans="1:29" x14ac:dyDescent="0.2">
      <c r="A142" s="144"/>
      <c r="B142" s="144"/>
      <c r="C142" s="144"/>
      <c r="D142" s="144"/>
      <c r="E142" s="144"/>
      <c r="F142" s="144"/>
      <c r="G142" s="144"/>
      <c r="H142" s="144"/>
      <c r="I142" s="144"/>
      <c r="J142" s="144"/>
      <c r="K142" s="144"/>
      <c r="M142" s="144"/>
      <c r="N142" s="144"/>
      <c r="O142" s="144"/>
      <c r="P142" s="144"/>
      <c r="Q142" s="144"/>
      <c r="R142" s="144"/>
      <c r="S142" s="144"/>
      <c r="T142" s="144"/>
      <c r="U142" s="144"/>
      <c r="V142" s="144"/>
      <c r="W142" s="144"/>
      <c r="Y142" s="144"/>
      <c r="Z142" s="144"/>
      <c r="AA142" s="144"/>
      <c r="AB142" s="144"/>
      <c r="AC142" s="144"/>
    </row>
    <row r="143" spans="1:29" x14ac:dyDescent="0.2">
      <c r="A143" s="144"/>
      <c r="B143" s="144"/>
      <c r="C143" s="144"/>
      <c r="D143" s="144"/>
      <c r="E143" s="144"/>
      <c r="F143" s="144"/>
      <c r="G143" s="144"/>
      <c r="H143" s="144"/>
      <c r="I143" s="144"/>
      <c r="J143" s="144"/>
      <c r="K143" s="144"/>
      <c r="M143" s="144"/>
      <c r="N143" s="144"/>
      <c r="O143" s="144"/>
      <c r="P143" s="144"/>
      <c r="Q143" s="144"/>
      <c r="R143" s="144"/>
      <c r="S143" s="144"/>
      <c r="T143" s="144"/>
      <c r="U143" s="144"/>
      <c r="V143" s="144"/>
      <c r="W143" s="144"/>
      <c r="Y143" s="144"/>
      <c r="Z143" s="144"/>
      <c r="AA143" s="144"/>
      <c r="AB143" s="144"/>
      <c r="AC143" s="144"/>
    </row>
    <row r="144" spans="1:29" x14ac:dyDescent="0.2">
      <c r="A144" s="144"/>
      <c r="B144" s="144"/>
      <c r="C144" s="144"/>
      <c r="D144" s="144"/>
      <c r="E144" s="144"/>
      <c r="F144" s="144"/>
      <c r="G144" s="144"/>
      <c r="H144" s="144"/>
      <c r="I144" s="144"/>
      <c r="J144" s="144"/>
      <c r="K144" s="144"/>
      <c r="M144" s="144"/>
      <c r="N144" s="144"/>
      <c r="O144" s="144"/>
      <c r="P144" s="144"/>
      <c r="Q144" s="144"/>
      <c r="R144" s="144"/>
      <c r="S144" s="144"/>
      <c r="T144" s="144"/>
      <c r="U144" s="144"/>
      <c r="V144" s="144"/>
      <c r="W144" s="144"/>
      <c r="Y144" s="144"/>
      <c r="Z144" s="144"/>
      <c r="AA144" s="144"/>
      <c r="AB144" s="144"/>
      <c r="AC144" s="144"/>
    </row>
    <row r="145" spans="1:29" x14ac:dyDescent="0.2">
      <c r="A145" s="144"/>
      <c r="B145" s="144"/>
      <c r="C145" s="144"/>
      <c r="D145" s="144"/>
      <c r="E145" s="144"/>
      <c r="F145" s="144"/>
      <c r="G145" s="144"/>
      <c r="H145" s="144"/>
      <c r="I145" s="144"/>
      <c r="J145" s="144"/>
      <c r="K145" s="144"/>
      <c r="M145" s="144"/>
      <c r="N145" s="144"/>
      <c r="O145" s="144"/>
      <c r="P145" s="144"/>
      <c r="Q145" s="144"/>
      <c r="R145" s="144"/>
      <c r="S145" s="144"/>
      <c r="T145" s="144"/>
      <c r="U145" s="144"/>
      <c r="V145" s="144"/>
      <c r="W145" s="144"/>
      <c r="Y145" s="144"/>
      <c r="Z145" s="144"/>
      <c r="AA145" s="144"/>
      <c r="AB145" s="144"/>
      <c r="AC145" s="144"/>
    </row>
    <row r="146" spans="1:29" x14ac:dyDescent="0.2">
      <c r="A146" s="144"/>
      <c r="B146" s="144"/>
      <c r="C146" s="144"/>
      <c r="D146" s="144"/>
      <c r="E146" s="144"/>
      <c r="F146" s="144"/>
      <c r="G146" s="144"/>
      <c r="H146" s="144"/>
      <c r="I146" s="144"/>
      <c r="J146" s="144"/>
      <c r="K146" s="144"/>
      <c r="M146" s="144"/>
      <c r="N146" s="144"/>
      <c r="O146" s="144"/>
      <c r="P146" s="144"/>
      <c r="Q146" s="144"/>
      <c r="R146" s="144"/>
      <c r="S146" s="144"/>
      <c r="T146" s="144"/>
      <c r="U146" s="144"/>
      <c r="V146" s="144"/>
      <c r="W146" s="144"/>
      <c r="Y146" s="144"/>
      <c r="Z146" s="144"/>
      <c r="AA146" s="144"/>
      <c r="AB146" s="144"/>
      <c r="AC146" s="144"/>
    </row>
    <row r="147" spans="1:29" x14ac:dyDescent="0.2">
      <c r="A147" s="144"/>
      <c r="B147" s="144"/>
      <c r="C147" s="144"/>
      <c r="D147" s="144"/>
      <c r="E147" s="144"/>
      <c r="F147" s="144"/>
      <c r="G147" s="144"/>
      <c r="H147" s="144"/>
      <c r="I147" s="144"/>
      <c r="J147" s="144"/>
      <c r="K147" s="144"/>
      <c r="M147" s="144"/>
      <c r="N147" s="144"/>
      <c r="O147" s="144"/>
      <c r="P147" s="144"/>
      <c r="Q147" s="144"/>
      <c r="R147" s="144"/>
      <c r="S147" s="144"/>
      <c r="T147" s="144"/>
      <c r="U147" s="144"/>
      <c r="V147" s="144"/>
      <c r="W147" s="144"/>
      <c r="Y147" s="144"/>
      <c r="Z147" s="144"/>
      <c r="AA147" s="144"/>
      <c r="AB147" s="144"/>
      <c r="AC147" s="144"/>
    </row>
    <row r="148" spans="1:29" x14ac:dyDescent="0.2">
      <c r="A148" s="144"/>
      <c r="B148" s="144"/>
      <c r="C148" s="144"/>
      <c r="D148" s="144"/>
      <c r="E148" s="144"/>
      <c r="F148" s="144"/>
      <c r="G148" s="144"/>
      <c r="H148" s="144"/>
      <c r="I148" s="144"/>
      <c r="J148" s="144"/>
      <c r="K148" s="144"/>
      <c r="M148" s="144"/>
      <c r="N148" s="144"/>
      <c r="O148" s="144"/>
      <c r="P148" s="144"/>
      <c r="Q148" s="144"/>
      <c r="R148" s="144"/>
      <c r="S148" s="144"/>
      <c r="T148" s="144"/>
      <c r="U148" s="144"/>
      <c r="V148" s="144"/>
      <c r="W148" s="144"/>
      <c r="Y148" s="144"/>
      <c r="Z148" s="144"/>
      <c r="AA148" s="144"/>
      <c r="AB148" s="144"/>
      <c r="AC148" s="144"/>
    </row>
    <row r="149" spans="1:29" x14ac:dyDescent="0.2">
      <c r="A149" s="144"/>
      <c r="B149" s="144"/>
      <c r="C149" s="144"/>
      <c r="D149" s="144"/>
      <c r="E149" s="144"/>
      <c r="F149" s="144"/>
      <c r="G149" s="144"/>
      <c r="H149" s="144"/>
      <c r="I149" s="144"/>
      <c r="J149" s="144"/>
      <c r="K149" s="144"/>
      <c r="M149" s="144"/>
      <c r="N149" s="144"/>
      <c r="O149" s="144"/>
      <c r="P149" s="144"/>
      <c r="Q149" s="144"/>
      <c r="R149" s="144"/>
      <c r="S149" s="144"/>
      <c r="T149" s="144"/>
      <c r="U149" s="144"/>
      <c r="V149" s="144"/>
      <c r="W149" s="144"/>
      <c r="Y149" s="144"/>
      <c r="Z149" s="144"/>
      <c r="AA149" s="144"/>
      <c r="AB149" s="144"/>
      <c r="AC149" s="144"/>
    </row>
    <row r="150" spans="1:29" x14ac:dyDescent="0.2">
      <c r="A150" s="144"/>
      <c r="B150" s="144"/>
      <c r="C150" s="144"/>
      <c r="D150" s="144"/>
      <c r="E150" s="144"/>
      <c r="F150" s="144"/>
      <c r="G150" s="144"/>
      <c r="H150" s="144"/>
      <c r="I150" s="144"/>
      <c r="J150" s="144"/>
      <c r="K150" s="144"/>
      <c r="M150" s="144"/>
      <c r="N150" s="144"/>
      <c r="O150" s="144"/>
      <c r="P150" s="144"/>
      <c r="Q150" s="144"/>
      <c r="R150" s="144"/>
      <c r="S150" s="144"/>
      <c r="T150" s="144"/>
      <c r="U150" s="144"/>
      <c r="V150" s="144"/>
      <c r="W150" s="144"/>
      <c r="Y150" s="144"/>
      <c r="Z150" s="144"/>
      <c r="AA150" s="144"/>
      <c r="AB150" s="144"/>
      <c r="AC150" s="144"/>
    </row>
    <row r="151" spans="1:29" x14ac:dyDescent="0.2">
      <c r="A151" s="144"/>
      <c r="B151" s="144"/>
      <c r="C151" s="144"/>
      <c r="D151" s="144"/>
      <c r="E151" s="144"/>
      <c r="F151" s="144"/>
      <c r="G151" s="144"/>
      <c r="H151" s="144"/>
      <c r="I151" s="144"/>
      <c r="J151" s="144"/>
      <c r="K151" s="144"/>
      <c r="M151" s="144"/>
      <c r="N151" s="144"/>
      <c r="O151" s="144"/>
      <c r="P151" s="144"/>
      <c r="Q151" s="144"/>
      <c r="R151" s="144"/>
      <c r="S151" s="144"/>
      <c r="T151" s="144"/>
      <c r="U151" s="144"/>
      <c r="V151" s="144"/>
      <c r="W151" s="144"/>
      <c r="Y151" s="144"/>
      <c r="Z151" s="144"/>
      <c r="AA151" s="144"/>
      <c r="AB151" s="144"/>
      <c r="AC151" s="144"/>
    </row>
    <row r="152" spans="1:29" x14ac:dyDescent="0.2">
      <c r="A152" s="144"/>
      <c r="B152" s="144"/>
      <c r="C152" s="144"/>
      <c r="D152" s="144"/>
      <c r="E152" s="144"/>
      <c r="F152" s="144"/>
      <c r="G152" s="144"/>
      <c r="H152" s="144"/>
      <c r="I152" s="144"/>
      <c r="J152" s="144"/>
      <c r="K152" s="144"/>
      <c r="M152" s="144"/>
      <c r="N152" s="144"/>
      <c r="O152" s="144"/>
      <c r="P152" s="144"/>
      <c r="Q152" s="144"/>
      <c r="R152" s="144"/>
      <c r="S152" s="144"/>
      <c r="T152" s="144"/>
      <c r="U152" s="144"/>
      <c r="V152" s="144"/>
      <c r="W152" s="144"/>
      <c r="Y152" s="144"/>
      <c r="Z152" s="144"/>
      <c r="AA152" s="144"/>
      <c r="AB152" s="144"/>
      <c r="AC152" s="144"/>
    </row>
    <row r="153" spans="1:29" x14ac:dyDescent="0.2">
      <c r="A153" s="144"/>
      <c r="B153" s="144"/>
      <c r="C153" s="144"/>
      <c r="D153" s="144"/>
      <c r="E153" s="144"/>
      <c r="F153" s="144"/>
      <c r="G153" s="144"/>
      <c r="H153" s="144"/>
      <c r="I153" s="144"/>
      <c r="J153" s="144"/>
      <c r="K153" s="144"/>
      <c r="M153" s="144"/>
      <c r="N153" s="144"/>
      <c r="O153" s="144"/>
      <c r="P153" s="144"/>
      <c r="Q153" s="144"/>
      <c r="R153" s="144"/>
      <c r="S153" s="144"/>
      <c r="T153" s="144"/>
      <c r="U153" s="144"/>
      <c r="V153" s="144"/>
      <c r="W153" s="144"/>
      <c r="Y153" s="144"/>
      <c r="Z153" s="144"/>
      <c r="AA153" s="144"/>
      <c r="AB153" s="144"/>
      <c r="AC153" s="144"/>
    </row>
    <row r="154" spans="1:29" x14ac:dyDescent="0.2">
      <c r="A154" s="144"/>
      <c r="B154" s="144"/>
      <c r="C154" s="144"/>
      <c r="D154" s="144"/>
      <c r="E154" s="144"/>
      <c r="F154" s="144"/>
      <c r="G154" s="144"/>
      <c r="H154" s="144"/>
      <c r="I154" s="144"/>
      <c r="J154" s="144"/>
      <c r="K154" s="144"/>
      <c r="M154" s="144"/>
      <c r="N154" s="144"/>
      <c r="O154" s="144"/>
      <c r="P154" s="144"/>
      <c r="Q154" s="144"/>
      <c r="R154" s="144"/>
      <c r="S154" s="144"/>
      <c r="T154" s="144"/>
      <c r="U154" s="144"/>
      <c r="V154" s="144"/>
      <c r="W154" s="144"/>
      <c r="Y154" s="144"/>
      <c r="Z154" s="144"/>
      <c r="AA154" s="144"/>
      <c r="AB154" s="144"/>
      <c r="AC154" s="144"/>
    </row>
    <row r="155" spans="1:29" x14ac:dyDescent="0.2">
      <c r="A155" s="144"/>
      <c r="B155" s="144"/>
      <c r="C155" s="144"/>
      <c r="D155" s="144"/>
      <c r="E155" s="144"/>
      <c r="F155" s="144"/>
      <c r="G155" s="144"/>
      <c r="H155" s="144"/>
      <c r="I155" s="144"/>
      <c r="J155" s="144"/>
      <c r="K155" s="144"/>
      <c r="M155" s="144"/>
      <c r="N155" s="144"/>
      <c r="O155" s="144"/>
      <c r="P155" s="144"/>
      <c r="Q155" s="144"/>
      <c r="R155" s="144"/>
      <c r="S155" s="144"/>
      <c r="T155" s="144"/>
      <c r="U155" s="144"/>
      <c r="V155" s="144"/>
      <c r="W155" s="144"/>
      <c r="Y155" s="144"/>
      <c r="Z155" s="144"/>
      <c r="AA155" s="144"/>
      <c r="AB155" s="144"/>
      <c r="AC155" s="144"/>
    </row>
    <row r="156" spans="1:29" x14ac:dyDescent="0.2">
      <c r="A156" s="144"/>
      <c r="B156" s="144"/>
      <c r="C156" s="144"/>
      <c r="D156" s="144"/>
      <c r="E156" s="144"/>
      <c r="F156" s="144"/>
      <c r="G156" s="144"/>
      <c r="H156" s="144"/>
      <c r="I156" s="144"/>
      <c r="J156" s="144"/>
      <c r="K156" s="144"/>
      <c r="M156" s="144"/>
      <c r="N156" s="144"/>
      <c r="O156" s="144"/>
      <c r="P156" s="144"/>
      <c r="Q156" s="144"/>
      <c r="R156" s="144"/>
      <c r="S156" s="144"/>
      <c r="T156" s="144"/>
      <c r="U156" s="144"/>
      <c r="V156" s="144"/>
      <c r="W156" s="144"/>
      <c r="Y156" s="144"/>
      <c r="Z156" s="144"/>
      <c r="AA156" s="144"/>
      <c r="AB156" s="144"/>
      <c r="AC156" s="144"/>
    </row>
    <row r="157" spans="1:29" x14ac:dyDescent="0.2">
      <c r="A157" s="144"/>
      <c r="B157" s="144"/>
      <c r="C157" s="144"/>
      <c r="D157" s="144"/>
      <c r="E157" s="144"/>
      <c r="F157" s="144"/>
      <c r="G157" s="144"/>
      <c r="H157" s="144"/>
      <c r="I157" s="144"/>
      <c r="J157" s="144"/>
      <c r="K157" s="144"/>
      <c r="M157" s="144"/>
      <c r="N157" s="144"/>
      <c r="O157" s="144"/>
      <c r="P157" s="144"/>
      <c r="Q157" s="144"/>
      <c r="R157" s="144"/>
      <c r="S157" s="144"/>
      <c r="T157" s="144"/>
      <c r="U157" s="144"/>
      <c r="V157" s="144"/>
      <c r="W157" s="144"/>
      <c r="Y157" s="144"/>
      <c r="Z157" s="144"/>
      <c r="AA157" s="144"/>
      <c r="AB157" s="144"/>
      <c r="AC157" s="144"/>
    </row>
    <row r="158" spans="1:29" x14ac:dyDescent="0.2">
      <c r="A158" s="144"/>
      <c r="B158" s="144"/>
      <c r="C158" s="144"/>
      <c r="D158" s="144"/>
      <c r="E158" s="144"/>
      <c r="F158" s="144"/>
      <c r="G158" s="144"/>
      <c r="H158" s="144"/>
      <c r="I158" s="144"/>
      <c r="J158" s="144"/>
      <c r="K158" s="144"/>
      <c r="M158" s="144"/>
      <c r="N158" s="144"/>
      <c r="O158" s="144"/>
      <c r="P158" s="144"/>
      <c r="Q158" s="144"/>
      <c r="R158" s="144"/>
      <c r="S158" s="144"/>
      <c r="T158" s="144"/>
      <c r="U158" s="144"/>
      <c r="V158" s="144"/>
      <c r="W158" s="144"/>
      <c r="Y158" s="144"/>
      <c r="Z158" s="144"/>
      <c r="AA158" s="144"/>
      <c r="AB158" s="144"/>
      <c r="AC158" s="144"/>
    </row>
    <row r="159" spans="1:29" x14ac:dyDescent="0.2">
      <c r="A159" s="144"/>
      <c r="B159" s="144"/>
      <c r="C159" s="144"/>
      <c r="D159" s="144"/>
      <c r="E159" s="144"/>
      <c r="F159" s="144"/>
      <c r="G159" s="144"/>
      <c r="H159" s="144"/>
      <c r="I159" s="144"/>
      <c r="J159" s="144"/>
      <c r="K159" s="144"/>
      <c r="M159" s="144"/>
      <c r="N159" s="144"/>
      <c r="O159" s="144"/>
      <c r="P159" s="144"/>
      <c r="Q159" s="144"/>
      <c r="R159" s="144"/>
      <c r="S159" s="144"/>
      <c r="T159" s="144"/>
      <c r="U159" s="144"/>
      <c r="V159" s="144"/>
      <c r="W159" s="144"/>
      <c r="Y159" s="144"/>
      <c r="Z159" s="144"/>
      <c r="AA159" s="144"/>
      <c r="AB159" s="144"/>
      <c r="AC159" s="144"/>
    </row>
    <row r="160" spans="1:29" x14ac:dyDescent="0.2">
      <c r="A160" s="144"/>
      <c r="B160" s="144"/>
      <c r="C160" s="144"/>
      <c r="D160" s="144"/>
      <c r="E160" s="144"/>
      <c r="F160" s="144"/>
      <c r="G160" s="144"/>
      <c r="H160" s="144"/>
      <c r="I160" s="144"/>
      <c r="J160" s="144"/>
      <c r="K160" s="144"/>
      <c r="M160" s="144"/>
      <c r="N160" s="144"/>
      <c r="O160" s="144"/>
      <c r="P160" s="144"/>
      <c r="Q160" s="144"/>
      <c r="R160" s="144"/>
      <c r="S160" s="144"/>
      <c r="T160" s="144"/>
      <c r="U160" s="144"/>
      <c r="V160" s="144"/>
      <c r="W160" s="144"/>
      <c r="Y160" s="144"/>
      <c r="Z160" s="144"/>
      <c r="AA160" s="144"/>
      <c r="AB160" s="144"/>
      <c r="AC160" s="144"/>
    </row>
    <row r="161" spans="1:29" x14ac:dyDescent="0.2">
      <c r="A161" s="144"/>
      <c r="B161" s="144"/>
      <c r="C161" s="144"/>
      <c r="D161" s="144"/>
      <c r="E161" s="144"/>
      <c r="F161" s="144"/>
      <c r="G161" s="144"/>
      <c r="H161" s="144"/>
      <c r="I161" s="144"/>
      <c r="J161" s="144"/>
      <c r="K161" s="144"/>
      <c r="M161" s="144"/>
      <c r="N161" s="144"/>
      <c r="O161" s="144"/>
      <c r="P161" s="144"/>
      <c r="Q161" s="144"/>
      <c r="R161" s="144"/>
      <c r="S161" s="144"/>
      <c r="T161" s="144"/>
      <c r="U161" s="144"/>
      <c r="V161" s="144"/>
      <c r="W161" s="144"/>
      <c r="Y161" s="144"/>
      <c r="Z161" s="144"/>
      <c r="AA161" s="144"/>
      <c r="AB161" s="144"/>
      <c r="AC161" s="144"/>
    </row>
    <row r="162" spans="1:29" x14ac:dyDescent="0.2">
      <c r="A162" s="144"/>
      <c r="B162" s="144"/>
      <c r="C162" s="144"/>
      <c r="D162" s="144"/>
      <c r="E162" s="144"/>
      <c r="F162" s="144"/>
      <c r="G162" s="144"/>
      <c r="H162" s="144"/>
      <c r="I162" s="144"/>
      <c r="J162" s="144"/>
      <c r="K162" s="144"/>
      <c r="M162" s="144"/>
      <c r="N162" s="144"/>
      <c r="O162" s="144"/>
      <c r="P162" s="144"/>
      <c r="Q162" s="144"/>
      <c r="R162" s="144"/>
      <c r="S162" s="144"/>
      <c r="T162" s="144"/>
      <c r="U162" s="144"/>
      <c r="V162" s="144"/>
      <c r="W162" s="144"/>
      <c r="Y162" s="144"/>
      <c r="Z162" s="144"/>
      <c r="AA162" s="144"/>
      <c r="AB162" s="144"/>
      <c r="AC162" s="144"/>
    </row>
    <row r="163" spans="1:29" x14ac:dyDescent="0.2">
      <c r="A163" s="144"/>
      <c r="B163" s="144"/>
      <c r="C163" s="144"/>
      <c r="D163" s="144"/>
      <c r="E163" s="144"/>
      <c r="F163" s="144"/>
      <c r="G163" s="144"/>
      <c r="H163" s="144"/>
      <c r="I163" s="144"/>
      <c r="J163" s="144"/>
      <c r="K163" s="144"/>
      <c r="M163" s="144"/>
      <c r="N163" s="144"/>
      <c r="O163" s="144"/>
      <c r="P163" s="144"/>
      <c r="Q163" s="144"/>
      <c r="R163" s="144"/>
      <c r="S163" s="144"/>
      <c r="T163" s="144"/>
      <c r="U163" s="144"/>
      <c r="V163" s="144"/>
      <c r="W163" s="144"/>
      <c r="Y163" s="144"/>
      <c r="Z163" s="144"/>
      <c r="AA163" s="144"/>
      <c r="AB163" s="144"/>
      <c r="AC163" s="144"/>
    </row>
    <row r="164" spans="1:29" x14ac:dyDescent="0.2">
      <c r="A164" s="144"/>
      <c r="B164" s="144"/>
      <c r="C164" s="144"/>
      <c r="D164" s="144"/>
      <c r="E164" s="144"/>
      <c r="F164" s="144"/>
      <c r="G164" s="144"/>
      <c r="H164" s="144"/>
      <c r="I164" s="144"/>
      <c r="J164" s="144"/>
      <c r="K164" s="144"/>
      <c r="M164" s="144"/>
      <c r="N164" s="144"/>
      <c r="O164" s="144"/>
      <c r="P164" s="144"/>
      <c r="Q164" s="144"/>
      <c r="R164" s="144"/>
      <c r="S164" s="144"/>
      <c r="T164" s="144"/>
      <c r="U164" s="144"/>
      <c r="V164" s="144"/>
      <c r="W164" s="144"/>
      <c r="Y164" s="144"/>
      <c r="Z164" s="144"/>
      <c r="AA164" s="144"/>
      <c r="AB164" s="144"/>
      <c r="AC164" s="144"/>
    </row>
    <row r="165" spans="1:29" x14ac:dyDescent="0.2">
      <c r="A165" s="144"/>
      <c r="B165" s="144"/>
      <c r="C165" s="144"/>
      <c r="D165" s="144"/>
      <c r="E165" s="144"/>
      <c r="F165" s="144"/>
      <c r="G165" s="144"/>
      <c r="H165" s="144"/>
      <c r="I165" s="144"/>
      <c r="J165" s="144"/>
      <c r="K165" s="144"/>
      <c r="M165" s="144"/>
      <c r="N165" s="144"/>
      <c r="O165" s="144"/>
      <c r="P165" s="144"/>
      <c r="Q165" s="144"/>
      <c r="R165" s="144"/>
      <c r="S165" s="144"/>
      <c r="T165" s="144"/>
      <c r="U165" s="144"/>
      <c r="V165" s="144"/>
      <c r="W165" s="144"/>
      <c r="Y165" s="144"/>
      <c r="Z165" s="144"/>
      <c r="AA165" s="144"/>
      <c r="AB165" s="144"/>
      <c r="AC165" s="144"/>
    </row>
    <row r="166" spans="1:29" x14ac:dyDescent="0.2">
      <c r="A166" s="144"/>
      <c r="B166" s="144"/>
      <c r="C166" s="144"/>
      <c r="D166" s="144"/>
      <c r="E166" s="144"/>
      <c r="F166" s="144"/>
      <c r="G166" s="144"/>
      <c r="H166" s="144"/>
      <c r="I166" s="144"/>
      <c r="J166" s="144"/>
      <c r="K166" s="144"/>
      <c r="M166" s="144"/>
      <c r="N166" s="144"/>
      <c r="O166" s="144"/>
      <c r="P166" s="144"/>
      <c r="Q166" s="144"/>
      <c r="R166" s="144"/>
      <c r="S166" s="144"/>
      <c r="T166" s="144"/>
      <c r="U166" s="144"/>
      <c r="V166" s="144"/>
      <c r="W166" s="144"/>
      <c r="Y166" s="144"/>
      <c r="Z166" s="144"/>
      <c r="AA166" s="144"/>
      <c r="AB166" s="144"/>
      <c r="AC166" s="144"/>
    </row>
    <row r="167" spans="1:29" x14ac:dyDescent="0.2">
      <c r="A167" s="144"/>
      <c r="B167" s="144"/>
      <c r="C167" s="144"/>
      <c r="D167" s="144"/>
      <c r="E167" s="144"/>
      <c r="F167" s="144"/>
      <c r="G167" s="144"/>
      <c r="H167" s="144"/>
      <c r="I167" s="144"/>
      <c r="J167" s="144"/>
      <c r="K167" s="144"/>
      <c r="M167" s="144"/>
      <c r="N167" s="144"/>
      <c r="O167" s="144"/>
      <c r="P167" s="144"/>
      <c r="Q167" s="144"/>
      <c r="R167" s="144"/>
      <c r="S167" s="144"/>
      <c r="T167" s="144"/>
      <c r="U167" s="144"/>
      <c r="V167" s="144"/>
      <c r="W167" s="144"/>
      <c r="Y167" s="144"/>
      <c r="Z167" s="144"/>
      <c r="AA167" s="144"/>
      <c r="AB167" s="144"/>
      <c r="AC167" s="144"/>
    </row>
    <row r="168" spans="1:29" x14ac:dyDescent="0.2">
      <c r="A168" s="144"/>
      <c r="B168" s="144"/>
      <c r="C168" s="144"/>
      <c r="D168" s="144"/>
      <c r="E168" s="144"/>
      <c r="F168" s="144"/>
      <c r="G168" s="144"/>
      <c r="H168" s="144"/>
      <c r="I168" s="144"/>
      <c r="J168" s="144"/>
      <c r="K168" s="144"/>
      <c r="M168" s="144"/>
      <c r="N168" s="144"/>
      <c r="O168" s="144"/>
      <c r="P168" s="144"/>
      <c r="Q168" s="144"/>
      <c r="R168" s="144"/>
      <c r="S168" s="144"/>
      <c r="T168" s="144"/>
      <c r="U168" s="144"/>
      <c r="V168" s="144"/>
      <c r="W168" s="144"/>
      <c r="Y168" s="144"/>
      <c r="Z168" s="144"/>
      <c r="AA168" s="144"/>
      <c r="AB168" s="144"/>
      <c r="AC168" s="144"/>
    </row>
    <row r="169" spans="1:29" x14ac:dyDescent="0.2">
      <c r="A169" s="144"/>
      <c r="B169" s="144"/>
      <c r="C169" s="144"/>
      <c r="D169" s="144"/>
      <c r="E169" s="144"/>
      <c r="F169" s="144"/>
      <c r="G169" s="144"/>
      <c r="H169" s="144"/>
      <c r="I169" s="144"/>
      <c r="J169" s="144"/>
      <c r="K169" s="144"/>
      <c r="M169" s="144"/>
      <c r="N169" s="144"/>
      <c r="O169" s="144"/>
      <c r="P169" s="144"/>
      <c r="Q169" s="144"/>
      <c r="R169" s="144"/>
      <c r="S169" s="144"/>
      <c r="T169" s="144"/>
      <c r="U169" s="144"/>
      <c r="V169" s="144"/>
      <c r="W169" s="144"/>
      <c r="Y169" s="144"/>
      <c r="Z169" s="144"/>
      <c r="AA169" s="144"/>
      <c r="AB169" s="144"/>
      <c r="AC169" s="144"/>
    </row>
    <row r="170" spans="1:29" x14ac:dyDescent="0.2">
      <c r="A170" s="144"/>
      <c r="B170" s="144"/>
      <c r="C170" s="144"/>
      <c r="D170" s="144"/>
      <c r="E170" s="144"/>
      <c r="F170" s="144"/>
      <c r="G170" s="144"/>
      <c r="H170" s="144"/>
      <c r="I170" s="144"/>
      <c r="J170" s="144"/>
      <c r="K170" s="144"/>
      <c r="M170" s="144"/>
      <c r="N170" s="144"/>
      <c r="O170" s="144"/>
      <c r="P170" s="144"/>
      <c r="Q170" s="144"/>
      <c r="R170" s="144"/>
      <c r="S170" s="144"/>
      <c r="T170" s="144"/>
      <c r="U170" s="144"/>
      <c r="V170" s="144"/>
      <c r="W170" s="144"/>
      <c r="Y170" s="144"/>
      <c r="Z170" s="144"/>
      <c r="AA170" s="144"/>
      <c r="AB170" s="144"/>
      <c r="AC170" s="144"/>
    </row>
    <row r="171" spans="1:29" x14ac:dyDescent="0.2">
      <c r="A171" s="144"/>
      <c r="B171" s="144"/>
      <c r="C171" s="144"/>
      <c r="D171" s="144"/>
      <c r="E171" s="144"/>
      <c r="F171" s="144"/>
      <c r="G171" s="144"/>
      <c r="H171" s="144"/>
      <c r="I171" s="144"/>
      <c r="J171" s="144"/>
      <c r="K171" s="144"/>
      <c r="M171" s="144"/>
      <c r="N171" s="144"/>
      <c r="O171" s="144"/>
      <c r="P171" s="144"/>
      <c r="Q171" s="144"/>
      <c r="R171" s="144"/>
      <c r="S171" s="144"/>
      <c r="T171" s="144"/>
      <c r="U171" s="144"/>
      <c r="V171" s="144"/>
      <c r="W171" s="144"/>
      <c r="Y171" s="144"/>
      <c r="Z171" s="144"/>
      <c r="AA171" s="144"/>
      <c r="AB171" s="144"/>
      <c r="AC171" s="144"/>
    </row>
    <row r="172" spans="1:29" x14ac:dyDescent="0.2">
      <c r="A172" s="144"/>
      <c r="B172" s="144"/>
      <c r="C172" s="144"/>
      <c r="D172" s="144"/>
      <c r="E172" s="144"/>
      <c r="F172" s="144"/>
      <c r="G172" s="144"/>
      <c r="H172" s="144"/>
      <c r="I172" s="144"/>
      <c r="J172" s="144"/>
      <c r="K172" s="144"/>
      <c r="M172" s="144"/>
      <c r="N172" s="144"/>
      <c r="O172" s="144"/>
      <c r="P172" s="144"/>
      <c r="Q172" s="144"/>
      <c r="R172" s="144"/>
      <c r="S172" s="144"/>
      <c r="T172" s="144"/>
      <c r="U172" s="144"/>
      <c r="V172" s="144"/>
      <c r="W172" s="144"/>
      <c r="Y172" s="144"/>
      <c r="Z172" s="144"/>
      <c r="AA172" s="144"/>
      <c r="AB172" s="144"/>
      <c r="AC172" s="144"/>
    </row>
    <row r="173" spans="1:29" x14ac:dyDescent="0.2">
      <c r="A173" s="144"/>
      <c r="B173" s="144"/>
      <c r="C173" s="144"/>
      <c r="D173" s="144"/>
      <c r="E173" s="144"/>
      <c r="F173" s="144"/>
      <c r="G173" s="144"/>
      <c r="H173" s="144"/>
      <c r="I173" s="144"/>
      <c r="J173" s="144"/>
      <c r="K173" s="144"/>
      <c r="M173" s="144"/>
      <c r="N173" s="144"/>
      <c r="O173" s="144"/>
      <c r="P173" s="144"/>
      <c r="Q173" s="144"/>
      <c r="R173" s="144"/>
      <c r="S173" s="144"/>
      <c r="T173" s="144"/>
      <c r="U173" s="144"/>
      <c r="V173" s="144"/>
      <c r="W173" s="144"/>
      <c r="Y173" s="144"/>
      <c r="Z173" s="144"/>
      <c r="AA173" s="144"/>
      <c r="AB173" s="144"/>
      <c r="AC173" s="144"/>
    </row>
    <row r="174" spans="1:29" x14ac:dyDescent="0.2">
      <c r="A174" s="144"/>
      <c r="B174" s="144"/>
      <c r="C174" s="144"/>
      <c r="D174" s="144"/>
      <c r="E174" s="144"/>
      <c r="F174" s="144"/>
      <c r="G174" s="144"/>
      <c r="H174" s="144"/>
      <c r="I174" s="144"/>
      <c r="J174" s="144"/>
      <c r="K174" s="144"/>
      <c r="M174" s="144"/>
      <c r="N174" s="144"/>
      <c r="O174" s="144"/>
      <c r="P174" s="144"/>
      <c r="Q174" s="144"/>
      <c r="R174" s="144"/>
      <c r="S174" s="144"/>
      <c r="T174" s="144"/>
      <c r="U174" s="144"/>
      <c r="V174" s="144"/>
      <c r="W174" s="144"/>
      <c r="Y174" s="144"/>
      <c r="Z174" s="144"/>
      <c r="AA174" s="144"/>
      <c r="AB174" s="144"/>
      <c r="AC174" s="144"/>
    </row>
    <row r="175" spans="1:29" x14ac:dyDescent="0.2">
      <c r="A175" s="144"/>
      <c r="B175" s="144"/>
      <c r="C175" s="144"/>
      <c r="D175" s="144"/>
      <c r="E175" s="144"/>
      <c r="F175" s="144"/>
      <c r="G175" s="144"/>
      <c r="H175" s="144"/>
      <c r="I175" s="144"/>
      <c r="J175" s="144"/>
      <c r="K175" s="144"/>
      <c r="M175" s="144"/>
      <c r="N175" s="144"/>
      <c r="O175" s="144"/>
      <c r="P175" s="144"/>
      <c r="Q175" s="144"/>
      <c r="R175" s="144"/>
      <c r="S175" s="144"/>
      <c r="T175" s="144"/>
      <c r="U175" s="144"/>
      <c r="V175" s="144"/>
      <c r="W175" s="144"/>
      <c r="Y175" s="144"/>
      <c r="Z175" s="144"/>
      <c r="AA175" s="144"/>
      <c r="AB175" s="144"/>
      <c r="AC175" s="144"/>
    </row>
    <row r="176" spans="1:29" x14ac:dyDescent="0.2">
      <c r="A176" s="144"/>
      <c r="B176" s="144"/>
      <c r="C176" s="144"/>
      <c r="D176" s="144"/>
      <c r="E176" s="144"/>
      <c r="F176" s="144"/>
      <c r="G176" s="144"/>
      <c r="H176" s="144"/>
      <c r="I176" s="144"/>
      <c r="J176" s="144"/>
      <c r="K176" s="144"/>
      <c r="M176" s="144"/>
      <c r="N176" s="144"/>
      <c r="O176" s="144"/>
      <c r="P176" s="144"/>
      <c r="Q176" s="144"/>
      <c r="R176" s="144"/>
      <c r="S176" s="144"/>
      <c r="T176" s="144"/>
      <c r="U176" s="144"/>
      <c r="V176" s="144"/>
      <c r="W176" s="144"/>
      <c r="Y176" s="144"/>
      <c r="Z176" s="144"/>
      <c r="AA176" s="144"/>
      <c r="AB176" s="144"/>
      <c r="AC176" s="144"/>
    </row>
    <row r="177" spans="1:29" x14ac:dyDescent="0.2">
      <c r="A177" s="144"/>
      <c r="B177" s="144"/>
      <c r="C177" s="144"/>
      <c r="D177" s="144"/>
      <c r="E177" s="144"/>
      <c r="F177" s="144"/>
      <c r="G177" s="144"/>
      <c r="H177" s="144"/>
      <c r="I177" s="144"/>
      <c r="J177" s="144"/>
      <c r="K177" s="144"/>
      <c r="M177" s="144"/>
      <c r="N177" s="144"/>
      <c r="O177" s="144"/>
      <c r="P177" s="144"/>
      <c r="Q177" s="144"/>
      <c r="R177" s="144"/>
      <c r="S177" s="144"/>
      <c r="T177" s="144"/>
      <c r="U177" s="144"/>
      <c r="V177" s="144"/>
      <c r="W177" s="144"/>
      <c r="Y177" s="144"/>
      <c r="Z177" s="144"/>
      <c r="AA177" s="144"/>
      <c r="AB177" s="144"/>
      <c r="AC177" s="144"/>
    </row>
    <row r="178" spans="1:29" x14ac:dyDescent="0.2">
      <c r="A178" s="144"/>
      <c r="B178" s="144"/>
      <c r="C178" s="144"/>
      <c r="D178" s="144"/>
      <c r="E178" s="144"/>
      <c r="F178" s="144"/>
      <c r="G178" s="144"/>
      <c r="H178" s="144"/>
      <c r="I178" s="144"/>
      <c r="J178" s="144"/>
      <c r="K178" s="144"/>
      <c r="M178" s="144"/>
      <c r="N178" s="144"/>
      <c r="O178" s="144"/>
      <c r="P178" s="144"/>
      <c r="Q178" s="144"/>
      <c r="R178" s="144"/>
      <c r="S178" s="144"/>
      <c r="T178" s="144"/>
      <c r="U178" s="144"/>
      <c r="V178" s="144"/>
      <c r="W178" s="144"/>
      <c r="Y178" s="144"/>
      <c r="Z178" s="144"/>
      <c r="AA178" s="144"/>
      <c r="AB178" s="144"/>
      <c r="AC178" s="144"/>
    </row>
    <row r="179" spans="1:29" x14ac:dyDescent="0.2">
      <c r="A179" s="144"/>
      <c r="B179" s="144"/>
      <c r="C179" s="144"/>
      <c r="D179" s="144"/>
      <c r="E179" s="144"/>
      <c r="F179" s="144"/>
      <c r="G179" s="144"/>
      <c r="H179" s="144"/>
      <c r="I179" s="144"/>
      <c r="J179" s="144"/>
      <c r="K179" s="144"/>
      <c r="M179" s="144"/>
      <c r="N179" s="144"/>
      <c r="O179" s="144"/>
      <c r="P179" s="144"/>
      <c r="Q179" s="144"/>
      <c r="R179" s="144"/>
      <c r="S179" s="144"/>
      <c r="T179" s="144"/>
      <c r="U179" s="144"/>
      <c r="V179" s="144"/>
      <c r="W179" s="144"/>
      <c r="Y179" s="144"/>
      <c r="Z179" s="144"/>
      <c r="AA179" s="144"/>
      <c r="AB179" s="144"/>
      <c r="AC179" s="144"/>
    </row>
    <row r="180" spans="1:29" x14ac:dyDescent="0.2">
      <c r="A180" s="144"/>
      <c r="B180" s="144"/>
      <c r="C180" s="144"/>
      <c r="D180" s="144"/>
      <c r="E180" s="144"/>
      <c r="F180" s="144"/>
      <c r="G180" s="144"/>
      <c r="H180" s="144"/>
      <c r="I180" s="144"/>
      <c r="J180" s="144"/>
      <c r="K180" s="144"/>
      <c r="M180" s="144"/>
      <c r="N180" s="144"/>
      <c r="O180" s="144"/>
      <c r="P180" s="144"/>
      <c r="Q180" s="144"/>
      <c r="R180" s="144"/>
      <c r="S180" s="144"/>
      <c r="T180" s="144"/>
      <c r="U180" s="144"/>
      <c r="V180" s="144"/>
      <c r="W180" s="144"/>
      <c r="Y180" s="144"/>
      <c r="Z180" s="144"/>
      <c r="AA180" s="144"/>
      <c r="AB180" s="144"/>
      <c r="AC180" s="144"/>
    </row>
    <row r="181" spans="1:29" x14ac:dyDescent="0.2">
      <c r="A181" s="144"/>
      <c r="B181" s="144"/>
      <c r="C181" s="144"/>
      <c r="D181" s="144"/>
      <c r="E181" s="144"/>
      <c r="F181" s="144"/>
      <c r="G181" s="144"/>
      <c r="H181" s="144"/>
      <c r="I181" s="144"/>
      <c r="J181" s="144"/>
      <c r="K181" s="144"/>
      <c r="M181" s="144"/>
      <c r="N181" s="144"/>
      <c r="O181" s="144"/>
      <c r="P181" s="144"/>
      <c r="Q181" s="144"/>
      <c r="R181" s="144"/>
      <c r="S181" s="144"/>
      <c r="T181" s="144"/>
      <c r="U181" s="144"/>
      <c r="V181" s="144"/>
      <c r="W181" s="144"/>
      <c r="Y181" s="144"/>
      <c r="Z181" s="144"/>
      <c r="AA181" s="144"/>
      <c r="AB181" s="144"/>
      <c r="AC181" s="144"/>
    </row>
    <row r="182" spans="1:29" x14ac:dyDescent="0.2">
      <c r="A182" s="144"/>
      <c r="B182" s="144"/>
      <c r="C182" s="144"/>
      <c r="D182" s="144"/>
      <c r="E182" s="144"/>
      <c r="F182" s="144"/>
      <c r="G182" s="144"/>
      <c r="H182" s="144"/>
      <c r="I182" s="144"/>
      <c r="J182" s="144"/>
      <c r="K182" s="144"/>
      <c r="M182" s="144"/>
      <c r="N182" s="144"/>
      <c r="O182" s="144"/>
      <c r="P182" s="144"/>
      <c r="Q182" s="144"/>
      <c r="R182" s="144"/>
      <c r="S182" s="144"/>
      <c r="T182" s="144"/>
      <c r="U182" s="144"/>
      <c r="V182" s="144"/>
      <c r="W182" s="144"/>
      <c r="Y182" s="144"/>
      <c r="Z182" s="144"/>
      <c r="AA182" s="144"/>
      <c r="AB182" s="144"/>
      <c r="AC182" s="144"/>
    </row>
    <row r="183" spans="1:29" x14ac:dyDescent="0.2">
      <c r="A183" s="144"/>
      <c r="B183" s="144"/>
      <c r="C183" s="144"/>
      <c r="D183" s="144"/>
      <c r="E183" s="144"/>
      <c r="F183" s="144"/>
      <c r="G183" s="144"/>
      <c r="H183" s="144"/>
      <c r="I183" s="144"/>
      <c r="J183" s="144"/>
      <c r="K183" s="144"/>
      <c r="M183" s="144"/>
      <c r="N183" s="144"/>
      <c r="O183" s="144"/>
      <c r="P183" s="144"/>
      <c r="Q183" s="144"/>
      <c r="R183" s="144"/>
      <c r="S183" s="144"/>
      <c r="T183" s="144"/>
      <c r="U183" s="144"/>
      <c r="V183" s="144"/>
      <c r="W183" s="144"/>
      <c r="Y183" s="144"/>
      <c r="Z183" s="144"/>
      <c r="AA183" s="144"/>
      <c r="AB183" s="144"/>
      <c r="AC183" s="144"/>
    </row>
    <row r="184" spans="1:29" x14ac:dyDescent="0.2">
      <c r="A184" s="144"/>
      <c r="B184" s="144"/>
      <c r="C184" s="144"/>
      <c r="D184" s="144"/>
      <c r="E184" s="144"/>
      <c r="F184" s="144"/>
      <c r="G184" s="144"/>
      <c r="H184" s="144"/>
      <c r="I184" s="144"/>
      <c r="J184" s="144"/>
      <c r="K184" s="144"/>
      <c r="M184" s="144"/>
      <c r="N184" s="144"/>
      <c r="O184" s="144"/>
      <c r="P184" s="144"/>
      <c r="Q184" s="144"/>
      <c r="R184" s="144"/>
      <c r="S184" s="144"/>
      <c r="T184" s="144"/>
      <c r="U184" s="144"/>
      <c r="V184" s="144"/>
      <c r="W184" s="144"/>
      <c r="Y184" s="144"/>
      <c r="Z184" s="144"/>
      <c r="AA184" s="144"/>
      <c r="AB184" s="144"/>
      <c r="AC184" s="144"/>
    </row>
    <row r="185" spans="1:29" x14ac:dyDescent="0.2">
      <c r="A185" s="144"/>
      <c r="B185" s="144"/>
      <c r="C185" s="144"/>
      <c r="D185" s="144"/>
      <c r="E185" s="144"/>
      <c r="F185" s="144"/>
      <c r="G185" s="144"/>
      <c r="H185" s="144"/>
      <c r="I185" s="144"/>
      <c r="J185" s="144"/>
      <c r="K185" s="144"/>
      <c r="M185" s="144"/>
      <c r="N185" s="144"/>
      <c r="O185" s="144"/>
      <c r="P185" s="144"/>
      <c r="Q185" s="144"/>
      <c r="R185" s="144"/>
      <c r="S185" s="144"/>
      <c r="T185" s="144"/>
      <c r="U185" s="144"/>
      <c r="V185" s="144"/>
      <c r="W185" s="144"/>
      <c r="Y185" s="144"/>
      <c r="Z185" s="144"/>
      <c r="AA185" s="144"/>
      <c r="AB185" s="144"/>
      <c r="AC185" s="144"/>
    </row>
    <row r="186" spans="1:29" x14ac:dyDescent="0.2">
      <c r="A186" s="144"/>
      <c r="B186" s="144"/>
      <c r="C186" s="144"/>
      <c r="D186" s="144"/>
      <c r="E186" s="144"/>
      <c r="F186" s="144"/>
      <c r="G186" s="144"/>
      <c r="H186" s="144"/>
      <c r="I186" s="144"/>
      <c r="J186" s="144"/>
      <c r="K186" s="144"/>
      <c r="M186" s="144"/>
      <c r="N186" s="144"/>
      <c r="O186" s="144"/>
      <c r="P186" s="144"/>
      <c r="Q186" s="144"/>
      <c r="R186" s="144"/>
      <c r="S186" s="144"/>
      <c r="T186" s="144"/>
      <c r="U186" s="144"/>
      <c r="V186" s="144"/>
      <c r="W186" s="144"/>
      <c r="Y186" s="144"/>
      <c r="Z186" s="144"/>
      <c r="AA186" s="144"/>
      <c r="AB186" s="144"/>
      <c r="AC186" s="144"/>
    </row>
    <row r="187" spans="1:29" x14ac:dyDescent="0.2">
      <c r="A187" s="144"/>
      <c r="B187" s="144"/>
      <c r="C187" s="144"/>
      <c r="D187" s="144"/>
      <c r="E187" s="144"/>
      <c r="F187" s="144"/>
      <c r="G187" s="144"/>
      <c r="H187" s="144"/>
      <c r="I187" s="144"/>
      <c r="J187" s="144"/>
      <c r="K187" s="144"/>
      <c r="M187" s="144"/>
      <c r="N187" s="144"/>
      <c r="O187" s="144"/>
      <c r="P187" s="144"/>
      <c r="Q187" s="144"/>
      <c r="R187" s="144"/>
      <c r="S187" s="144"/>
      <c r="T187" s="144"/>
      <c r="U187" s="144"/>
      <c r="V187" s="144"/>
      <c r="W187" s="144"/>
      <c r="Y187" s="144"/>
      <c r="Z187" s="144"/>
      <c r="AA187" s="144"/>
      <c r="AB187" s="144"/>
      <c r="AC187" s="144"/>
    </row>
    <row r="188" spans="1:29" x14ac:dyDescent="0.2">
      <c r="A188" s="144"/>
      <c r="B188" s="144"/>
      <c r="C188" s="144"/>
      <c r="D188" s="144"/>
      <c r="E188" s="144"/>
      <c r="F188" s="144"/>
      <c r="G188" s="144"/>
      <c r="H188" s="144"/>
      <c r="I188" s="144"/>
      <c r="J188" s="144"/>
      <c r="K188" s="144"/>
      <c r="M188" s="144"/>
      <c r="N188" s="144"/>
      <c r="O188" s="144"/>
      <c r="P188" s="144"/>
      <c r="Q188" s="144"/>
      <c r="R188" s="144"/>
      <c r="S188" s="144"/>
      <c r="T188" s="144"/>
      <c r="U188" s="144"/>
      <c r="V188" s="144"/>
      <c r="W188" s="144"/>
      <c r="Y188" s="144"/>
      <c r="Z188" s="144"/>
      <c r="AA188" s="144"/>
      <c r="AB188" s="144"/>
      <c r="AC188" s="144"/>
    </row>
    <row r="189" spans="1:29" x14ac:dyDescent="0.2">
      <c r="A189" s="144"/>
      <c r="B189" s="144"/>
      <c r="C189" s="144"/>
      <c r="D189" s="144"/>
      <c r="E189" s="144"/>
      <c r="F189" s="144"/>
      <c r="G189" s="144"/>
      <c r="H189" s="144"/>
      <c r="I189" s="144"/>
      <c r="J189" s="144"/>
      <c r="K189" s="144"/>
      <c r="M189" s="144"/>
      <c r="N189" s="144"/>
      <c r="O189" s="144"/>
      <c r="P189" s="144"/>
      <c r="Q189" s="144"/>
      <c r="R189" s="144"/>
      <c r="S189" s="144"/>
      <c r="T189" s="144"/>
      <c r="U189" s="144"/>
      <c r="V189" s="144"/>
      <c r="W189" s="144"/>
      <c r="Y189" s="144"/>
      <c r="Z189" s="144"/>
      <c r="AA189" s="144"/>
      <c r="AB189" s="144"/>
      <c r="AC189" s="144"/>
    </row>
    <row r="190" spans="1:29" x14ac:dyDescent="0.2">
      <c r="A190" s="144"/>
      <c r="B190" s="144"/>
      <c r="C190" s="144"/>
      <c r="D190" s="144"/>
      <c r="E190" s="144"/>
      <c r="F190" s="144"/>
      <c r="G190" s="144"/>
      <c r="H190" s="144"/>
      <c r="I190" s="144"/>
      <c r="J190" s="144"/>
      <c r="K190" s="144"/>
      <c r="M190" s="144"/>
      <c r="N190" s="144"/>
      <c r="O190" s="144"/>
      <c r="P190" s="144"/>
      <c r="Q190" s="144"/>
      <c r="R190" s="144"/>
      <c r="S190" s="144"/>
      <c r="T190" s="144"/>
      <c r="U190" s="144"/>
      <c r="V190" s="144"/>
      <c r="W190" s="144"/>
      <c r="Y190" s="144"/>
      <c r="Z190" s="144"/>
      <c r="AA190" s="144"/>
      <c r="AB190" s="144"/>
      <c r="AC190" s="144"/>
    </row>
    <row r="191" spans="1:29" x14ac:dyDescent="0.2">
      <c r="A191" s="144"/>
      <c r="B191" s="144"/>
      <c r="C191" s="144"/>
      <c r="D191" s="144"/>
      <c r="E191" s="144"/>
      <c r="F191" s="144"/>
      <c r="G191" s="144"/>
      <c r="H191" s="144"/>
      <c r="I191" s="144"/>
      <c r="J191" s="144"/>
      <c r="K191" s="144"/>
      <c r="M191" s="144"/>
      <c r="N191" s="144"/>
      <c r="O191" s="144"/>
      <c r="P191" s="144"/>
      <c r="Q191" s="144"/>
      <c r="R191" s="144"/>
      <c r="S191" s="144"/>
      <c r="T191" s="144"/>
      <c r="U191" s="144"/>
      <c r="V191" s="144"/>
      <c r="W191" s="144"/>
      <c r="Y191" s="144"/>
      <c r="Z191" s="144"/>
      <c r="AA191" s="144"/>
      <c r="AB191" s="144"/>
      <c r="AC191" s="144"/>
    </row>
    <row r="192" spans="1:29" x14ac:dyDescent="0.2">
      <c r="A192" s="144"/>
      <c r="B192" s="144"/>
      <c r="C192" s="144"/>
      <c r="D192" s="144"/>
      <c r="E192" s="144"/>
      <c r="F192" s="144"/>
      <c r="G192" s="144"/>
      <c r="H192" s="144"/>
      <c r="I192" s="144"/>
      <c r="J192" s="144"/>
      <c r="K192" s="144"/>
      <c r="M192" s="144"/>
      <c r="N192" s="144"/>
      <c r="O192" s="144"/>
      <c r="P192" s="144"/>
      <c r="Q192" s="144"/>
      <c r="R192" s="144"/>
      <c r="S192" s="144"/>
      <c r="T192" s="144"/>
      <c r="U192" s="144"/>
      <c r="V192" s="144"/>
      <c r="W192" s="144"/>
      <c r="Y192" s="144"/>
      <c r="Z192" s="144"/>
      <c r="AA192" s="144"/>
      <c r="AB192" s="144"/>
      <c r="AC192" s="144"/>
    </row>
    <row r="193" spans="1:29" x14ac:dyDescent="0.2">
      <c r="A193" s="144"/>
      <c r="B193" s="144"/>
      <c r="C193" s="144"/>
      <c r="D193" s="144"/>
      <c r="E193" s="144"/>
      <c r="F193" s="144"/>
      <c r="G193" s="144"/>
      <c r="H193" s="144"/>
      <c r="I193" s="144"/>
      <c r="J193" s="144"/>
      <c r="K193" s="144"/>
      <c r="M193" s="144"/>
      <c r="N193" s="144"/>
      <c r="O193" s="144"/>
      <c r="P193" s="144"/>
      <c r="Q193" s="144"/>
      <c r="R193" s="144"/>
      <c r="S193" s="144"/>
      <c r="T193" s="144"/>
      <c r="U193" s="144"/>
      <c r="V193" s="144"/>
      <c r="W193" s="144"/>
      <c r="Y193" s="144"/>
      <c r="Z193" s="144"/>
      <c r="AA193" s="144"/>
      <c r="AB193" s="144"/>
      <c r="AC193" s="144"/>
    </row>
    <row r="194" spans="1:29" x14ac:dyDescent="0.2">
      <c r="A194" s="144"/>
      <c r="B194" s="144"/>
      <c r="C194" s="144"/>
      <c r="D194" s="144"/>
      <c r="E194" s="144"/>
      <c r="F194" s="144"/>
      <c r="G194" s="144"/>
      <c r="H194" s="144"/>
      <c r="I194" s="144"/>
      <c r="J194" s="144"/>
      <c r="K194" s="144"/>
      <c r="M194" s="144"/>
      <c r="N194" s="144"/>
      <c r="O194" s="144"/>
      <c r="P194" s="144"/>
      <c r="Q194" s="144"/>
      <c r="R194" s="144"/>
      <c r="S194" s="144"/>
      <c r="T194" s="144"/>
      <c r="U194" s="144"/>
      <c r="V194" s="144"/>
      <c r="W194" s="144"/>
      <c r="Y194" s="144"/>
      <c r="Z194" s="144"/>
      <c r="AA194" s="144"/>
      <c r="AB194" s="144"/>
      <c r="AC194" s="144"/>
    </row>
    <row r="195" spans="1:29" x14ac:dyDescent="0.2">
      <c r="A195" s="144"/>
      <c r="B195" s="144"/>
      <c r="C195" s="144"/>
      <c r="D195" s="144"/>
      <c r="E195" s="144"/>
      <c r="F195" s="144"/>
      <c r="G195" s="144"/>
      <c r="H195" s="144"/>
      <c r="I195" s="144"/>
      <c r="J195" s="144"/>
      <c r="K195" s="144"/>
      <c r="M195" s="144"/>
      <c r="N195" s="144"/>
      <c r="O195" s="144"/>
      <c r="P195" s="144"/>
      <c r="Q195" s="144"/>
      <c r="R195" s="144"/>
      <c r="S195" s="144"/>
      <c r="T195" s="144"/>
      <c r="U195" s="144"/>
      <c r="V195" s="144"/>
      <c r="W195" s="144"/>
      <c r="Y195" s="144"/>
      <c r="Z195" s="144"/>
      <c r="AA195" s="144"/>
      <c r="AB195" s="144"/>
      <c r="AC195" s="144"/>
    </row>
    <row r="196" spans="1:29" x14ac:dyDescent="0.2">
      <c r="A196" s="144"/>
      <c r="B196" s="144"/>
      <c r="C196" s="144"/>
      <c r="D196" s="144"/>
      <c r="E196" s="144"/>
      <c r="F196" s="144"/>
      <c r="G196" s="144"/>
      <c r="H196" s="144"/>
      <c r="I196" s="144"/>
      <c r="J196" s="144"/>
      <c r="K196" s="144"/>
      <c r="M196" s="144"/>
      <c r="N196" s="144"/>
      <c r="O196" s="144"/>
      <c r="P196" s="144"/>
      <c r="Q196" s="144"/>
      <c r="R196" s="144"/>
      <c r="S196" s="144"/>
      <c r="T196" s="144"/>
      <c r="U196" s="144"/>
      <c r="V196" s="144"/>
      <c r="W196" s="144"/>
      <c r="Y196" s="144"/>
      <c r="Z196" s="144"/>
      <c r="AA196" s="144"/>
      <c r="AB196" s="144"/>
      <c r="AC196" s="144"/>
    </row>
    <row r="197" spans="1:29" x14ac:dyDescent="0.2">
      <c r="A197" s="144"/>
      <c r="B197" s="144"/>
      <c r="C197" s="144"/>
      <c r="D197" s="144"/>
      <c r="E197" s="144"/>
      <c r="F197" s="144"/>
      <c r="G197" s="144"/>
      <c r="H197" s="144"/>
      <c r="I197" s="144"/>
      <c r="J197" s="144"/>
      <c r="K197" s="144"/>
      <c r="M197" s="144"/>
      <c r="N197" s="144"/>
      <c r="O197" s="144"/>
      <c r="P197" s="144"/>
      <c r="Q197" s="144"/>
      <c r="R197" s="144"/>
      <c r="S197" s="144"/>
      <c r="T197" s="144"/>
      <c r="U197" s="144"/>
      <c r="V197" s="144"/>
      <c r="W197" s="144"/>
      <c r="Y197" s="144"/>
      <c r="Z197" s="144"/>
      <c r="AA197" s="144"/>
      <c r="AB197" s="144"/>
      <c r="AC197" s="144"/>
    </row>
    <row r="198" spans="1:29" x14ac:dyDescent="0.2">
      <c r="A198" s="144"/>
      <c r="B198" s="144"/>
      <c r="C198" s="144"/>
      <c r="D198" s="144"/>
      <c r="E198" s="144"/>
      <c r="F198" s="144"/>
      <c r="G198" s="144"/>
      <c r="H198" s="144"/>
      <c r="I198" s="144"/>
      <c r="J198" s="144"/>
      <c r="K198" s="144"/>
      <c r="M198" s="144"/>
      <c r="N198" s="144"/>
      <c r="O198" s="144"/>
      <c r="P198" s="144"/>
      <c r="Q198" s="144"/>
      <c r="R198" s="144"/>
      <c r="S198" s="144"/>
      <c r="T198" s="144"/>
      <c r="U198" s="144"/>
      <c r="V198" s="144"/>
      <c r="W198" s="144"/>
      <c r="Y198" s="144"/>
      <c r="Z198" s="144"/>
      <c r="AA198" s="144"/>
      <c r="AB198" s="144"/>
      <c r="AC198" s="144"/>
    </row>
    <row r="199" spans="1:29" x14ac:dyDescent="0.2">
      <c r="A199" s="144"/>
      <c r="B199" s="144"/>
      <c r="C199" s="144"/>
      <c r="D199" s="144"/>
      <c r="E199" s="144"/>
      <c r="F199" s="144"/>
      <c r="G199" s="144"/>
      <c r="H199" s="144"/>
      <c r="I199" s="144"/>
      <c r="J199" s="144"/>
      <c r="K199" s="144"/>
      <c r="M199" s="144"/>
      <c r="N199" s="144"/>
      <c r="O199" s="144"/>
      <c r="P199" s="144"/>
      <c r="Q199" s="144"/>
      <c r="R199" s="144"/>
      <c r="S199" s="144"/>
      <c r="T199" s="144"/>
      <c r="U199" s="144"/>
      <c r="V199" s="144"/>
      <c r="W199" s="144"/>
      <c r="Y199" s="144"/>
      <c r="Z199" s="144"/>
      <c r="AA199" s="144"/>
      <c r="AB199" s="144"/>
      <c r="AC199" s="144"/>
    </row>
    <row r="200" spans="1:29" x14ac:dyDescent="0.2">
      <c r="A200" s="144"/>
      <c r="B200" s="144"/>
      <c r="C200" s="144"/>
      <c r="D200" s="144"/>
      <c r="E200" s="144"/>
      <c r="F200" s="144"/>
      <c r="G200" s="144"/>
      <c r="H200" s="144"/>
      <c r="I200" s="144"/>
      <c r="J200" s="144"/>
      <c r="K200" s="144"/>
      <c r="M200" s="144"/>
      <c r="N200" s="144"/>
      <c r="O200" s="144"/>
      <c r="P200" s="144"/>
      <c r="Q200" s="144"/>
      <c r="R200" s="144"/>
      <c r="S200" s="144"/>
      <c r="T200" s="144"/>
      <c r="U200" s="144"/>
      <c r="V200" s="144"/>
      <c r="W200" s="144"/>
      <c r="Y200" s="144"/>
      <c r="Z200" s="144"/>
      <c r="AA200" s="144"/>
      <c r="AB200" s="144"/>
      <c r="AC200" s="144"/>
    </row>
    <row r="201" spans="1:29" x14ac:dyDescent="0.2">
      <c r="A201" s="144"/>
      <c r="B201" s="144"/>
      <c r="C201" s="144"/>
      <c r="D201" s="144"/>
      <c r="E201" s="144"/>
      <c r="F201" s="144"/>
      <c r="G201" s="144"/>
      <c r="H201" s="144"/>
      <c r="I201" s="144"/>
      <c r="J201" s="144"/>
      <c r="K201" s="144"/>
      <c r="M201" s="144"/>
      <c r="N201" s="144"/>
      <c r="O201" s="144"/>
      <c r="P201" s="144"/>
      <c r="Q201" s="144"/>
      <c r="R201" s="144"/>
      <c r="S201" s="144"/>
      <c r="T201" s="144"/>
      <c r="U201" s="144"/>
      <c r="V201" s="144"/>
      <c r="W201" s="144"/>
      <c r="Y201" s="144"/>
      <c r="Z201" s="144"/>
      <c r="AA201" s="144"/>
      <c r="AB201" s="144"/>
      <c r="AC201" s="144"/>
    </row>
    <row r="202" spans="1:29" x14ac:dyDescent="0.2">
      <c r="A202" s="144"/>
      <c r="B202" s="144"/>
      <c r="C202" s="144"/>
      <c r="D202" s="144"/>
      <c r="E202" s="144"/>
      <c r="F202" s="144"/>
      <c r="G202" s="144"/>
      <c r="H202" s="144"/>
      <c r="I202" s="144"/>
      <c r="J202" s="144"/>
      <c r="K202" s="144"/>
      <c r="M202" s="144"/>
      <c r="N202" s="144"/>
      <c r="O202" s="144"/>
      <c r="P202" s="144"/>
      <c r="Q202" s="144"/>
      <c r="R202" s="144"/>
      <c r="S202" s="144"/>
      <c r="T202" s="144"/>
      <c r="U202" s="144"/>
      <c r="V202" s="144"/>
      <c r="W202" s="144"/>
      <c r="Y202" s="144"/>
      <c r="Z202" s="144"/>
      <c r="AA202" s="144"/>
      <c r="AB202" s="144"/>
      <c r="AC202" s="144"/>
    </row>
    <row r="203" spans="1:29" x14ac:dyDescent="0.2">
      <c r="A203" s="144"/>
      <c r="B203" s="144"/>
      <c r="C203" s="144"/>
      <c r="D203" s="144"/>
      <c r="E203" s="144"/>
      <c r="F203" s="144"/>
      <c r="G203" s="144"/>
      <c r="H203" s="144"/>
      <c r="I203" s="144"/>
      <c r="J203" s="144"/>
      <c r="K203" s="144"/>
      <c r="M203" s="144"/>
      <c r="N203" s="144"/>
      <c r="O203" s="144"/>
      <c r="P203" s="144"/>
      <c r="Q203" s="144"/>
      <c r="R203" s="144"/>
      <c r="S203" s="144"/>
      <c r="T203" s="144"/>
      <c r="U203" s="144"/>
      <c r="V203" s="144"/>
      <c r="W203" s="144"/>
      <c r="Y203" s="144"/>
      <c r="Z203" s="144"/>
      <c r="AA203" s="144"/>
      <c r="AB203" s="144"/>
      <c r="AC203" s="144"/>
    </row>
    <row r="204" spans="1:29" x14ac:dyDescent="0.2">
      <c r="A204" s="144"/>
      <c r="B204" s="144"/>
      <c r="C204" s="144"/>
      <c r="D204" s="144"/>
      <c r="E204" s="144"/>
      <c r="F204" s="144"/>
      <c r="G204" s="144"/>
      <c r="H204" s="144"/>
      <c r="I204" s="144"/>
      <c r="J204" s="144"/>
      <c r="K204" s="144"/>
      <c r="M204" s="144"/>
      <c r="N204" s="144"/>
      <c r="O204" s="144"/>
      <c r="P204" s="144"/>
      <c r="Q204" s="144"/>
      <c r="R204" s="144"/>
      <c r="S204" s="144"/>
      <c r="T204" s="144"/>
      <c r="U204" s="144"/>
      <c r="V204" s="144"/>
      <c r="W204" s="144"/>
      <c r="Y204" s="144"/>
      <c r="Z204" s="144"/>
      <c r="AA204" s="144"/>
      <c r="AB204" s="144"/>
      <c r="AC204" s="144"/>
    </row>
    <row r="205" spans="1:29" x14ac:dyDescent="0.2">
      <c r="A205" s="144"/>
      <c r="B205" s="144"/>
      <c r="C205" s="144"/>
      <c r="D205" s="144"/>
      <c r="E205" s="144"/>
      <c r="F205" s="144"/>
      <c r="G205" s="144"/>
      <c r="H205" s="144"/>
      <c r="I205" s="144"/>
      <c r="J205" s="144"/>
      <c r="K205" s="144"/>
      <c r="M205" s="144"/>
      <c r="N205" s="144"/>
      <c r="O205" s="144"/>
      <c r="P205" s="144"/>
      <c r="Q205" s="144"/>
      <c r="R205" s="144"/>
      <c r="S205" s="144"/>
      <c r="T205" s="144"/>
      <c r="U205" s="144"/>
      <c r="V205" s="144"/>
      <c r="W205" s="144"/>
      <c r="Y205" s="144"/>
      <c r="Z205" s="144"/>
      <c r="AA205" s="144"/>
      <c r="AB205" s="144"/>
      <c r="AC205" s="144"/>
    </row>
    <row r="206" spans="1:29" x14ac:dyDescent="0.2">
      <c r="A206" s="144"/>
      <c r="B206" s="144"/>
      <c r="C206" s="144"/>
      <c r="D206" s="144"/>
      <c r="E206" s="144"/>
      <c r="F206" s="144"/>
      <c r="G206" s="144"/>
      <c r="H206" s="144"/>
      <c r="I206" s="144"/>
      <c r="J206" s="144"/>
      <c r="K206" s="144"/>
      <c r="M206" s="144"/>
      <c r="N206" s="144"/>
      <c r="O206" s="144"/>
      <c r="P206" s="144"/>
      <c r="Q206" s="144"/>
      <c r="R206" s="144"/>
      <c r="S206" s="144"/>
      <c r="T206" s="144"/>
      <c r="U206" s="144"/>
      <c r="V206" s="144"/>
      <c r="W206" s="144"/>
      <c r="Y206" s="144"/>
      <c r="Z206" s="144"/>
      <c r="AA206" s="144"/>
      <c r="AB206" s="144"/>
      <c r="AC206" s="144"/>
    </row>
    <row r="207" spans="1:29" x14ac:dyDescent="0.2">
      <c r="A207" s="144"/>
      <c r="B207" s="144"/>
      <c r="C207" s="144"/>
      <c r="D207" s="144"/>
      <c r="E207" s="144"/>
      <c r="F207" s="144"/>
      <c r="G207" s="144"/>
      <c r="H207" s="144"/>
      <c r="I207" s="144"/>
      <c r="J207" s="144"/>
      <c r="K207" s="144"/>
      <c r="M207" s="144"/>
      <c r="N207" s="144"/>
      <c r="O207" s="144"/>
      <c r="P207" s="144"/>
      <c r="Q207" s="144"/>
      <c r="R207" s="144"/>
      <c r="S207" s="144"/>
      <c r="T207" s="144"/>
      <c r="U207" s="144"/>
      <c r="V207" s="144"/>
      <c r="W207" s="144"/>
      <c r="Y207" s="144"/>
      <c r="Z207" s="144"/>
      <c r="AA207" s="144"/>
      <c r="AB207" s="144"/>
      <c r="AC207" s="144"/>
    </row>
    <row r="208" spans="1:29" x14ac:dyDescent="0.2">
      <c r="A208" s="144"/>
      <c r="B208" s="144"/>
      <c r="C208" s="144"/>
      <c r="D208" s="144"/>
      <c r="E208" s="144"/>
      <c r="F208" s="144"/>
      <c r="G208" s="144"/>
      <c r="H208" s="144"/>
      <c r="I208" s="144"/>
      <c r="J208" s="144"/>
      <c r="K208" s="144"/>
      <c r="M208" s="144"/>
      <c r="N208" s="144"/>
      <c r="O208" s="144"/>
      <c r="P208" s="144"/>
      <c r="Q208" s="144"/>
      <c r="R208" s="144"/>
      <c r="S208" s="144"/>
      <c r="T208" s="144"/>
      <c r="U208" s="144"/>
      <c r="V208" s="144"/>
      <c r="W208" s="144"/>
      <c r="Y208" s="144"/>
      <c r="Z208" s="144"/>
      <c r="AA208" s="144"/>
      <c r="AB208" s="144"/>
      <c r="AC208" s="144"/>
    </row>
    <row r="209" spans="1:29" x14ac:dyDescent="0.2">
      <c r="A209" s="144"/>
      <c r="B209" s="144"/>
      <c r="C209" s="144"/>
      <c r="D209" s="144"/>
      <c r="E209" s="144"/>
      <c r="F209" s="144"/>
      <c r="G209" s="144"/>
      <c r="H209" s="144"/>
      <c r="I209" s="144"/>
      <c r="J209" s="144"/>
      <c r="K209" s="144"/>
      <c r="M209" s="144"/>
      <c r="N209" s="144"/>
      <c r="O209" s="144"/>
      <c r="P209" s="144"/>
      <c r="Q209" s="144"/>
      <c r="R209" s="144"/>
      <c r="S209" s="144"/>
      <c r="T209" s="144"/>
      <c r="U209" s="144"/>
      <c r="V209" s="144"/>
      <c r="W209" s="144"/>
      <c r="Y209" s="144"/>
      <c r="Z209" s="144"/>
      <c r="AA209" s="144"/>
      <c r="AB209" s="144"/>
      <c r="AC209" s="144"/>
    </row>
    <row r="210" spans="1:29" x14ac:dyDescent="0.2">
      <c r="A210" s="144"/>
      <c r="B210" s="144"/>
      <c r="C210" s="144"/>
      <c r="D210" s="144"/>
      <c r="E210" s="144"/>
      <c r="F210" s="144"/>
      <c r="G210" s="144"/>
      <c r="H210" s="144"/>
      <c r="I210" s="144"/>
      <c r="J210" s="144"/>
      <c r="K210" s="144"/>
      <c r="M210" s="144"/>
      <c r="N210" s="144"/>
      <c r="O210" s="144"/>
      <c r="P210" s="144"/>
      <c r="Q210" s="144"/>
      <c r="R210" s="144"/>
      <c r="S210" s="144"/>
      <c r="T210" s="144"/>
      <c r="U210" s="144"/>
      <c r="V210" s="144"/>
      <c r="W210" s="144"/>
      <c r="Y210" s="144"/>
      <c r="Z210" s="144"/>
      <c r="AA210" s="144"/>
      <c r="AB210" s="144"/>
      <c r="AC210" s="144"/>
    </row>
    <row r="211" spans="1:29" x14ac:dyDescent="0.2">
      <c r="A211" s="144"/>
      <c r="B211" s="144"/>
      <c r="C211" s="144"/>
      <c r="D211" s="144"/>
      <c r="E211" s="144"/>
      <c r="F211" s="144"/>
      <c r="G211" s="144"/>
      <c r="H211" s="144"/>
      <c r="I211" s="144"/>
      <c r="J211" s="144"/>
      <c r="K211" s="144"/>
      <c r="M211" s="144"/>
      <c r="N211" s="144"/>
      <c r="O211" s="144"/>
      <c r="P211" s="144"/>
      <c r="Q211" s="144"/>
      <c r="R211" s="144"/>
      <c r="S211" s="144"/>
      <c r="T211" s="144"/>
      <c r="U211" s="144"/>
      <c r="V211" s="144"/>
      <c r="W211" s="144"/>
      <c r="Y211" s="144"/>
      <c r="Z211" s="144"/>
      <c r="AA211" s="144"/>
      <c r="AB211" s="144"/>
      <c r="AC211" s="144"/>
    </row>
    <row r="212" spans="1:29" x14ac:dyDescent="0.2">
      <c r="A212" s="144"/>
      <c r="B212" s="144"/>
      <c r="C212" s="144"/>
      <c r="D212" s="144"/>
      <c r="E212" s="144"/>
      <c r="F212" s="144"/>
      <c r="G212" s="144"/>
      <c r="H212" s="144"/>
      <c r="I212" s="144"/>
      <c r="J212" s="144"/>
      <c r="K212" s="144"/>
      <c r="M212" s="144"/>
      <c r="N212" s="144"/>
      <c r="O212" s="144"/>
      <c r="P212" s="144"/>
      <c r="Q212" s="144"/>
      <c r="R212" s="144"/>
      <c r="S212" s="144"/>
      <c r="T212" s="144"/>
      <c r="U212" s="144"/>
      <c r="V212" s="144"/>
      <c r="W212" s="144"/>
      <c r="Y212" s="144"/>
      <c r="Z212" s="144"/>
      <c r="AA212" s="144"/>
      <c r="AB212" s="144"/>
      <c r="AC212" s="144"/>
    </row>
    <row r="213" spans="1:29" x14ac:dyDescent="0.2">
      <c r="A213" s="144"/>
      <c r="B213" s="144"/>
      <c r="C213" s="144"/>
      <c r="D213" s="144"/>
      <c r="E213" s="144"/>
      <c r="F213" s="144"/>
      <c r="G213" s="144"/>
      <c r="H213" s="144"/>
      <c r="I213" s="144"/>
      <c r="J213" s="144"/>
      <c r="K213" s="144"/>
      <c r="M213" s="144"/>
      <c r="N213" s="144"/>
      <c r="O213" s="144"/>
      <c r="P213" s="144"/>
      <c r="Q213" s="144"/>
      <c r="R213" s="144"/>
      <c r="S213" s="144"/>
      <c r="T213" s="144"/>
      <c r="U213" s="144"/>
      <c r="V213" s="144"/>
      <c r="W213" s="144"/>
      <c r="Y213" s="144"/>
      <c r="Z213" s="144"/>
      <c r="AA213" s="144"/>
      <c r="AB213" s="144"/>
      <c r="AC213" s="144"/>
    </row>
    <row r="214" spans="1:29" x14ac:dyDescent="0.2">
      <c r="A214" s="144"/>
      <c r="B214" s="144"/>
      <c r="C214" s="144"/>
      <c r="D214" s="144"/>
      <c r="E214" s="144"/>
      <c r="F214" s="144"/>
      <c r="G214" s="144"/>
      <c r="H214" s="144"/>
      <c r="I214" s="144"/>
      <c r="J214" s="144"/>
      <c r="K214" s="144"/>
      <c r="M214" s="144"/>
      <c r="N214" s="144"/>
      <c r="O214" s="144"/>
      <c r="P214" s="144"/>
      <c r="Q214" s="144"/>
      <c r="R214" s="144"/>
      <c r="S214" s="144"/>
      <c r="T214" s="144"/>
      <c r="U214" s="144"/>
      <c r="V214" s="144"/>
      <c r="W214" s="144"/>
      <c r="Y214" s="144"/>
      <c r="Z214" s="144"/>
      <c r="AA214" s="144"/>
      <c r="AB214" s="144"/>
      <c r="AC214" s="144"/>
    </row>
    <row r="215" spans="1:29" x14ac:dyDescent="0.2">
      <c r="A215" s="144"/>
      <c r="B215" s="144"/>
      <c r="C215" s="144"/>
      <c r="D215" s="144"/>
      <c r="E215" s="144"/>
      <c r="F215" s="144"/>
      <c r="G215" s="144"/>
      <c r="H215" s="144"/>
      <c r="I215" s="144"/>
      <c r="J215" s="144"/>
      <c r="K215" s="144"/>
      <c r="M215" s="144"/>
      <c r="N215" s="144"/>
      <c r="O215" s="144"/>
      <c r="P215" s="144"/>
      <c r="Q215" s="144"/>
      <c r="R215" s="144"/>
      <c r="S215" s="144"/>
      <c r="T215" s="144"/>
      <c r="U215" s="144"/>
      <c r="V215" s="144"/>
      <c r="W215" s="144"/>
      <c r="Y215" s="144"/>
      <c r="Z215" s="144"/>
      <c r="AA215" s="144"/>
      <c r="AB215" s="144"/>
      <c r="AC215" s="144"/>
    </row>
    <row r="216" spans="1:29" x14ac:dyDescent="0.2">
      <c r="A216" s="144"/>
      <c r="B216" s="144"/>
      <c r="C216" s="144"/>
      <c r="D216" s="144"/>
      <c r="E216" s="144"/>
      <c r="F216" s="144"/>
      <c r="G216" s="144"/>
      <c r="H216" s="144"/>
      <c r="I216" s="144"/>
      <c r="J216" s="144"/>
      <c r="K216" s="144"/>
      <c r="M216" s="144"/>
      <c r="N216" s="144"/>
      <c r="O216" s="144"/>
      <c r="P216" s="144"/>
      <c r="Q216" s="144"/>
      <c r="R216" s="144"/>
      <c r="S216" s="144"/>
      <c r="T216" s="144"/>
      <c r="U216" s="144"/>
      <c r="V216" s="144"/>
      <c r="W216" s="144"/>
      <c r="Y216" s="144"/>
      <c r="Z216" s="144"/>
      <c r="AA216" s="144"/>
      <c r="AB216" s="144"/>
      <c r="AC216" s="144"/>
    </row>
    <row r="217" spans="1:29" x14ac:dyDescent="0.2">
      <c r="A217" s="144"/>
      <c r="B217" s="144"/>
      <c r="C217" s="144"/>
      <c r="D217" s="144"/>
      <c r="E217" s="144"/>
      <c r="F217" s="144"/>
      <c r="G217" s="144"/>
      <c r="H217" s="144"/>
      <c r="I217" s="144"/>
      <c r="J217" s="144"/>
      <c r="K217" s="144"/>
      <c r="M217" s="144"/>
      <c r="N217" s="144"/>
      <c r="O217" s="144"/>
      <c r="P217" s="144"/>
      <c r="Q217" s="144"/>
      <c r="R217" s="144"/>
      <c r="S217" s="144"/>
      <c r="T217" s="144"/>
      <c r="U217" s="144"/>
      <c r="V217" s="144"/>
      <c r="W217" s="144"/>
      <c r="Y217" s="144"/>
      <c r="Z217" s="144"/>
      <c r="AA217" s="144"/>
      <c r="AB217" s="144"/>
      <c r="AC217" s="144"/>
    </row>
    <row r="218" spans="1:29" x14ac:dyDescent="0.2">
      <c r="A218" s="144"/>
      <c r="B218" s="144"/>
      <c r="C218" s="144"/>
      <c r="D218" s="144"/>
      <c r="E218" s="144"/>
      <c r="F218" s="144"/>
      <c r="G218" s="144"/>
      <c r="H218" s="144"/>
      <c r="I218" s="144"/>
      <c r="J218" s="144"/>
      <c r="K218" s="144"/>
      <c r="M218" s="144"/>
      <c r="N218" s="144"/>
      <c r="O218" s="144"/>
      <c r="P218" s="144"/>
      <c r="Q218" s="144"/>
      <c r="R218" s="144"/>
      <c r="S218" s="144"/>
      <c r="T218" s="144"/>
      <c r="U218" s="144"/>
      <c r="V218" s="144"/>
      <c r="W218" s="144"/>
      <c r="Y218" s="144"/>
      <c r="Z218" s="144"/>
      <c r="AA218" s="144"/>
      <c r="AB218" s="144"/>
      <c r="AC218" s="144"/>
    </row>
    <row r="219" spans="1:29" x14ac:dyDescent="0.2">
      <c r="A219" s="144"/>
      <c r="B219" s="144"/>
      <c r="C219" s="144"/>
      <c r="D219" s="144"/>
      <c r="E219" s="144"/>
      <c r="F219" s="144"/>
      <c r="G219" s="144"/>
      <c r="H219" s="144"/>
      <c r="I219" s="144"/>
      <c r="J219" s="144"/>
      <c r="K219" s="144"/>
      <c r="M219" s="144"/>
      <c r="N219" s="144"/>
      <c r="O219" s="144"/>
      <c r="P219" s="144"/>
      <c r="Q219" s="144"/>
      <c r="R219" s="144"/>
      <c r="S219" s="144"/>
      <c r="T219" s="144"/>
      <c r="U219" s="144"/>
      <c r="V219" s="144"/>
      <c r="W219" s="144"/>
      <c r="Y219" s="144"/>
      <c r="Z219" s="144"/>
      <c r="AA219" s="144"/>
      <c r="AB219" s="144"/>
      <c r="AC219" s="144"/>
    </row>
    <row r="220" spans="1:29" x14ac:dyDescent="0.2">
      <c r="A220" s="144"/>
      <c r="B220" s="144"/>
      <c r="C220" s="144"/>
      <c r="D220" s="144"/>
      <c r="E220" s="144"/>
      <c r="F220" s="144"/>
      <c r="G220" s="144"/>
      <c r="H220" s="144"/>
      <c r="I220" s="144"/>
      <c r="J220" s="144"/>
      <c r="K220" s="144"/>
      <c r="M220" s="144"/>
      <c r="N220" s="144"/>
      <c r="O220" s="144"/>
      <c r="P220" s="144"/>
      <c r="Q220" s="144"/>
      <c r="R220" s="144"/>
      <c r="S220" s="144"/>
      <c r="T220" s="144"/>
      <c r="U220" s="144"/>
      <c r="V220" s="144"/>
      <c r="W220" s="144"/>
      <c r="Y220" s="144"/>
      <c r="Z220" s="144"/>
      <c r="AA220" s="144"/>
      <c r="AB220" s="144"/>
      <c r="AC220" s="144"/>
    </row>
    <row r="221" spans="1:29" x14ac:dyDescent="0.2">
      <c r="A221" s="144"/>
      <c r="B221" s="144"/>
      <c r="C221" s="144"/>
      <c r="D221" s="144"/>
      <c r="E221" s="144"/>
      <c r="F221" s="144"/>
      <c r="G221" s="144"/>
      <c r="H221" s="144"/>
      <c r="I221" s="144"/>
      <c r="J221" s="144"/>
      <c r="K221" s="144"/>
      <c r="M221" s="144"/>
      <c r="N221" s="144"/>
      <c r="O221" s="144"/>
      <c r="P221" s="144"/>
      <c r="Q221" s="144"/>
      <c r="R221" s="144"/>
      <c r="S221" s="144"/>
      <c r="T221" s="144"/>
      <c r="U221" s="144"/>
      <c r="V221" s="144"/>
      <c r="W221" s="144"/>
      <c r="Y221" s="144"/>
      <c r="Z221" s="144"/>
      <c r="AA221" s="144"/>
      <c r="AB221" s="144"/>
      <c r="AC221" s="144"/>
    </row>
    <row r="222" spans="1:29" x14ac:dyDescent="0.2">
      <c r="A222" s="144"/>
      <c r="B222" s="144"/>
      <c r="C222" s="144"/>
      <c r="D222" s="144"/>
      <c r="E222" s="144"/>
      <c r="F222" s="144"/>
      <c r="G222" s="144"/>
      <c r="H222" s="144"/>
      <c r="I222" s="144"/>
      <c r="J222" s="144"/>
      <c r="K222" s="144"/>
      <c r="M222" s="144"/>
      <c r="N222" s="144"/>
      <c r="O222" s="144"/>
      <c r="P222" s="144"/>
      <c r="Q222" s="144"/>
      <c r="R222" s="144"/>
      <c r="S222" s="144"/>
      <c r="T222" s="144"/>
      <c r="U222" s="144"/>
      <c r="V222" s="144"/>
      <c r="W222" s="144"/>
      <c r="Y222" s="144"/>
      <c r="Z222" s="144"/>
      <c r="AA222" s="144"/>
      <c r="AB222" s="144"/>
      <c r="AC222" s="144"/>
    </row>
    <row r="223" spans="1:29" x14ac:dyDescent="0.2">
      <c r="A223" s="144"/>
      <c r="B223" s="144"/>
      <c r="C223" s="144"/>
      <c r="D223" s="144"/>
      <c r="E223" s="144"/>
      <c r="F223" s="144"/>
      <c r="G223" s="144"/>
      <c r="H223" s="144"/>
      <c r="I223" s="144"/>
      <c r="J223" s="144"/>
      <c r="K223" s="144"/>
      <c r="M223" s="144"/>
      <c r="N223" s="144"/>
      <c r="O223" s="144"/>
      <c r="P223" s="144"/>
      <c r="Q223" s="144"/>
      <c r="R223" s="144"/>
      <c r="S223" s="144"/>
      <c r="T223" s="144"/>
      <c r="U223" s="144"/>
      <c r="V223" s="144"/>
      <c r="W223" s="144"/>
      <c r="Y223" s="144"/>
      <c r="Z223" s="144"/>
      <c r="AA223" s="144"/>
      <c r="AB223" s="144"/>
      <c r="AC223" s="144"/>
    </row>
    <row r="224" spans="1:29" x14ac:dyDescent="0.2">
      <c r="A224" s="144"/>
      <c r="B224" s="144"/>
      <c r="C224" s="144"/>
      <c r="D224" s="144"/>
      <c r="E224" s="144"/>
      <c r="F224" s="144"/>
      <c r="G224" s="144"/>
      <c r="H224" s="144"/>
      <c r="I224" s="144"/>
      <c r="J224" s="144"/>
      <c r="K224" s="144"/>
      <c r="M224" s="144"/>
      <c r="N224" s="144"/>
      <c r="O224" s="144"/>
      <c r="P224" s="144"/>
      <c r="Q224" s="144"/>
      <c r="R224" s="144"/>
      <c r="S224" s="144"/>
      <c r="T224" s="144"/>
      <c r="U224" s="144"/>
      <c r="V224" s="144"/>
      <c r="W224" s="144"/>
      <c r="Y224" s="144"/>
      <c r="Z224" s="144"/>
      <c r="AA224" s="144"/>
      <c r="AB224" s="144"/>
      <c r="AC224" s="144"/>
    </row>
    <row r="225" spans="1:29" x14ac:dyDescent="0.2">
      <c r="A225" s="144"/>
      <c r="B225" s="144"/>
      <c r="C225" s="144"/>
      <c r="D225" s="144"/>
      <c r="E225" s="144"/>
      <c r="F225" s="144"/>
      <c r="G225" s="144"/>
      <c r="H225" s="144"/>
      <c r="I225" s="144"/>
      <c r="J225" s="144"/>
      <c r="K225" s="144"/>
      <c r="M225" s="144"/>
      <c r="N225" s="144"/>
      <c r="O225" s="144"/>
      <c r="P225" s="144"/>
      <c r="Q225" s="144"/>
      <c r="R225" s="144"/>
      <c r="S225" s="144"/>
      <c r="T225" s="144"/>
      <c r="U225" s="144"/>
      <c r="V225" s="144"/>
      <c r="W225" s="144"/>
      <c r="Y225" s="144"/>
      <c r="Z225" s="144"/>
      <c r="AA225" s="144"/>
      <c r="AB225" s="144"/>
      <c r="AC225" s="144"/>
    </row>
    <row r="226" spans="1:29" x14ac:dyDescent="0.2">
      <c r="A226" s="144"/>
      <c r="B226" s="144"/>
      <c r="C226" s="144"/>
      <c r="D226" s="144"/>
      <c r="E226" s="144"/>
      <c r="F226" s="144"/>
      <c r="G226" s="144"/>
      <c r="H226" s="144"/>
      <c r="I226" s="144"/>
      <c r="J226" s="144"/>
      <c r="K226" s="144"/>
      <c r="M226" s="144"/>
      <c r="N226" s="144"/>
      <c r="O226" s="144"/>
      <c r="P226" s="144"/>
      <c r="Q226" s="144"/>
      <c r="R226" s="144"/>
      <c r="S226" s="144"/>
      <c r="T226" s="144"/>
      <c r="U226" s="144"/>
      <c r="V226" s="144"/>
      <c r="W226" s="144"/>
      <c r="Y226" s="144"/>
      <c r="Z226" s="144"/>
      <c r="AA226" s="144"/>
      <c r="AB226" s="144"/>
      <c r="AC226" s="144"/>
    </row>
    <row r="227" spans="1:29" x14ac:dyDescent="0.2">
      <c r="A227" s="144"/>
      <c r="B227" s="144"/>
      <c r="C227" s="144"/>
      <c r="D227" s="144"/>
      <c r="E227" s="144"/>
      <c r="F227" s="144"/>
      <c r="G227" s="144"/>
      <c r="H227" s="144"/>
      <c r="I227" s="144"/>
      <c r="J227" s="144"/>
      <c r="K227" s="144"/>
      <c r="M227" s="144"/>
      <c r="N227" s="144"/>
      <c r="O227" s="144"/>
      <c r="P227" s="144"/>
      <c r="Q227" s="144"/>
      <c r="R227" s="144"/>
      <c r="S227" s="144"/>
      <c r="T227" s="144"/>
      <c r="U227" s="144"/>
      <c r="V227" s="144"/>
      <c r="W227" s="144"/>
      <c r="Y227" s="144"/>
      <c r="Z227" s="144"/>
      <c r="AA227" s="144"/>
      <c r="AB227" s="144"/>
      <c r="AC227" s="144"/>
    </row>
    <row r="228" spans="1:29" x14ac:dyDescent="0.2">
      <c r="A228" s="144"/>
      <c r="B228" s="144"/>
      <c r="C228" s="144"/>
      <c r="D228" s="144"/>
      <c r="E228" s="144"/>
      <c r="F228" s="144"/>
      <c r="G228" s="144"/>
      <c r="H228" s="144"/>
      <c r="I228" s="144"/>
      <c r="J228" s="144"/>
      <c r="K228" s="144"/>
      <c r="M228" s="144"/>
      <c r="N228" s="144"/>
      <c r="O228" s="144"/>
      <c r="P228" s="144"/>
      <c r="Q228" s="144"/>
      <c r="R228" s="144"/>
      <c r="S228" s="144"/>
      <c r="T228" s="144"/>
      <c r="U228" s="144"/>
      <c r="V228" s="144"/>
      <c r="W228" s="144"/>
      <c r="Y228" s="144"/>
      <c r="Z228" s="144"/>
      <c r="AA228" s="144"/>
      <c r="AB228" s="144"/>
      <c r="AC228" s="144"/>
    </row>
    <row r="229" spans="1:29" x14ac:dyDescent="0.2">
      <c r="A229" s="144"/>
      <c r="B229" s="144"/>
      <c r="C229" s="144"/>
      <c r="D229" s="144"/>
      <c r="E229" s="144"/>
      <c r="F229" s="144"/>
      <c r="G229" s="144"/>
      <c r="H229" s="144"/>
      <c r="I229" s="144"/>
      <c r="J229" s="144"/>
      <c r="K229" s="144"/>
      <c r="M229" s="144"/>
      <c r="N229" s="144"/>
      <c r="O229" s="144"/>
      <c r="P229" s="144"/>
      <c r="Q229" s="144"/>
      <c r="R229" s="144"/>
      <c r="S229" s="144"/>
      <c r="T229" s="144"/>
      <c r="U229" s="144"/>
      <c r="V229" s="144"/>
      <c r="W229" s="144"/>
      <c r="Y229" s="144"/>
      <c r="Z229" s="144"/>
      <c r="AA229" s="144"/>
      <c r="AB229" s="144"/>
      <c r="AC229" s="144"/>
    </row>
    <row r="230" spans="1:29" x14ac:dyDescent="0.2">
      <c r="A230" s="144"/>
      <c r="B230" s="144"/>
      <c r="C230" s="144"/>
      <c r="D230" s="144"/>
      <c r="E230" s="144"/>
      <c r="F230" s="144"/>
      <c r="G230" s="144"/>
      <c r="H230" s="144"/>
      <c r="I230" s="144"/>
      <c r="J230" s="144"/>
      <c r="K230" s="144"/>
      <c r="M230" s="144"/>
      <c r="N230" s="144"/>
      <c r="O230" s="144"/>
      <c r="P230" s="144"/>
      <c r="Q230" s="144"/>
      <c r="R230" s="144"/>
      <c r="S230" s="144"/>
      <c r="T230" s="144"/>
      <c r="U230" s="144"/>
      <c r="V230" s="144"/>
      <c r="W230" s="144"/>
      <c r="Y230" s="144"/>
      <c r="Z230" s="144"/>
      <c r="AA230" s="144"/>
      <c r="AB230" s="144"/>
      <c r="AC230" s="144"/>
    </row>
    <row r="231" spans="1:29" x14ac:dyDescent="0.2">
      <c r="A231" s="144"/>
      <c r="B231" s="144"/>
      <c r="C231" s="144"/>
      <c r="D231" s="144"/>
      <c r="E231" s="144"/>
      <c r="F231" s="144"/>
      <c r="G231" s="144"/>
      <c r="H231" s="144"/>
      <c r="I231" s="144"/>
      <c r="J231" s="144"/>
      <c r="K231" s="144"/>
      <c r="M231" s="144"/>
      <c r="N231" s="144"/>
      <c r="O231" s="144"/>
      <c r="P231" s="144"/>
      <c r="Q231" s="144"/>
      <c r="R231" s="144"/>
      <c r="S231" s="144"/>
      <c r="T231" s="144"/>
      <c r="U231" s="144"/>
      <c r="V231" s="144"/>
      <c r="W231" s="144"/>
      <c r="Y231" s="144"/>
      <c r="Z231" s="144"/>
      <c r="AA231" s="144"/>
      <c r="AB231" s="144"/>
      <c r="AC231" s="144"/>
    </row>
    <row r="232" spans="1:29" x14ac:dyDescent="0.2">
      <c r="A232" s="144"/>
      <c r="B232" s="144"/>
      <c r="C232" s="144"/>
      <c r="D232" s="144"/>
      <c r="E232" s="144"/>
      <c r="F232" s="144"/>
      <c r="G232" s="144"/>
      <c r="H232" s="144"/>
      <c r="I232" s="144"/>
      <c r="J232" s="144"/>
      <c r="K232" s="144"/>
      <c r="M232" s="144"/>
      <c r="N232" s="144"/>
      <c r="O232" s="144"/>
      <c r="P232" s="144"/>
      <c r="Q232" s="144"/>
      <c r="R232" s="144"/>
      <c r="S232" s="144"/>
      <c r="T232" s="144"/>
      <c r="U232" s="144"/>
      <c r="V232" s="144"/>
      <c r="W232" s="144"/>
      <c r="Y232" s="144"/>
      <c r="Z232" s="144"/>
      <c r="AA232" s="144"/>
      <c r="AB232" s="144"/>
      <c r="AC232" s="144"/>
    </row>
    <row r="233" spans="1:29" x14ac:dyDescent="0.2">
      <c r="A233" s="144"/>
      <c r="B233" s="144"/>
      <c r="C233" s="144"/>
      <c r="D233" s="144"/>
      <c r="E233" s="144"/>
      <c r="F233" s="144"/>
      <c r="G233" s="144"/>
      <c r="H233" s="144"/>
      <c r="I233" s="144"/>
      <c r="J233" s="144"/>
      <c r="K233" s="144"/>
      <c r="M233" s="144"/>
      <c r="N233" s="144"/>
      <c r="O233" s="144"/>
      <c r="P233" s="144"/>
      <c r="Q233" s="144"/>
      <c r="R233" s="144"/>
      <c r="S233" s="144"/>
      <c r="T233" s="144"/>
      <c r="U233" s="144"/>
      <c r="V233" s="144"/>
      <c r="W233" s="144"/>
      <c r="Y233" s="144"/>
      <c r="Z233" s="144"/>
      <c r="AA233" s="144"/>
      <c r="AB233" s="144"/>
      <c r="AC233" s="144"/>
    </row>
    <row r="234" spans="1:29" x14ac:dyDescent="0.2">
      <c r="A234" s="144"/>
      <c r="B234" s="144"/>
      <c r="C234" s="144"/>
      <c r="D234" s="144"/>
      <c r="E234" s="144"/>
      <c r="F234" s="144"/>
      <c r="G234" s="144"/>
      <c r="H234" s="144"/>
      <c r="I234" s="144"/>
      <c r="J234" s="144"/>
      <c r="K234" s="144"/>
      <c r="M234" s="144"/>
      <c r="N234" s="144"/>
      <c r="O234" s="144"/>
      <c r="P234" s="144"/>
      <c r="Q234" s="144"/>
      <c r="R234" s="144"/>
      <c r="S234" s="144"/>
      <c r="T234" s="144"/>
      <c r="U234" s="144"/>
      <c r="V234" s="144"/>
      <c r="W234" s="144"/>
      <c r="Y234" s="144"/>
      <c r="Z234" s="144"/>
      <c r="AA234" s="144"/>
      <c r="AB234" s="144"/>
      <c r="AC234" s="144"/>
    </row>
    <row r="235" spans="1:29" x14ac:dyDescent="0.2">
      <c r="A235" s="144"/>
      <c r="B235" s="144"/>
      <c r="C235" s="144"/>
      <c r="D235" s="144"/>
      <c r="E235" s="144"/>
      <c r="F235" s="144"/>
      <c r="G235" s="144"/>
      <c r="H235" s="144"/>
      <c r="I235" s="144"/>
      <c r="J235" s="144"/>
      <c r="K235" s="144"/>
      <c r="M235" s="144"/>
      <c r="N235" s="144"/>
      <c r="O235" s="144"/>
      <c r="P235" s="144"/>
      <c r="Q235" s="144"/>
      <c r="R235" s="144"/>
      <c r="S235" s="144"/>
      <c r="T235" s="144"/>
      <c r="U235" s="144"/>
      <c r="V235" s="144"/>
      <c r="W235" s="144"/>
      <c r="Y235" s="144"/>
      <c r="Z235" s="144"/>
      <c r="AA235" s="144"/>
      <c r="AB235" s="144"/>
      <c r="AC235" s="144"/>
    </row>
    <row r="236" spans="1:29" x14ac:dyDescent="0.2">
      <c r="A236" s="144"/>
      <c r="B236" s="144"/>
      <c r="C236" s="144"/>
      <c r="D236" s="144"/>
      <c r="E236" s="144"/>
      <c r="F236" s="144"/>
      <c r="G236" s="144"/>
      <c r="H236" s="144"/>
      <c r="I236" s="144"/>
      <c r="J236" s="144"/>
      <c r="K236" s="144"/>
      <c r="M236" s="144"/>
      <c r="N236" s="144"/>
      <c r="O236" s="144"/>
      <c r="P236" s="144"/>
      <c r="Q236" s="144"/>
      <c r="R236" s="144"/>
      <c r="S236" s="144"/>
      <c r="T236" s="144"/>
      <c r="U236" s="144"/>
      <c r="V236" s="144"/>
      <c r="W236" s="144"/>
      <c r="Y236" s="144"/>
      <c r="Z236" s="144"/>
      <c r="AA236" s="144"/>
      <c r="AB236" s="144"/>
      <c r="AC236" s="144"/>
    </row>
    <row r="237" spans="1:29" x14ac:dyDescent="0.2">
      <c r="A237" s="144"/>
      <c r="B237" s="144"/>
      <c r="C237" s="144"/>
      <c r="D237" s="144"/>
      <c r="E237" s="144"/>
      <c r="F237" s="144"/>
      <c r="G237" s="144"/>
      <c r="H237" s="144"/>
      <c r="I237" s="144"/>
      <c r="J237" s="144"/>
      <c r="K237" s="144"/>
      <c r="M237" s="144"/>
      <c r="N237" s="144"/>
      <c r="O237" s="144"/>
      <c r="P237" s="144"/>
      <c r="Q237" s="144"/>
      <c r="R237" s="144"/>
      <c r="S237" s="144"/>
      <c r="T237" s="144"/>
      <c r="U237" s="144"/>
      <c r="V237" s="144"/>
      <c r="W237" s="144"/>
      <c r="Y237" s="144"/>
      <c r="Z237" s="144"/>
      <c r="AA237" s="144"/>
      <c r="AB237" s="144"/>
      <c r="AC237" s="144"/>
    </row>
    <row r="238" spans="1:29" x14ac:dyDescent="0.2">
      <c r="A238" s="144"/>
      <c r="B238" s="144"/>
      <c r="C238" s="144"/>
      <c r="D238" s="144"/>
      <c r="E238" s="144"/>
      <c r="F238" s="144"/>
      <c r="G238" s="144"/>
      <c r="H238" s="144"/>
      <c r="I238" s="144"/>
      <c r="J238" s="144"/>
      <c r="K238" s="144"/>
      <c r="M238" s="144"/>
      <c r="N238" s="144"/>
      <c r="O238" s="144"/>
      <c r="P238" s="144"/>
      <c r="Q238" s="144"/>
      <c r="R238" s="144"/>
      <c r="S238" s="144"/>
      <c r="T238" s="144"/>
      <c r="U238" s="144"/>
      <c r="V238" s="144"/>
      <c r="W238" s="144"/>
      <c r="Y238" s="144"/>
      <c r="Z238" s="144"/>
      <c r="AA238" s="144"/>
      <c r="AB238" s="144"/>
      <c r="AC238" s="144"/>
    </row>
    <row r="239" spans="1:29" x14ac:dyDescent="0.2">
      <c r="A239" s="144"/>
      <c r="B239" s="144"/>
      <c r="C239" s="144"/>
      <c r="D239" s="144"/>
      <c r="E239" s="144"/>
      <c r="F239" s="144"/>
      <c r="G239" s="144"/>
      <c r="H239" s="144"/>
      <c r="I239" s="144"/>
      <c r="J239" s="144"/>
      <c r="K239" s="144"/>
      <c r="M239" s="144"/>
      <c r="N239" s="144"/>
      <c r="O239" s="144"/>
      <c r="P239" s="144"/>
      <c r="Q239" s="144"/>
      <c r="R239" s="144"/>
      <c r="S239" s="144"/>
      <c r="T239" s="144"/>
      <c r="U239" s="144"/>
      <c r="V239" s="144"/>
      <c r="W239" s="144"/>
      <c r="Y239" s="144"/>
      <c r="Z239" s="144"/>
      <c r="AA239" s="144"/>
      <c r="AB239" s="144"/>
      <c r="AC239" s="144"/>
    </row>
    <row r="240" spans="1:29" x14ac:dyDescent="0.2">
      <c r="A240" s="144"/>
      <c r="B240" s="144"/>
      <c r="C240" s="144"/>
      <c r="D240" s="144"/>
      <c r="E240" s="144"/>
      <c r="F240" s="144"/>
      <c r="G240" s="144"/>
      <c r="H240" s="144"/>
      <c r="I240" s="144"/>
      <c r="J240" s="144"/>
      <c r="K240" s="144"/>
      <c r="M240" s="144"/>
      <c r="N240" s="144"/>
      <c r="O240" s="144"/>
      <c r="P240" s="144"/>
      <c r="Q240" s="144"/>
      <c r="R240" s="144"/>
      <c r="S240" s="144"/>
      <c r="T240" s="144"/>
      <c r="U240" s="144"/>
      <c r="V240" s="144"/>
      <c r="W240" s="144"/>
      <c r="Y240" s="144"/>
      <c r="Z240" s="144"/>
      <c r="AA240" s="144"/>
      <c r="AB240" s="144"/>
      <c r="AC240" s="144"/>
    </row>
    <row r="241" spans="1:29" x14ac:dyDescent="0.2">
      <c r="A241" s="144"/>
      <c r="B241" s="144"/>
      <c r="C241" s="144"/>
      <c r="D241" s="144"/>
      <c r="E241" s="144"/>
      <c r="F241" s="144"/>
      <c r="G241" s="144"/>
      <c r="H241" s="144"/>
      <c r="I241" s="144"/>
      <c r="J241" s="144"/>
      <c r="K241" s="144"/>
      <c r="M241" s="144"/>
      <c r="N241" s="144"/>
      <c r="O241" s="144"/>
      <c r="P241" s="144"/>
      <c r="Q241" s="144"/>
      <c r="R241" s="144"/>
      <c r="S241" s="144"/>
      <c r="T241" s="144"/>
      <c r="U241" s="144"/>
      <c r="V241" s="144"/>
      <c r="W241" s="144"/>
      <c r="Y241" s="144"/>
      <c r="Z241" s="144"/>
      <c r="AA241" s="144"/>
      <c r="AB241" s="144"/>
      <c r="AC241" s="144"/>
    </row>
    <row r="242" spans="1:29" x14ac:dyDescent="0.2">
      <c r="A242" s="144"/>
      <c r="B242" s="144"/>
      <c r="C242" s="144"/>
      <c r="D242" s="144"/>
      <c r="E242" s="144"/>
      <c r="F242" s="144"/>
      <c r="G242" s="144"/>
      <c r="H242" s="144"/>
      <c r="I242" s="144"/>
      <c r="J242" s="144"/>
      <c r="K242" s="144"/>
      <c r="M242" s="144"/>
      <c r="N242" s="144"/>
      <c r="O242" s="144"/>
      <c r="P242" s="144"/>
      <c r="Q242" s="144"/>
      <c r="R242" s="144"/>
      <c r="S242" s="144"/>
      <c r="T242" s="144"/>
      <c r="U242" s="144"/>
      <c r="V242" s="144"/>
      <c r="W242" s="144"/>
      <c r="Y242" s="144"/>
      <c r="Z242" s="144"/>
      <c r="AA242" s="144"/>
      <c r="AB242" s="144"/>
      <c r="AC242" s="144"/>
    </row>
    <row r="243" spans="1:29" x14ac:dyDescent="0.2">
      <c r="A243" s="144"/>
      <c r="B243" s="144"/>
      <c r="C243" s="144"/>
      <c r="D243" s="144"/>
      <c r="E243" s="144"/>
      <c r="F243" s="144"/>
      <c r="G243" s="144"/>
      <c r="H243" s="144"/>
      <c r="I243" s="144"/>
      <c r="J243" s="144"/>
      <c r="K243" s="144"/>
      <c r="M243" s="144"/>
      <c r="N243" s="144"/>
      <c r="O243" s="144"/>
      <c r="P243" s="144"/>
      <c r="Q243" s="144"/>
      <c r="R243" s="144"/>
      <c r="S243" s="144"/>
      <c r="T243" s="144"/>
      <c r="U243" s="144"/>
      <c r="V243" s="144"/>
      <c r="W243" s="144"/>
      <c r="Y243" s="144"/>
      <c r="Z243" s="144"/>
      <c r="AA243" s="144"/>
      <c r="AB243" s="144"/>
      <c r="AC243" s="144"/>
    </row>
    <row r="244" spans="1:29" x14ac:dyDescent="0.2">
      <c r="A244" s="144"/>
      <c r="B244" s="144"/>
      <c r="C244" s="144"/>
      <c r="D244" s="144"/>
      <c r="E244" s="144"/>
      <c r="F244" s="144"/>
      <c r="G244" s="144"/>
      <c r="H244" s="144"/>
      <c r="I244" s="144"/>
      <c r="J244" s="144"/>
      <c r="K244" s="144"/>
      <c r="M244" s="144"/>
      <c r="N244" s="144"/>
      <c r="O244" s="144"/>
      <c r="P244" s="144"/>
      <c r="Q244" s="144"/>
      <c r="R244" s="144"/>
      <c r="S244" s="144"/>
      <c r="T244" s="144"/>
      <c r="U244" s="144"/>
      <c r="V244" s="144"/>
      <c r="W244" s="144"/>
      <c r="Y244" s="144"/>
      <c r="Z244" s="144"/>
      <c r="AA244" s="144"/>
      <c r="AB244" s="144"/>
      <c r="AC244" s="144"/>
    </row>
    <row r="245" spans="1:29" x14ac:dyDescent="0.2">
      <c r="A245" s="144"/>
      <c r="B245" s="144"/>
      <c r="C245" s="144"/>
      <c r="D245" s="144"/>
      <c r="E245" s="144"/>
      <c r="F245" s="144"/>
      <c r="G245" s="144"/>
      <c r="H245" s="144"/>
      <c r="I245" s="144"/>
      <c r="J245" s="144"/>
      <c r="K245" s="144"/>
      <c r="M245" s="144"/>
      <c r="N245" s="144"/>
      <c r="O245" s="144"/>
      <c r="P245" s="144"/>
      <c r="Q245" s="144"/>
      <c r="R245" s="144"/>
      <c r="S245" s="144"/>
      <c r="T245" s="144"/>
      <c r="U245" s="144"/>
      <c r="V245" s="144"/>
      <c r="W245" s="144"/>
      <c r="Y245" s="144"/>
      <c r="Z245" s="144"/>
      <c r="AA245" s="144"/>
      <c r="AB245" s="144"/>
      <c r="AC245" s="144"/>
    </row>
    <row r="246" spans="1:29" x14ac:dyDescent="0.2">
      <c r="A246" s="144"/>
      <c r="B246" s="144"/>
      <c r="C246" s="144"/>
      <c r="D246" s="144"/>
      <c r="E246" s="144"/>
      <c r="F246" s="144"/>
      <c r="G246" s="144"/>
      <c r="H246" s="144"/>
      <c r="I246" s="144"/>
      <c r="J246" s="144"/>
      <c r="K246" s="144"/>
      <c r="M246" s="144"/>
      <c r="N246" s="144"/>
      <c r="O246" s="144"/>
      <c r="P246" s="144"/>
      <c r="Q246" s="144"/>
      <c r="R246" s="144"/>
      <c r="S246" s="144"/>
      <c r="T246" s="144"/>
      <c r="U246" s="144"/>
      <c r="V246" s="144"/>
      <c r="W246" s="144"/>
      <c r="Y246" s="144"/>
      <c r="Z246" s="144"/>
      <c r="AA246" s="144"/>
      <c r="AB246" s="144"/>
      <c r="AC246" s="144"/>
    </row>
    <row r="247" spans="1:29" x14ac:dyDescent="0.2">
      <c r="A247" s="144"/>
      <c r="B247" s="144"/>
      <c r="C247" s="144"/>
      <c r="D247" s="144"/>
      <c r="E247" s="144"/>
      <c r="F247" s="144"/>
      <c r="G247" s="144"/>
      <c r="H247" s="144"/>
      <c r="I247" s="144"/>
      <c r="J247" s="144"/>
      <c r="K247" s="144"/>
      <c r="M247" s="144"/>
      <c r="N247" s="144"/>
      <c r="O247" s="144"/>
      <c r="P247" s="144"/>
      <c r="Q247" s="144"/>
      <c r="R247" s="144"/>
      <c r="S247" s="144"/>
      <c r="T247" s="144"/>
      <c r="U247" s="144"/>
      <c r="V247" s="144"/>
      <c r="W247" s="144"/>
      <c r="Y247" s="144"/>
      <c r="Z247" s="144"/>
      <c r="AA247" s="144"/>
      <c r="AB247" s="144"/>
      <c r="AC247" s="144"/>
    </row>
    <row r="248" spans="1:29" x14ac:dyDescent="0.2">
      <c r="A248" s="144"/>
      <c r="B248" s="144"/>
      <c r="C248" s="144"/>
      <c r="D248" s="144"/>
      <c r="E248" s="144"/>
      <c r="F248" s="144"/>
      <c r="G248" s="144"/>
      <c r="H248" s="144"/>
      <c r="I248" s="144"/>
      <c r="J248" s="144"/>
      <c r="K248" s="144"/>
      <c r="M248" s="144"/>
      <c r="N248" s="144"/>
      <c r="O248" s="144"/>
      <c r="P248" s="144"/>
      <c r="Q248" s="144"/>
      <c r="R248" s="144"/>
      <c r="S248" s="144"/>
      <c r="T248" s="144"/>
      <c r="U248" s="144"/>
      <c r="V248" s="144"/>
      <c r="W248" s="144"/>
      <c r="Y248" s="144"/>
      <c r="Z248" s="144"/>
      <c r="AA248" s="144"/>
      <c r="AB248" s="144"/>
      <c r="AC248" s="144"/>
    </row>
    <row r="249" spans="1:29" x14ac:dyDescent="0.2">
      <c r="A249" s="144"/>
      <c r="B249" s="144"/>
      <c r="C249" s="144"/>
      <c r="D249" s="144"/>
      <c r="E249" s="144"/>
      <c r="F249" s="144"/>
      <c r="G249" s="144"/>
      <c r="H249" s="144"/>
      <c r="I249" s="144"/>
      <c r="J249" s="144"/>
      <c r="K249" s="144"/>
      <c r="M249" s="144"/>
      <c r="N249" s="144"/>
      <c r="O249" s="144"/>
      <c r="P249" s="144"/>
      <c r="Q249" s="144"/>
      <c r="R249" s="144"/>
      <c r="S249" s="144"/>
      <c r="T249" s="144"/>
      <c r="U249" s="144"/>
      <c r="V249" s="144"/>
      <c r="W249" s="144"/>
      <c r="Y249" s="144"/>
      <c r="Z249" s="144"/>
      <c r="AA249" s="144"/>
      <c r="AB249" s="144"/>
      <c r="AC249" s="144"/>
    </row>
    <row r="250" spans="1:29" x14ac:dyDescent="0.2">
      <c r="A250" s="144"/>
      <c r="B250" s="144"/>
      <c r="C250" s="144"/>
      <c r="D250" s="144"/>
      <c r="E250" s="144"/>
      <c r="F250" s="144"/>
      <c r="G250" s="144"/>
      <c r="H250" s="144"/>
      <c r="I250" s="144"/>
      <c r="J250" s="144"/>
      <c r="K250" s="144"/>
      <c r="M250" s="144"/>
      <c r="N250" s="144"/>
      <c r="O250" s="144"/>
      <c r="P250" s="144"/>
      <c r="Q250" s="144"/>
      <c r="R250" s="144"/>
      <c r="S250" s="144"/>
      <c r="T250" s="144"/>
      <c r="U250" s="144"/>
      <c r="V250" s="144"/>
      <c r="W250" s="144"/>
      <c r="Y250" s="144"/>
      <c r="Z250" s="144"/>
      <c r="AA250" s="144"/>
      <c r="AB250" s="144"/>
      <c r="AC250" s="144"/>
    </row>
    <row r="251" spans="1:29" x14ac:dyDescent="0.2">
      <c r="A251" s="144"/>
      <c r="B251" s="144"/>
      <c r="C251" s="144"/>
      <c r="D251" s="144"/>
      <c r="E251" s="144"/>
      <c r="F251" s="144"/>
      <c r="G251" s="144"/>
      <c r="H251" s="144"/>
      <c r="I251" s="144"/>
      <c r="J251" s="144"/>
      <c r="K251" s="144"/>
      <c r="M251" s="144"/>
      <c r="N251" s="144"/>
      <c r="O251" s="144"/>
      <c r="P251" s="144"/>
      <c r="Q251" s="144"/>
      <c r="R251" s="144"/>
      <c r="S251" s="144"/>
      <c r="T251" s="144"/>
      <c r="U251" s="144"/>
      <c r="V251" s="144"/>
      <c r="W251" s="144"/>
      <c r="Y251" s="144"/>
      <c r="Z251" s="144"/>
      <c r="AA251" s="144"/>
      <c r="AB251" s="144"/>
      <c r="AC251" s="144"/>
    </row>
    <row r="252" spans="1:29" x14ac:dyDescent="0.2">
      <c r="A252" s="144"/>
      <c r="B252" s="144"/>
      <c r="C252" s="144"/>
      <c r="D252" s="144"/>
      <c r="E252" s="144"/>
      <c r="F252" s="144"/>
      <c r="G252" s="144"/>
      <c r="H252" s="144"/>
      <c r="I252" s="144"/>
      <c r="J252" s="144"/>
      <c r="K252" s="144"/>
      <c r="M252" s="144"/>
      <c r="N252" s="144"/>
      <c r="O252" s="144"/>
      <c r="P252" s="144"/>
      <c r="Q252" s="144"/>
      <c r="R252" s="144"/>
      <c r="S252" s="144"/>
      <c r="T252" s="144"/>
      <c r="U252" s="144"/>
      <c r="V252" s="144"/>
      <c r="W252" s="144"/>
      <c r="Y252" s="144"/>
      <c r="Z252" s="144"/>
      <c r="AA252" s="144"/>
      <c r="AB252" s="144"/>
      <c r="AC252" s="144"/>
    </row>
    <row r="253" spans="1:29" x14ac:dyDescent="0.2">
      <c r="A253" s="144"/>
      <c r="B253" s="144"/>
      <c r="C253" s="144"/>
      <c r="D253" s="144"/>
      <c r="E253" s="144"/>
      <c r="F253" s="144"/>
      <c r="G253" s="144"/>
      <c r="H253" s="144"/>
      <c r="I253" s="144"/>
      <c r="J253" s="144"/>
      <c r="K253" s="144"/>
      <c r="M253" s="144"/>
      <c r="N253" s="144"/>
      <c r="O253" s="144"/>
      <c r="P253" s="144"/>
      <c r="Q253" s="144"/>
      <c r="R253" s="144"/>
      <c r="S253" s="144"/>
      <c r="T253" s="144"/>
      <c r="U253" s="144"/>
      <c r="V253" s="144"/>
      <c r="W253" s="144"/>
      <c r="Y253" s="144"/>
      <c r="Z253" s="144"/>
      <c r="AA253" s="144"/>
      <c r="AB253" s="144"/>
      <c r="AC253" s="144"/>
    </row>
    <row r="254" spans="1:29" x14ac:dyDescent="0.2">
      <c r="A254" s="144"/>
      <c r="B254" s="144"/>
      <c r="C254" s="144"/>
      <c r="D254" s="144"/>
      <c r="E254" s="144"/>
      <c r="F254" s="144"/>
      <c r="G254" s="144"/>
      <c r="H254" s="144"/>
      <c r="I254" s="144"/>
      <c r="J254" s="144"/>
      <c r="K254" s="144"/>
      <c r="M254" s="144"/>
      <c r="N254" s="144"/>
      <c r="O254" s="144"/>
      <c r="P254" s="144"/>
      <c r="Q254" s="144"/>
      <c r="R254" s="144"/>
      <c r="S254" s="144"/>
      <c r="T254" s="144"/>
      <c r="U254" s="144"/>
      <c r="V254" s="144"/>
      <c r="W254" s="144"/>
      <c r="Y254" s="144"/>
      <c r="Z254" s="144"/>
      <c r="AA254" s="144"/>
      <c r="AB254" s="144"/>
      <c r="AC254" s="144"/>
    </row>
    <row r="255" spans="1:29" x14ac:dyDescent="0.2">
      <c r="A255" s="144"/>
      <c r="B255" s="144"/>
      <c r="C255" s="144"/>
      <c r="D255" s="144"/>
      <c r="E255" s="144"/>
      <c r="F255" s="144"/>
      <c r="G255" s="144"/>
      <c r="H255" s="144"/>
      <c r="I255" s="144"/>
      <c r="J255" s="144"/>
      <c r="K255" s="144"/>
      <c r="M255" s="144"/>
      <c r="N255" s="144"/>
      <c r="O255" s="144"/>
      <c r="P255" s="144"/>
      <c r="Q255" s="144"/>
      <c r="R255" s="144"/>
      <c r="S255" s="144"/>
      <c r="T255" s="144"/>
      <c r="U255" s="144"/>
      <c r="V255" s="144"/>
      <c r="W255" s="144"/>
      <c r="Y255" s="144"/>
      <c r="Z255" s="144"/>
      <c r="AA255" s="144"/>
      <c r="AB255" s="144"/>
      <c r="AC255" s="144"/>
    </row>
    <row r="256" spans="1:29" x14ac:dyDescent="0.2">
      <c r="A256" s="144"/>
      <c r="B256" s="144"/>
      <c r="C256" s="144"/>
      <c r="D256" s="144"/>
      <c r="E256" s="144"/>
      <c r="F256" s="144"/>
      <c r="G256" s="144"/>
      <c r="H256" s="144"/>
      <c r="I256" s="144"/>
      <c r="J256" s="144"/>
      <c r="K256" s="144"/>
      <c r="M256" s="144"/>
      <c r="N256" s="144"/>
      <c r="O256" s="144"/>
      <c r="P256" s="144"/>
      <c r="Q256" s="144"/>
      <c r="R256" s="144"/>
      <c r="S256" s="144"/>
      <c r="T256" s="144"/>
      <c r="U256" s="144"/>
      <c r="V256" s="144"/>
      <c r="W256" s="144"/>
      <c r="Y256" s="144"/>
      <c r="Z256" s="144"/>
      <c r="AA256" s="144"/>
      <c r="AB256" s="144"/>
      <c r="AC256" s="144"/>
    </row>
    <row r="257" spans="1:29" x14ac:dyDescent="0.2">
      <c r="A257" s="144"/>
      <c r="B257" s="144"/>
      <c r="C257" s="144"/>
      <c r="D257" s="144"/>
      <c r="E257" s="144"/>
      <c r="F257" s="144"/>
      <c r="G257" s="144"/>
      <c r="H257" s="144"/>
      <c r="I257" s="144"/>
      <c r="J257" s="144"/>
      <c r="K257" s="144"/>
      <c r="M257" s="144"/>
      <c r="N257" s="144"/>
      <c r="O257" s="144"/>
      <c r="P257" s="144"/>
      <c r="Q257" s="144"/>
      <c r="R257" s="144"/>
      <c r="S257" s="144"/>
      <c r="T257" s="144"/>
      <c r="U257" s="144"/>
      <c r="V257" s="144"/>
      <c r="W257" s="144"/>
      <c r="Y257" s="144"/>
      <c r="Z257" s="144"/>
      <c r="AA257" s="144"/>
      <c r="AB257" s="144"/>
      <c r="AC257" s="144"/>
    </row>
    <row r="258" spans="1:29" x14ac:dyDescent="0.2">
      <c r="A258" s="144"/>
      <c r="B258" s="144"/>
      <c r="C258" s="144"/>
      <c r="D258" s="144"/>
      <c r="E258" s="144"/>
      <c r="F258" s="144"/>
      <c r="G258" s="144"/>
      <c r="H258" s="144"/>
      <c r="I258" s="144"/>
      <c r="J258" s="144"/>
      <c r="K258" s="144"/>
      <c r="M258" s="144"/>
      <c r="N258" s="144"/>
      <c r="O258" s="144"/>
      <c r="P258" s="144"/>
      <c r="Q258" s="144"/>
      <c r="R258" s="144"/>
      <c r="S258" s="144"/>
      <c r="T258" s="144"/>
      <c r="U258" s="144"/>
      <c r="V258" s="144"/>
      <c r="W258" s="144"/>
      <c r="Y258" s="144"/>
      <c r="Z258" s="144"/>
      <c r="AA258" s="144"/>
      <c r="AB258" s="144"/>
      <c r="AC258" s="144"/>
    </row>
    <row r="259" spans="1:29" x14ac:dyDescent="0.2">
      <c r="A259" s="144"/>
      <c r="B259" s="144"/>
      <c r="C259" s="144"/>
      <c r="D259" s="144"/>
      <c r="E259" s="144"/>
      <c r="F259" s="144"/>
      <c r="G259" s="144"/>
      <c r="H259" s="144"/>
      <c r="I259" s="144"/>
      <c r="J259" s="144"/>
      <c r="K259" s="144"/>
      <c r="M259" s="144"/>
      <c r="N259" s="144"/>
      <c r="O259" s="144"/>
      <c r="P259" s="144"/>
      <c r="Q259" s="144"/>
      <c r="R259" s="144"/>
      <c r="S259" s="144"/>
      <c r="T259" s="144"/>
      <c r="U259" s="144"/>
      <c r="V259" s="144"/>
      <c r="W259" s="144"/>
      <c r="Y259" s="144"/>
      <c r="Z259" s="144"/>
      <c r="AA259" s="144"/>
      <c r="AB259" s="144"/>
      <c r="AC259" s="144"/>
    </row>
    <row r="260" spans="1:29" x14ac:dyDescent="0.2">
      <c r="A260" s="144"/>
      <c r="B260" s="144"/>
      <c r="C260" s="144"/>
      <c r="D260" s="144"/>
      <c r="E260" s="144"/>
      <c r="F260" s="144"/>
      <c r="G260" s="144"/>
      <c r="H260" s="144"/>
      <c r="I260" s="144"/>
      <c r="J260" s="144"/>
      <c r="K260" s="144"/>
      <c r="M260" s="144"/>
      <c r="N260" s="144"/>
      <c r="O260" s="144"/>
      <c r="P260" s="144"/>
      <c r="Q260" s="144"/>
      <c r="R260" s="144"/>
      <c r="S260" s="144"/>
      <c r="T260" s="144"/>
      <c r="U260" s="144"/>
      <c r="V260" s="144"/>
      <c r="W260" s="144"/>
      <c r="Y260" s="144"/>
      <c r="Z260" s="144"/>
      <c r="AA260" s="144"/>
      <c r="AB260" s="144"/>
      <c r="AC260" s="144"/>
    </row>
    <row r="261" spans="1:29" x14ac:dyDescent="0.2">
      <c r="A261" s="144"/>
      <c r="B261" s="144"/>
      <c r="C261" s="144"/>
      <c r="D261" s="144"/>
      <c r="E261" s="144"/>
      <c r="F261" s="144"/>
      <c r="G261" s="144"/>
      <c r="H261" s="144"/>
      <c r="I261" s="144"/>
      <c r="J261" s="144"/>
      <c r="K261" s="144"/>
      <c r="M261" s="144"/>
      <c r="N261" s="144"/>
      <c r="O261" s="144"/>
      <c r="P261" s="144"/>
      <c r="Q261" s="144"/>
      <c r="R261" s="144"/>
      <c r="S261" s="144"/>
      <c r="T261" s="144"/>
      <c r="U261" s="144"/>
      <c r="V261" s="144"/>
      <c r="W261" s="144"/>
      <c r="Y261" s="144"/>
      <c r="Z261" s="144"/>
      <c r="AA261" s="144"/>
      <c r="AB261" s="144"/>
      <c r="AC261" s="144"/>
    </row>
    <row r="262" spans="1:29" x14ac:dyDescent="0.2">
      <c r="A262" s="144"/>
      <c r="B262" s="144"/>
      <c r="C262" s="144"/>
      <c r="D262" s="144"/>
      <c r="E262" s="144"/>
      <c r="F262" s="144"/>
      <c r="G262" s="144"/>
      <c r="H262" s="144"/>
      <c r="I262" s="144"/>
      <c r="J262" s="144"/>
      <c r="K262" s="144"/>
      <c r="M262" s="144"/>
      <c r="N262" s="144"/>
      <c r="O262" s="144"/>
      <c r="P262" s="144"/>
      <c r="Q262" s="144"/>
      <c r="R262" s="144"/>
      <c r="S262" s="144"/>
      <c r="T262" s="144"/>
      <c r="U262" s="144"/>
      <c r="V262" s="144"/>
      <c r="W262" s="144"/>
      <c r="Y262" s="144"/>
      <c r="Z262" s="144"/>
      <c r="AA262" s="144"/>
      <c r="AB262" s="144"/>
      <c r="AC262" s="144"/>
    </row>
    <row r="263" spans="1:29" x14ac:dyDescent="0.2">
      <c r="A263" s="144"/>
      <c r="B263" s="144"/>
      <c r="C263" s="144"/>
      <c r="D263" s="144"/>
      <c r="E263" s="144"/>
      <c r="F263" s="144"/>
      <c r="G263" s="144"/>
      <c r="H263" s="144"/>
      <c r="I263" s="144"/>
      <c r="J263" s="144"/>
      <c r="K263" s="144"/>
      <c r="M263" s="144"/>
      <c r="N263" s="144"/>
      <c r="O263" s="144"/>
      <c r="P263" s="144"/>
      <c r="Q263" s="144"/>
      <c r="R263" s="144"/>
      <c r="S263" s="144"/>
      <c r="T263" s="144"/>
      <c r="U263" s="144"/>
      <c r="V263" s="144"/>
      <c r="W263" s="144"/>
      <c r="Y263" s="144"/>
      <c r="Z263" s="144"/>
      <c r="AA263" s="144"/>
      <c r="AB263" s="144"/>
      <c r="AC263" s="144"/>
    </row>
    <row r="264" spans="1:29" x14ac:dyDescent="0.2">
      <c r="A264" s="144"/>
      <c r="B264" s="144"/>
      <c r="C264" s="144"/>
      <c r="D264" s="144"/>
      <c r="E264" s="144"/>
      <c r="F264" s="144"/>
      <c r="G264" s="144"/>
      <c r="H264" s="144"/>
      <c r="I264" s="144"/>
      <c r="J264" s="144"/>
      <c r="K264" s="144"/>
      <c r="M264" s="144"/>
      <c r="N264" s="144"/>
      <c r="O264" s="144"/>
      <c r="P264" s="144"/>
      <c r="Q264" s="144"/>
      <c r="R264" s="144"/>
      <c r="S264" s="144"/>
      <c r="T264" s="144"/>
      <c r="U264" s="144"/>
      <c r="V264" s="144"/>
      <c r="W264" s="144"/>
      <c r="Y264" s="144"/>
      <c r="Z264" s="144"/>
      <c r="AA264" s="144"/>
      <c r="AB264" s="144"/>
      <c r="AC264" s="144"/>
    </row>
    <row r="265" spans="1:29" x14ac:dyDescent="0.2">
      <c r="A265" s="144"/>
      <c r="B265" s="144"/>
      <c r="C265" s="144"/>
      <c r="D265" s="144"/>
      <c r="E265" s="144"/>
      <c r="F265" s="144"/>
      <c r="G265" s="144"/>
      <c r="H265" s="144"/>
      <c r="I265" s="144"/>
      <c r="J265" s="144"/>
      <c r="K265" s="144"/>
      <c r="M265" s="144"/>
      <c r="N265" s="144"/>
      <c r="O265" s="144"/>
      <c r="P265" s="144"/>
      <c r="Q265" s="144"/>
      <c r="R265" s="144"/>
      <c r="S265" s="144"/>
      <c r="T265" s="144"/>
      <c r="U265" s="144"/>
      <c r="V265" s="144"/>
      <c r="W265" s="144"/>
      <c r="Y265" s="144"/>
      <c r="Z265" s="144"/>
      <c r="AA265" s="144"/>
      <c r="AB265" s="144"/>
      <c r="AC265" s="144"/>
    </row>
    <row r="266" spans="1:29" x14ac:dyDescent="0.2">
      <c r="A266" s="144"/>
      <c r="B266" s="144"/>
      <c r="C266" s="144"/>
      <c r="D266" s="144"/>
      <c r="E266" s="144"/>
      <c r="F266" s="144"/>
      <c r="G266" s="144"/>
      <c r="H266" s="144"/>
      <c r="I266" s="144"/>
      <c r="J266" s="144"/>
      <c r="K266" s="144"/>
      <c r="M266" s="144"/>
      <c r="N266" s="144"/>
      <c r="O266" s="144"/>
      <c r="P266" s="144"/>
      <c r="Q266" s="144"/>
      <c r="R266" s="144"/>
      <c r="S266" s="144"/>
      <c r="T266" s="144"/>
      <c r="U266" s="144"/>
      <c r="V266" s="144"/>
      <c r="W266" s="144"/>
      <c r="Y266" s="144"/>
      <c r="Z266" s="144"/>
      <c r="AA266" s="144"/>
      <c r="AB266" s="144"/>
      <c r="AC266" s="144"/>
    </row>
    <row r="267" spans="1:29" x14ac:dyDescent="0.2">
      <c r="A267" s="144"/>
      <c r="B267" s="144"/>
      <c r="C267" s="144"/>
      <c r="D267" s="144"/>
      <c r="E267" s="144"/>
      <c r="F267" s="144"/>
      <c r="G267" s="144"/>
      <c r="H267" s="144"/>
      <c r="I267" s="144"/>
      <c r="J267" s="144"/>
      <c r="K267" s="144"/>
      <c r="M267" s="144"/>
      <c r="N267" s="144"/>
      <c r="O267" s="144"/>
      <c r="P267" s="144"/>
      <c r="Q267" s="144"/>
      <c r="R267" s="144"/>
      <c r="S267" s="144"/>
      <c r="T267" s="144"/>
      <c r="U267" s="144"/>
      <c r="V267" s="144"/>
      <c r="W267" s="144"/>
      <c r="Y267" s="144"/>
      <c r="Z267" s="144"/>
      <c r="AA267" s="144"/>
      <c r="AB267" s="144"/>
      <c r="AC267" s="144"/>
    </row>
    <row r="268" spans="1:29" x14ac:dyDescent="0.2">
      <c r="A268" s="144"/>
      <c r="B268" s="144"/>
      <c r="C268" s="144"/>
      <c r="D268" s="144"/>
      <c r="E268" s="144"/>
      <c r="F268" s="144"/>
      <c r="G268" s="144"/>
      <c r="H268" s="144"/>
      <c r="I268" s="144"/>
      <c r="J268" s="144"/>
      <c r="K268" s="144"/>
      <c r="M268" s="144"/>
      <c r="N268" s="144"/>
      <c r="O268" s="144"/>
      <c r="P268" s="144"/>
      <c r="Q268" s="144"/>
      <c r="R268" s="144"/>
      <c r="S268" s="144"/>
      <c r="T268" s="144"/>
      <c r="U268" s="144"/>
      <c r="V268" s="144"/>
      <c r="W268" s="144"/>
      <c r="Y268" s="144"/>
      <c r="Z268" s="144"/>
      <c r="AA268" s="144"/>
      <c r="AB268" s="144"/>
      <c r="AC268" s="144"/>
    </row>
    <row r="269" spans="1:29" x14ac:dyDescent="0.2">
      <c r="A269" s="144"/>
      <c r="B269" s="144"/>
      <c r="C269" s="144"/>
      <c r="D269" s="144"/>
      <c r="E269" s="144"/>
      <c r="F269" s="144"/>
      <c r="G269" s="144"/>
      <c r="H269" s="144"/>
      <c r="I269" s="144"/>
      <c r="J269" s="144"/>
      <c r="K269" s="144"/>
      <c r="M269" s="144"/>
      <c r="N269" s="144"/>
      <c r="O269" s="144"/>
      <c r="P269" s="144"/>
      <c r="Q269" s="144"/>
      <c r="R269" s="144"/>
      <c r="S269" s="144"/>
      <c r="T269" s="144"/>
      <c r="U269" s="144"/>
      <c r="V269" s="144"/>
      <c r="W269" s="144"/>
      <c r="Y269" s="144"/>
      <c r="Z269" s="144"/>
      <c r="AA269" s="144"/>
      <c r="AB269" s="144"/>
      <c r="AC269" s="144"/>
    </row>
    <row r="270" spans="1:29" x14ac:dyDescent="0.2">
      <c r="A270" s="144"/>
      <c r="B270" s="144"/>
      <c r="C270" s="144"/>
      <c r="D270" s="144"/>
      <c r="E270" s="144"/>
      <c r="F270" s="144"/>
      <c r="G270" s="144"/>
      <c r="H270" s="144"/>
      <c r="I270" s="144"/>
      <c r="J270" s="144"/>
      <c r="K270" s="144"/>
      <c r="M270" s="144"/>
      <c r="N270" s="144"/>
      <c r="O270" s="144"/>
      <c r="P270" s="144"/>
      <c r="Q270" s="144"/>
      <c r="R270" s="144"/>
      <c r="S270" s="144"/>
      <c r="T270" s="144"/>
      <c r="U270" s="144"/>
      <c r="V270" s="144"/>
      <c r="W270" s="144"/>
      <c r="Y270" s="144"/>
      <c r="Z270" s="144"/>
      <c r="AA270" s="144"/>
      <c r="AB270" s="144"/>
      <c r="AC270" s="144"/>
    </row>
    <row r="271" spans="1:29" x14ac:dyDescent="0.2">
      <c r="A271" s="144"/>
      <c r="B271" s="144"/>
      <c r="C271" s="144"/>
      <c r="D271" s="144"/>
      <c r="E271" s="144"/>
      <c r="F271" s="144"/>
      <c r="G271" s="144"/>
      <c r="H271" s="144"/>
      <c r="I271" s="144"/>
      <c r="J271" s="144"/>
      <c r="K271" s="144"/>
      <c r="M271" s="144"/>
      <c r="N271" s="144"/>
      <c r="O271" s="144"/>
      <c r="P271" s="144"/>
      <c r="Q271" s="144"/>
      <c r="R271" s="144"/>
      <c r="S271" s="144"/>
      <c r="T271" s="144"/>
      <c r="U271" s="144"/>
      <c r="V271" s="144"/>
      <c r="W271" s="144"/>
      <c r="Y271" s="144"/>
      <c r="Z271" s="144"/>
      <c r="AA271" s="144"/>
      <c r="AB271" s="144"/>
      <c r="AC271" s="144"/>
    </row>
    <row r="272" spans="1:29" x14ac:dyDescent="0.2">
      <c r="A272" s="144"/>
      <c r="B272" s="144"/>
      <c r="C272" s="144"/>
      <c r="D272" s="144"/>
      <c r="E272" s="144"/>
      <c r="F272" s="144"/>
      <c r="G272" s="144"/>
      <c r="H272" s="144"/>
      <c r="I272" s="144"/>
      <c r="J272" s="144"/>
      <c r="K272" s="144"/>
      <c r="M272" s="144"/>
      <c r="N272" s="144"/>
      <c r="O272" s="144"/>
      <c r="P272" s="144"/>
      <c r="Q272" s="144"/>
      <c r="R272" s="144"/>
      <c r="S272" s="144"/>
      <c r="T272" s="144"/>
      <c r="U272" s="144"/>
      <c r="V272" s="144"/>
      <c r="W272" s="144"/>
      <c r="Y272" s="144"/>
      <c r="Z272" s="144"/>
      <c r="AA272" s="144"/>
      <c r="AB272" s="144"/>
      <c r="AC272" s="144"/>
    </row>
    <row r="273" spans="1:29" x14ac:dyDescent="0.2">
      <c r="A273" s="144"/>
      <c r="B273" s="144"/>
      <c r="C273" s="144"/>
      <c r="D273" s="144"/>
      <c r="E273" s="144"/>
      <c r="F273" s="144"/>
      <c r="G273" s="144"/>
      <c r="H273" s="144"/>
      <c r="I273" s="144"/>
      <c r="J273" s="144"/>
      <c r="K273" s="144"/>
      <c r="M273" s="144"/>
      <c r="N273" s="144"/>
      <c r="O273" s="144"/>
      <c r="P273" s="144"/>
      <c r="Q273" s="144"/>
      <c r="R273" s="144"/>
      <c r="S273" s="144"/>
      <c r="T273" s="144"/>
      <c r="U273" s="144"/>
      <c r="V273" s="144"/>
      <c r="W273" s="144"/>
      <c r="Y273" s="144"/>
      <c r="Z273" s="144"/>
      <c r="AA273" s="144"/>
      <c r="AB273" s="144"/>
      <c r="AC273" s="144"/>
    </row>
    <row r="274" spans="1:29" x14ac:dyDescent="0.2">
      <c r="A274" s="144"/>
      <c r="B274" s="144"/>
      <c r="C274" s="144"/>
      <c r="D274" s="144"/>
      <c r="E274" s="144"/>
      <c r="F274" s="144"/>
      <c r="G274" s="144"/>
      <c r="H274" s="144"/>
      <c r="I274" s="144"/>
      <c r="J274" s="144"/>
      <c r="K274" s="144"/>
      <c r="M274" s="144"/>
      <c r="N274" s="144"/>
      <c r="O274" s="144"/>
      <c r="P274" s="144"/>
      <c r="Q274" s="144"/>
      <c r="R274" s="144"/>
      <c r="S274" s="144"/>
      <c r="T274" s="144"/>
      <c r="U274" s="144"/>
      <c r="V274" s="144"/>
      <c r="W274" s="144"/>
      <c r="Y274" s="144"/>
      <c r="Z274" s="144"/>
      <c r="AA274" s="144"/>
      <c r="AB274" s="144"/>
      <c r="AC274" s="144"/>
    </row>
    <row r="275" spans="1:29" x14ac:dyDescent="0.2">
      <c r="A275" s="144"/>
      <c r="B275" s="144"/>
      <c r="C275" s="144"/>
      <c r="D275" s="144"/>
      <c r="E275" s="144"/>
      <c r="F275" s="144"/>
      <c r="G275" s="144"/>
      <c r="H275" s="144"/>
      <c r="I275" s="144"/>
      <c r="J275" s="144"/>
      <c r="K275" s="144"/>
      <c r="M275" s="144"/>
      <c r="N275" s="144"/>
      <c r="O275" s="144"/>
      <c r="P275" s="144"/>
      <c r="Q275" s="144"/>
      <c r="R275" s="144"/>
      <c r="S275" s="144"/>
      <c r="T275" s="144"/>
      <c r="U275" s="144"/>
      <c r="V275" s="144"/>
      <c r="W275" s="144"/>
      <c r="Y275" s="144"/>
      <c r="Z275" s="144"/>
      <c r="AA275" s="144"/>
      <c r="AB275" s="144"/>
      <c r="AC275" s="144"/>
    </row>
    <row r="276" spans="1:29" x14ac:dyDescent="0.2">
      <c r="A276" s="144"/>
      <c r="B276" s="144"/>
      <c r="C276" s="144"/>
      <c r="D276" s="144"/>
      <c r="E276" s="144"/>
      <c r="F276" s="144"/>
      <c r="G276" s="144"/>
      <c r="H276" s="144"/>
      <c r="I276" s="144"/>
      <c r="J276" s="144"/>
      <c r="K276" s="144"/>
      <c r="M276" s="144"/>
      <c r="N276" s="144"/>
      <c r="O276" s="144"/>
      <c r="P276" s="144"/>
      <c r="Q276" s="144"/>
      <c r="R276" s="144"/>
      <c r="S276" s="144"/>
      <c r="T276" s="144"/>
      <c r="U276" s="144"/>
      <c r="V276" s="144"/>
      <c r="W276" s="144"/>
      <c r="Y276" s="144"/>
      <c r="Z276" s="144"/>
      <c r="AA276" s="144"/>
      <c r="AB276" s="144"/>
      <c r="AC276" s="144"/>
    </row>
    <row r="277" spans="1:29" x14ac:dyDescent="0.2">
      <c r="A277" s="144"/>
      <c r="B277" s="144"/>
      <c r="C277" s="144"/>
      <c r="D277" s="144"/>
      <c r="E277" s="144"/>
      <c r="F277" s="144"/>
      <c r="G277" s="144"/>
      <c r="H277" s="144"/>
      <c r="I277" s="144"/>
      <c r="J277" s="144"/>
      <c r="K277" s="144"/>
      <c r="M277" s="144"/>
      <c r="N277" s="144"/>
      <c r="O277" s="144"/>
      <c r="P277" s="144"/>
      <c r="Q277" s="144"/>
      <c r="R277" s="144"/>
      <c r="S277" s="144"/>
      <c r="T277" s="144"/>
      <c r="U277" s="144"/>
      <c r="V277" s="144"/>
      <c r="W277" s="144"/>
      <c r="Y277" s="144"/>
      <c r="Z277" s="144"/>
      <c r="AA277" s="144"/>
      <c r="AB277" s="144"/>
      <c r="AC277" s="144"/>
    </row>
    <row r="278" spans="1:29" x14ac:dyDescent="0.2">
      <c r="A278" s="144"/>
      <c r="B278" s="144"/>
      <c r="C278" s="144"/>
      <c r="D278" s="144"/>
      <c r="E278" s="144"/>
      <c r="F278" s="144"/>
      <c r="G278" s="144"/>
      <c r="H278" s="144"/>
      <c r="I278" s="144"/>
      <c r="J278" s="144"/>
      <c r="K278" s="144"/>
      <c r="M278" s="144"/>
      <c r="N278" s="144"/>
      <c r="O278" s="144"/>
      <c r="P278" s="144"/>
      <c r="Q278" s="144"/>
      <c r="R278" s="144"/>
      <c r="S278" s="144"/>
      <c r="T278" s="144"/>
      <c r="U278" s="144"/>
      <c r="V278" s="144"/>
      <c r="W278" s="144"/>
      <c r="Y278" s="144"/>
      <c r="Z278" s="144"/>
      <c r="AA278" s="144"/>
      <c r="AB278" s="144"/>
      <c r="AC278" s="144"/>
    </row>
    <row r="279" spans="1:29" x14ac:dyDescent="0.2">
      <c r="A279" s="144"/>
      <c r="B279" s="144"/>
      <c r="C279" s="144"/>
      <c r="D279" s="144"/>
      <c r="E279" s="144"/>
      <c r="F279" s="144"/>
      <c r="G279" s="144"/>
      <c r="H279" s="144"/>
      <c r="I279" s="144"/>
      <c r="J279" s="144"/>
      <c r="K279" s="144"/>
      <c r="M279" s="144"/>
      <c r="N279" s="144"/>
      <c r="O279" s="144"/>
      <c r="P279" s="144"/>
      <c r="Q279" s="144"/>
      <c r="R279" s="144"/>
      <c r="S279" s="144"/>
      <c r="T279" s="144"/>
      <c r="U279" s="144"/>
      <c r="V279" s="144"/>
      <c r="W279" s="144"/>
      <c r="Y279" s="144"/>
      <c r="Z279" s="144"/>
      <c r="AA279" s="144"/>
      <c r="AB279" s="144"/>
      <c r="AC279" s="144"/>
    </row>
    <row r="280" spans="1:29" x14ac:dyDescent="0.2">
      <c r="A280" s="144"/>
      <c r="B280" s="144"/>
      <c r="C280" s="144"/>
      <c r="D280" s="144"/>
      <c r="E280" s="144"/>
      <c r="F280" s="144"/>
      <c r="G280" s="144"/>
      <c r="H280" s="144"/>
      <c r="I280" s="144"/>
      <c r="J280" s="144"/>
      <c r="K280" s="144"/>
      <c r="M280" s="144"/>
      <c r="N280" s="144"/>
      <c r="O280" s="144"/>
      <c r="P280" s="144"/>
      <c r="Q280" s="144"/>
      <c r="R280" s="144"/>
      <c r="S280" s="144"/>
      <c r="T280" s="144"/>
      <c r="U280" s="144"/>
      <c r="V280" s="144"/>
      <c r="W280" s="144"/>
      <c r="Y280" s="144"/>
      <c r="Z280" s="144"/>
      <c r="AA280" s="144"/>
      <c r="AB280" s="144"/>
      <c r="AC280" s="144"/>
    </row>
    <row r="281" spans="1:29" x14ac:dyDescent="0.2">
      <c r="A281" s="144"/>
      <c r="B281" s="144"/>
      <c r="C281" s="144"/>
      <c r="D281" s="144"/>
      <c r="E281" s="144"/>
      <c r="F281" s="144"/>
      <c r="G281" s="144"/>
      <c r="H281" s="144"/>
      <c r="I281" s="144"/>
      <c r="J281" s="144"/>
      <c r="K281" s="144"/>
      <c r="M281" s="144"/>
      <c r="N281" s="144"/>
      <c r="O281" s="144"/>
      <c r="P281" s="144"/>
      <c r="Q281" s="144"/>
      <c r="R281" s="144"/>
      <c r="S281" s="144"/>
      <c r="T281" s="144"/>
      <c r="U281" s="144"/>
      <c r="V281" s="144"/>
      <c r="W281" s="144"/>
      <c r="Y281" s="144"/>
      <c r="Z281" s="144"/>
      <c r="AA281" s="144"/>
      <c r="AB281" s="144"/>
      <c r="AC281" s="144"/>
    </row>
    <row r="282" spans="1:29" x14ac:dyDescent="0.2">
      <c r="A282" s="144"/>
      <c r="B282" s="144"/>
      <c r="C282" s="144"/>
      <c r="D282" s="144"/>
      <c r="E282" s="144"/>
      <c r="F282" s="144"/>
      <c r="G282" s="144"/>
      <c r="H282" s="144"/>
      <c r="I282" s="144"/>
      <c r="J282" s="144"/>
      <c r="K282" s="144"/>
      <c r="M282" s="144"/>
      <c r="N282" s="144"/>
      <c r="O282" s="144"/>
      <c r="P282" s="144"/>
      <c r="Q282" s="144"/>
      <c r="R282" s="144"/>
      <c r="S282" s="144"/>
      <c r="T282" s="144"/>
      <c r="U282" s="144"/>
      <c r="V282" s="144"/>
      <c r="W282" s="144"/>
      <c r="Y282" s="144"/>
      <c r="Z282" s="144"/>
      <c r="AA282" s="144"/>
      <c r="AB282" s="144"/>
      <c r="AC282" s="144"/>
    </row>
    <row r="283" spans="1:29" x14ac:dyDescent="0.2">
      <c r="A283" s="144"/>
      <c r="B283" s="144"/>
      <c r="C283" s="144"/>
      <c r="D283" s="144"/>
      <c r="E283" s="144"/>
      <c r="F283" s="144"/>
      <c r="G283" s="144"/>
      <c r="H283" s="144"/>
      <c r="I283" s="144"/>
      <c r="J283" s="144"/>
      <c r="K283" s="144"/>
      <c r="M283" s="144"/>
      <c r="N283" s="144"/>
      <c r="O283" s="144"/>
      <c r="P283" s="144"/>
      <c r="Q283" s="144"/>
      <c r="R283" s="144"/>
      <c r="S283" s="144"/>
      <c r="T283" s="144"/>
      <c r="U283" s="144"/>
      <c r="V283" s="144"/>
      <c r="W283" s="144"/>
      <c r="Y283" s="144"/>
      <c r="Z283" s="144"/>
      <c r="AA283" s="144"/>
      <c r="AB283" s="144"/>
      <c r="AC283" s="144"/>
    </row>
    <row r="284" spans="1:29" x14ac:dyDescent="0.2">
      <c r="A284" s="144"/>
      <c r="B284" s="144"/>
      <c r="C284" s="144"/>
      <c r="D284" s="144"/>
      <c r="E284" s="144"/>
      <c r="F284" s="144"/>
      <c r="G284" s="144"/>
      <c r="H284" s="144"/>
      <c r="I284" s="144"/>
      <c r="J284" s="144"/>
      <c r="K284" s="144"/>
      <c r="M284" s="144"/>
      <c r="N284" s="144"/>
      <c r="O284" s="144"/>
      <c r="P284" s="144"/>
      <c r="Q284" s="144"/>
      <c r="R284" s="144"/>
      <c r="S284" s="144"/>
      <c r="T284" s="144"/>
      <c r="U284" s="144"/>
      <c r="V284" s="144"/>
      <c r="W284" s="144"/>
      <c r="Y284" s="144"/>
      <c r="Z284" s="144"/>
      <c r="AA284" s="144"/>
      <c r="AB284" s="144"/>
      <c r="AC284" s="144"/>
    </row>
    <row r="285" spans="1:29" x14ac:dyDescent="0.2">
      <c r="A285" s="144"/>
      <c r="B285" s="144"/>
      <c r="C285" s="144"/>
      <c r="D285" s="144"/>
      <c r="E285" s="144"/>
      <c r="F285" s="144"/>
      <c r="G285" s="144"/>
      <c r="H285" s="144"/>
      <c r="I285" s="144"/>
      <c r="J285" s="144"/>
      <c r="K285" s="144"/>
      <c r="M285" s="144"/>
      <c r="N285" s="144"/>
      <c r="O285" s="144"/>
      <c r="P285" s="144"/>
      <c r="Q285" s="144"/>
      <c r="R285" s="144"/>
      <c r="S285" s="144"/>
      <c r="T285" s="144"/>
      <c r="U285" s="144"/>
      <c r="V285" s="144"/>
      <c r="W285" s="144"/>
      <c r="Y285" s="144"/>
      <c r="Z285" s="144"/>
      <c r="AA285" s="144"/>
      <c r="AB285" s="144"/>
      <c r="AC285" s="144"/>
    </row>
    <row r="286" spans="1:29" x14ac:dyDescent="0.2">
      <c r="A286" s="144"/>
      <c r="B286" s="144"/>
      <c r="C286" s="144"/>
      <c r="D286" s="144"/>
      <c r="E286" s="144"/>
      <c r="F286" s="144"/>
      <c r="G286" s="144"/>
      <c r="H286" s="144"/>
      <c r="I286" s="144"/>
      <c r="J286" s="144"/>
      <c r="K286" s="144"/>
      <c r="M286" s="144"/>
      <c r="N286" s="144"/>
      <c r="O286" s="144"/>
      <c r="P286" s="144"/>
      <c r="Q286" s="144"/>
      <c r="R286" s="144"/>
      <c r="S286" s="144"/>
      <c r="T286" s="144"/>
      <c r="U286" s="144"/>
      <c r="V286" s="144"/>
      <c r="W286" s="144"/>
      <c r="Y286" s="144"/>
      <c r="Z286" s="144"/>
      <c r="AA286" s="144"/>
      <c r="AB286" s="144"/>
      <c r="AC286" s="144"/>
    </row>
    <row r="287" spans="1:29" x14ac:dyDescent="0.2">
      <c r="A287" s="144"/>
      <c r="B287" s="144"/>
      <c r="C287" s="144"/>
      <c r="D287" s="144"/>
      <c r="E287" s="144"/>
      <c r="F287" s="144"/>
      <c r="G287" s="144"/>
      <c r="H287" s="144"/>
      <c r="I287" s="144"/>
      <c r="J287" s="144"/>
      <c r="K287" s="144"/>
      <c r="M287" s="144"/>
      <c r="N287" s="144"/>
      <c r="O287" s="144"/>
      <c r="P287" s="144"/>
      <c r="Q287" s="144"/>
      <c r="R287" s="144"/>
      <c r="S287" s="144"/>
      <c r="T287" s="144"/>
      <c r="U287" s="144"/>
      <c r="V287" s="144"/>
      <c r="W287" s="144"/>
      <c r="Y287" s="144"/>
      <c r="Z287" s="144"/>
      <c r="AA287" s="144"/>
      <c r="AB287" s="144"/>
      <c r="AC287" s="144"/>
    </row>
    <row r="288" spans="1:29" x14ac:dyDescent="0.2">
      <c r="A288" s="144"/>
      <c r="B288" s="144"/>
      <c r="C288" s="144"/>
      <c r="D288" s="144"/>
      <c r="E288" s="144"/>
      <c r="F288" s="144"/>
      <c r="G288" s="144"/>
      <c r="H288" s="144"/>
      <c r="I288" s="144"/>
      <c r="J288" s="144"/>
      <c r="K288" s="144"/>
      <c r="M288" s="144"/>
      <c r="N288" s="144"/>
      <c r="O288" s="144"/>
      <c r="P288" s="144"/>
      <c r="Q288" s="144"/>
      <c r="R288" s="144"/>
      <c r="S288" s="144"/>
      <c r="T288" s="144"/>
      <c r="U288" s="144"/>
      <c r="V288" s="144"/>
      <c r="W288" s="144"/>
      <c r="Y288" s="144"/>
      <c r="Z288" s="144"/>
      <c r="AA288" s="144"/>
      <c r="AB288" s="144"/>
      <c r="AC288" s="144"/>
    </row>
    <row r="289" spans="1:29" x14ac:dyDescent="0.2">
      <c r="A289" s="144"/>
      <c r="B289" s="144"/>
      <c r="C289" s="144"/>
      <c r="D289" s="144"/>
      <c r="E289" s="144"/>
      <c r="F289" s="144"/>
      <c r="G289" s="144"/>
      <c r="H289" s="144"/>
      <c r="I289" s="144"/>
      <c r="J289" s="144"/>
      <c r="K289" s="144"/>
      <c r="M289" s="144"/>
      <c r="N289" s="144"/>
      <c r="O289" s="144"/>
      <c r="P289" s="144"/>
      <c r="Q289" s="144"/>
      <c r="R289" s="144"/>
      <c r="S289" s="144"/>
      <c r="T289" s="144"/>
      <c r="U289" s="144"/>
      <c r="V289" s="144"/>
      <c r="W289" s="144"/>
      <c r="Y289" s="144"/>
      <c r="Z289" s="144"/>
      <c r="AA289" s="144"/>
      <c r="AB289" s="144"/>
      <c r="AC289" s="144"/>
    </row>
    <row r="290" spans="1:29" x14ac:dyDescent="0.2">
      <c r="A290" s="144"/>
      <c r="B290" s="144"/>
      <c r="C290" s="144"/>
      <c r="D290" s="144"/>
      <c r="E290" s="144"/>
      <c r="F290" s="144"/>
      <c r="G290" s="144"/>
      <c r="H290" s="144"/>
      <c r="I290" s="144"/>
      <c r="J290" s="144"/>
      <c r="K290" s="144"/>
      <c r="M290" s="144"/>
      <c r="N290" s="144"/>
      <c r="O290" s="144"/>
      <c r="P290" s="144"/>
      <c r="Q290" s="144"/>
      <c r="R290" s="144"/>
      <c r="S290" s="144"/>
      <c r="T290" s="144"/>
      <c r="U290" s="144"/>
      <c r="V290" s="144"/>
      <c r="W290" s="144"/>
      <c r="Y290" s="144"/>
      <c r="Z290" s="144"/>
      <c r="AA290" s="144"/>
      <c r="AB290" s="144"/>
      <c r="AC290" s="144"/>
    </row>
    <row r="291" spans="1:29" x14ac:dyDescent="0.2">
      <c r="A291" s="144"/>
      <c r="B291" s="144"/>
      <c r="C291" s="144"/>
      <c r="D291" s="144"/>
      <c r="E291" s="144"/>
      <c r="F291" s="144"/>
      <c r="G291" s="144"/>
      <c r="H291" s="144"/>
      <c r="I291" s="144"/>
      <c r="J291" s="144"/>
      <c r="K291" s="144"/>
      <c r="M291" s="144"/>
      <c r="N291" s="144"/>
      <c r="O291" s="144"/>
      <c r="P291" s="144"/>
      <c r="Q291" s="144"/>
      <c r="R291" s="144"/>
      <c r="S291" s="144"/>
      <c r="T291" s="144"/>
      <c r="U291" s="144"/>
      <c r="V291" s="144"/>
      <c r="W291" s="144"/>
      <c r="Y291" s="144"/>
      <c r="Z291" s="144"/>
      <c r="AA291" s="144"/>
      <c r="AB291" s="144"/>
      <c r="AC291" s="144"/>
    </row>
    <row r="292" spans="1:29" x14ac:dyDescent="0.2">
      <c r="A292" s="144"/>
      <c r="B292" s="144"/>
      <c r="C292" s="144"/>
      <c r="D292" s="144"/>
      <c r="E292" s="144"/>
      <c r="F292" s="144"/>
      <c r="G292" s="144"/>
      <c r="H292" s="144"/>
      <c r="I292" s="144"/>
      <c r="J292" s="144"/>
      <c r="K292" s="144"/>
      <c r="M292" s="144"/>
      <c r="N292" s="144"/>
      <c r="O292" s="144"/>
      <c r="P292" s="144"/>
      <c r="Q292" s="144"/>
      <c r="R292" s="144"/>
      <c r="S292" s="144"/>
      <c r="T292" s="144"/>
      <c r="U292" s="144"/>
      <c r="V292" s="144"/>
      <c r="W292" s="144"/>
      <c r="Y292" s="144"/>
      <c r="Z292" s="144"/>
      <c r="AA292" s="144"/>
      <c r="AB292" s="144"/>
      <c r="AC292" s="144"/>
    </row>
    <row r="293" spans="1:29" x14ac:dyDescent="0.2">
      <c r="A293" s="144"/>
      <c r="B293" s="144"/>
      <c r="C293" s="144"/>
      <c r="D293" s="144"/>
      <c r="E293" s="144"/>
      <c r="F293" s="144"/>
      <c r="G293" s="144"/>
      <c r="H293" s="144"/>
      <c r="I293" s="144"/>
      <c r="J293" s="144"/>
      <c r="K293" s="144"/>
      <c r="M293" s="144"/>
      <c r="N293" s="144"/>
      <c r="O293" s="144"/>
      <c r="P293" s="144"/>
      <c r="Q293" s="144"/>
      <c r="R293" s="144"/>
      <c r="S293" s="144"/>
      <c r="T293" s="144"/>
      <c r="U293" s="144"/>
      <c r="V293" s="144"/>
      <c r="W293" s="144"/>
      <c r="Y293" s="144"/>
      <c r="Z293" s="144"/>
      <c r="AA293" s="144"/>
      <c r="AB293" s="144"/>
      <c r="AC293" s="144"/>
    </row>
    <row r="294" spans="1:29" x14ac:dyDescent="0.2">
      <c r="A294" s="144"/>
      <c r="B294" s="144"/>
      <c r="C294" s="144"/>
      <c r="D294" s="144"/>
      <c r="E294" s="144"/>
      <c r="F294" s="144"/>
      <c r="G294" s="144"/>
      <c r="H294" s="144"/>
      <c r="I294" s="144"/>
      <c r="J294" s="144"/>
      <c r="K294" s="144"/>
      <c r="M294" s="144"/>
      <c r="N294" s="144"/>
      <c r="O294" s="144"/>
      <c r="P294" s="144"/>
      <c r="Q294" s="144"/>
      <c r="R294" s="144"/>
      <c r="S294" s="144"/>
      <c r="T294" s="144"/>
      <c r="U294" s="144"/>
      <c r="V294" s="144"/>
      <c r="W294" s="144"/>
      <c r="Y294" s="144"/>
      <c r="Z294" s="144"/>
      <c r="AA294" s="144"/>
      <c r="AB294" s="144"/>
      <c r="AC294" s="144"/>
    </row>
    <row r="295" spans="1:29" x14ac:dyDescent="0.2">
      <c r="A295" s="144"/>
      <c r="B295" s="144"/>
      <c r="C295" s="144"/>
      <c r="D295" s="144"/>
      <c r="E295" s="144"/>
      <c r="F295" s="144"/>
      <c r="G295" s="144"/>
      <c r="H295" s="144"/>
      <c r="I295" s="144"/>
      <c r="J295" s="144"/>
      <c r="K295" s="144"/>
      <c r="M295" s="144"/>
      <c r="N295" s="144"/>
      <c r="O295" s="144"/>
      <c r="P295" s="144"/>
      <c r="Q295" s="144"/>
      <c r="R295" s="144"/>
      <c r="S295" s="144"/>
      <c r="T295" s="144"/>
      <c r="U295" s="144"/>
      <c r="V295" s="144"/>
      <c r="W295" s="144"/>
      <c r="Y295" s="144"/>
      <c r="Z295" s="144"/>
      <c r="AA295" s="144"/>
      <c r="AB295" s="144"/>
      <c r="AC295" s="144"/>
    </row>
    <row r="296" spans="1:29" x14ac:dyDescent="0.2">
      <c r="A296" s="144"/>
      <c r="B296" s="144"/>
      <c r="C296" s="144"/>
      <c r="D296" s="144"/>
      <c r="E296" s="144"/>
      <c r="F296" s="144"/>
      <c r="G296" s="144"/>
      <c r="H296" s="144"/>
      <c r="I296" s="144"/>
      <c r="J296" s="144"/>
      <c r="K296" s="144"/>
      <c r="M296" s="144"/>
      <c r="N296" s="144"/>
      <c r="O296" s="144"/>
      <c r="P296" s="144"/>
      <c r="Q296" s="144"/>
      <c r="R296" s="144"/>
      <c r="S296" s="144"/>
      <c r="T296" s="144"/>
      <c r="U296" s="144"/>
      <c r="V296" s="144"/>
      <c r="W296" s="144"/>
      <c r="Y296" s="144"/>
      <c r="Z296" s="144"/>
      <c r="AA296" s="144"/>
      <c r="AB296" s="144"/>
      <c r="AC296" s="144"/>
    </row>
    <row r="297" spans="1:29" x14ac:dyDescent="0.2">
      <c r="A297" s="144"/>
      <c r="B297" s="144"/>
      <c r="C297" s="144"/>
      <c r="D297" s="144"/>
      <c r="E297" s="144"/>
      <c r="F297" s="144"/>
      <c r="G297" s="144"/>
      <c r="H297" s="144"/>
      <c r="I297" s="144"/>
      <c r="J297" s="144"/>
      <c r="K297" s="144"/>
      <c r="M297" s="144"/>
      <c r="N297" s="144"/>
      <c r="O297" s="144"/>
      <c r="P297" s="144"/>
      <c r="Q297" s="144"/>
      <c r="R297" s="144"/>
      <c r="S297" s="144"/>
      <c r="T297" s="144"/>
      <c r="U297" s="144"/>
      <c r="V297" s="144"/>
      <c r="W297" s="144"/>
      <c r="Y297" s="144"/>
      <c r="Z297" s="144"/>
      <c r="AA297" s="144"/>
      <c r="AB297" s="144"/>
      <c r="AC297" s="144"/>
    </row>
    <row r="298" spans="1:29" x14ac:dyDescent="0.2">
      <c r="A298" s="144"/>
      <c r="B298" s="144"/>
      <c r="C298" s="144"/>
      <c r="D298" s="144"/>
      <c r="E298" s="144"/>
      <c r="F298" s="144"/>
      <c r="G298" s="144"/>
      <c r="H298" s="144"/>
      <c r="I298" s="144"/>
      <c r="J298" s="144"/>
      <c r="K298" s="144"/>
      <c r="M298" s="144"/>
      <c r="N298" s="144"/>
      <c r="O298" s="144"/>
      <c r="P298" s="144"/>
      <c r="Q298" s="144"/>
      <c r="R298" s="144"/>
      <c r="S298" s="144"/>
      <c r="T298" s="144"/>
      <c r="U298" s="144"/>
      <c r="V298" s="144"/>
      <c r="W298" s="144"/>
      <c r="Y298" s="144"/>
      <c r="Z298" s="144"/>
      <c r="AA298" s="144"/>
      <c r="AB298" s="144"/>
      <c r="AC298" s="144"/>
    </row>
    <row r="299" spans="1:29" x14ac:dyDescent="0.2">
      <c r="A299" s="144"/>
      <c r="B299" s="144"/>
      <c r="C299" s="144"/>
      <c r="D299" s="144"/>
      <c r="E299" s="144"/>
      <c r="F299" s="144"/>
      <c r="G299" s="144"/>
      <c r="H299" s="144"/>
      <c r="I299" s="144"/>
      <c r="J299" s="144"/>
      <c r="K299" s="144"/>
      <c r="M299" s="144"/>
      <c r="N299" s="144"/>
      <c r="O299" s="144"/>
      <c r="P299" s="144"/>
      <c r="Q299" s="144"/>
      <c r="R299" s="144"/>
      <c r="S299" s="144"/>
      <c r="T299" s="144"/>
      <c r="U299" s="144"/>
      <c r="V299" s="144"/>
      <c r="W299" s="144"/>
      <c r="Y299" s="144"/>
      <c r="Z299" s="144"/>
      <c r="AA299" s="144"/>
      <c r="AB299" s="144"/>
      <c r="AC299" s="144"/>
    </row>
    <row r="300" spans="1:29" x14ac:dyDescent="0.2">
      <c r="A300" s="144"/>
      <c r="B300" s="144"/>
      <c r="C300" s="144"/>
      <c r="D300" s="144"/>
      <c r="E300" s="144"/>
      <c r="F300" s="144"/>
      <c r="G300" s="144"/>
      <c r="H300" s="144"/>
      <c r="I300" s="144"/>
      <c r="J300" s="144"/>
      <c r="K300" s="144"/>
      <c r="M300" s="144"/>
      <c r="N300" s="144"/>
      <c r="O300" s="144"/>
      <c r="P300" s="144"/>
      <c r="Q300" s="144"/>
      <c r="R300" s="144"/>
      <c r="S300" s="144"/>
      <c r="T300" s="144"/>
      <c r="U300" s="144"/>
      <c r="V300" s="144"/>
      <c r="W300" s="144"/>
      <c r="Y300" s="144"/>
      <c r="Z300" s="144"/>
      <c r="AA300" s="144"/>
      <c r="AB300" s="144"/>
      <c r="AC300" s="144"/>
    </row>
    <row r="301" spans="1:29" x14ac:dyDescent="0.2">
      <c r="A301" s="144"/>
      <c r="B301" s="144"/>
      <c r="C301" s="144"/>
      <c r="D301" s="144"/>
      <c r="E301" s="144"/>
      <c r="F301" s="144"/>
      <c r="G301" s="144"/>
      <c r="H301" s="144"/>
      <c r="I301" s="144"/>
      <c r="J301" s="144"/>
      <c r="K301" s="144"/>
      <c r="M301" s="144"/>
      <c r="N301" s="144"/>
      <c r="O301" s="144"/>
      <c r="P301" s="144"/>
      <c r="Q301" s="144"/>
      <c r="R301" s="144"/>
      <c r="S301" s="144"/>
      <c r="T301" s="144"/>
      <c r="U301" s="144"/>
      <c r="V301" s="144"/>
      <c r="W301" s="144"/>
      <c r="Y301" s="144"/>
      <c r="Z301" s="144"/>
      <c r="AA301" s="144"/>
      <c r="AB301" s="144"/>
      <c r="AC301" s="144"/>
    </row>
    <row r="302" spans="1:29" x14ac:dyDescent="0.2">
      <c r="A302" s="144"/>
      <c r="B302" s="144"/>
      <c r="C302" s="144"/>
      <c r="D302" s="144"/>
      <c r="E302" s="144"/>
      <c r="F302" s="144"/>
      <c r="G302" s="144"/>
      <c r="H302" s="144"/>
      <c r="I302" s="144"/>
      <c r="J302" s="144"/>
      <c r="K302" s="144"/>
      <c r="M302" s="144"/>
      <c r="N302" s="144"/>
      <c r="O302" s="144"/>
      <c r="P302" s="144"/>
      <c r="Q302" s="144"/>
      <c r="R302" s="144"/>
      <c r="S302" s="144"/>
      <c r="T302" s="144"/>
      <c r="U302" s="144"/>
      <c r="V302" s="144"/>
      <c r="W302" s="144"/>
      <c r="Y302" s="144"/>
      <c r="Z302" s="144"/>
      <c r="AA302" s="144"/>
      <c r="AB302" s="144"/>
      <c r="AC302" s="144"/>
    </row>
    <row r="303" spans="1:29" x14ac:dyDescent="0.2">
      <c r="A303" s="144"/>
      <c r="B303" s="144"/>
      <c r="C303" s="144"/>
      <c r="D303" s="144"/>
      <c r="E303" s="144"/>
      <c r="F303" s="144"/>
      <c r="G303" s="144"/>
      <c r="H303" s="144"/>
      <c r="I303" s="144"/>
      <c r="J303" s="144"/>
      <c r="K303" s="144"/>
      <c r="M303" s="144"/>
      <c r="N303" s="144"/>
      <c r="O303" s="144"/>
      <c r="P303" s="144"/>
      <c r="Q303" s="144"/>
      <c r="R303" s="144"/>
      <c r="S303" s="144"/>
      <c r="T303" s="144"/>
      <c r="U303" s="144"/>
      <c r="V303" s="144"/>
      <c r="W303" s="144"/>
      <c r="Y303" s="144"/>
      <c r="Z303" s="144"/>
      <c r="AA303" s="144"/>
      <c r="AB303" s="144"/>
      <c r="AC303" s="144"/>
    </row>
    <row r="304" spans="1:29" x14ac:dyDescent="0.2">
      <c r="A304" s="144"/>
      <c r="B304" s="144"/>
      <c r="C304" s="144"/>
      <c r="D304" s="144"/>
      <c r="E304" s="144"/>
      <c r="F304" s="144"/>
      <c r="G304" s="144"/>
      <c r="H304" s="144"/>
      <c r="I304" s="144"/>
      <c r="J304" s="144"/>
      <c r="K304" s="144"/>
      <c r="M304" s="144"/>
      <c r="N304" s="144"/>
      <c r="O304" s="144"/>
      <c r="P304" s="144"/>
      <c r="Q304" s="144"/>
      <c r="R304" s="144"/>
      <c r="S304" s="144"/>
      <c r="T304" s="144"/>
      <c r="U304" s="144"/>
      <c r="V304" s="144"/>
      <c r="W304" s="144"/>
      <c r="Y304" s="144"/>
      <c r="Z304" s="144"/>
      <c r="AA304" s="144"/>
      <c r="AB304" s="144"/>
      <c r="AC304" s="144"/>
    </row>
    <row r="305" spans="1:29" x14ac:dyDescent="0.2">
      <c r="A305" s="144"/>
      <c r="B305" s="144"/>
      <c r="C305" s="144"/>
      <c r="D305" s="144"/>
      <c r="E305" s="144"/>
      <c r="F305" s="144"/>
      <c r="G305" s="144"/>
      <c r="H305" s="144"/>
      <c r="I305" s="144"/>
      <c r="J305" s="144"/>
      <c r="K305" s="144"/>
      <c r="M305" s="144"/>
      <c r="N305" s="144"/>
      <c r="O305" s="144"/>
      <c r="P305" s="144"/>
      <c r="Q305" s="144"/>
      <c r="R305" s="144"/>
      <c r="S305" s="144"/>
      <c r="T305" s="144"/>
      <c r="U305" s="144"/>
      <c r="V305" s="144"/>
      <c r="W305" s="144"/>
      <c r="Y305" s="144"/>
      <c r="Z305" s="144"/>
      <c r="AA305" s="144"/>
      <c r="AB305" s="144"/>
      <c r="AC305" s="144"/>
    </row>
    <row r="306" spans="1:29" x14ac:dyDescent="0.2">
      <c r="A306" s="144"/>
      <c r="B306" s="144"/>
      <c r="C306" s="144"/>
      <c r="D306" s="144"/>
      <c r="E306" s="144"/>
      <c r="F306" s="144"/>
      <c r="G306" s="144"/>
      <c r="H306" s="144"/>
      <c r="I306" s="144"/>
      <c r="J306" s="144"/>
      <c r="K306" s="144"/>
      <c r="M306" s="144"/>
      <c r="N306" s="144"/>
      <c r="O306" s="144"/>
      <c r="P306" s="144"/>
      <c r="Q306" s="144"/>
      <c r="R306" s="144"/>
      <c r="S306" s="144"/>
      <c r="T306" s="144"/>
      <c r="U306" s="144"/>
      <c r="V306" s="144"/>
      <c r="W306" s="144"/>
      <c r="Y306" s="144"/>
      <c r="Z306" s="144"/>
      <c r="AA306" s="144"/>
      <c r="AB306" s="144"/>
      <c r="AC306" s="144"/>
    </row>
    <row r="307" spans="1:29" x14ac:dyDescent="0.2">
      <c r="A307" s="144"/>
      <c r="B307" s="144"/>
      <c r="C307" s="144"/>
      <c r="D307" s="144"/>
      <c r="E307" s="144"/>
      <c r="F307" s="144"/>
      <c r="G307" s="144"/>
      <c r="H307" s="144"/>
      <c r="I307" s="144"/>
      <c r="J307" s="144"/>
      <c r="K307" s="144"/>
      <c r="M307" s="144"/>
      <c r="N307" s="144"/>
      <c r="O307" s="144"/>
      <c r="P307" s="144"/>
      <c r="Q307" s="144"/>
      <c r="R307" s="144"/>
      <c r="S307" s="144"/>
      <c r="T307" s="144"/>
      <c r="U307" s="144"/>
      <c r="V307" s="144"/>
      <c r="W307" s="144"/>
      <c r="Y307" s="144"/>
      <c r="Z307" s="144"/>
      <c r="AA307" s="144"/>
      <c r="AB307" s="144"/>
      <c r="AC307" s="144"/>
    </row>
    <row r="308" spans="1:29" x14ac:dyDescent="0.2">
      <c r="A308" s="144"/>
      <c r="B308" s="144"/>
      <c r="C308" s="144"/>
      <c r="D308" s="144"/>
      <c r="E308" s="144"/>
      <c r="F308" s="144"/>
      <c r="G308" s="144"/>
      <c r="H308" s="144"/>
      <c r="I308" s="144"/>
      <c r="J308" s="144"/>
      <c r="K308" s="144"/>
      <c r="M308" s="144"/>
      <c r="N308" s="144"/>
      <c r="O308" s="144"/>
      <c r="P308" s="144"/>
      <c r="Q308" s="144"/>
      <c r="R308" s="144"/>
      <c r="S308" s="144"/>
      <c r="T308" s="144"/>
      <c r="U308" s="144"/>
      <c r="V308" s="144"/>
      <c r="W308" s="144"/>
      <c r="Y308" s="144"/>
      <c r="Z308" s="144"/>
      <c r="AA308" s="144"/>
      <c r="AB308" s="144"/>
      <c r="AC308" s="144"/>
    </row>
    <row r="309" spans="1:29" x14ac:dyDescent="0.2">
      <c r="A309" s="144"/>
      <c r="B309" s="144"/>
      <c r="C309" s="144"/>
      <c r="D309" s="144"/>
      <c r="E309" s="144"/>
      <c r="F309" s="144"/>
      <c r="G309" s="144"/>
      <c r="H309" s="144"/>
      <c r="I309" s="144"/>
      <c r="J309" s="144"/>
      <c r="K309" s="144"/>
      <c r="M309" s="144"/>
      <c r="N309" s="144"/>
      <c r="O309" s="144"/>
      <c r="P309" s="144"/>
      <c r="Q309" s="144"/>
      <c r="R309" s="144"/>
      <c r="S309" s="144"/>
      <c r="T309" s="144"/>
      <c r="U309" s="144"/>
      <c r="V309" s="144"/>
      <c r="W309" s="144"/>
      <c r="Y309" s="144"/>
      <c r="Z309" s="144"/>
      <c r="AA309" s="144"/>
      <c r="AB309" s="144"/>
      <c r="AC309" s="144"/>
    </row>
    <row r="310" spans="1:29" x14ac:dyDescent="0.2">
      <c r="A310" s="144"/>
      <c r="B310" s="144"/>
      <c r="C310" s="144"/>
      <c r="D310" s="144"/>
      <c r="E310" s="144"/>
      <c r="F310" s="144"/>
      <c r="G310" s="144"/>
      <c r="H310" s="144"/>
      <c r="I310" s="144"/>
      <c r="J310" s="144"/>
      <c r="K310" s="144"/>
      <c r="M310" s="144"/>
      <c r="N310" s="144"/>
      <c r="O310" s="144"/>
      <c r="P310" s="144"/>
      <c r="Q310" s="144"/>
      <c r="R310" s="144"/>
      <c r="S310" s="144"/>
      <c r="T310" s="144"/>
      <c r="U310" s="144"/>
      <c r="V310" s="144"/>
      <c r="W310" s="144"/>
      <c r="Y310" s="144"/>
      <c r="Z310" s="144"/>
      <c r="AA310" s="144"/>
      <c r="AB310" s="144"/>
      <c r="AC310" s="144"/>
    </row>
    <row r="311" spans="1:29" x14ac:dyDescent="0.2">
      <c r="A311" s="144"/>
      <c r="B311" s="144"/>
      <c r="C311" s="144"/>
      <c r="D311" s="144"/>
      <c r="E311" s="144"/>
      <c r="F311" s="144"/>
      <c r="G311" s="144"/>
      <c r="H311" s="144"/>
      <c r="I311" s="144"/>
      <c r="J311" s="144"/>
      <c r="K311" s="144"/>
      <c r="M311" s="144"/>
      <c r="N311" s="144"/>
      <c r="O311" s="144"/>
      <c r="P311" s="144"/>
      <c r="Q311" s="144"/>
      <c r="R311" s="144"/>
      <c r="S311" s="144"/>
      <c r="T311" s="144"/>
      <c r="U311" s="144"/>
      <c r="V311" s="144"/>
      <c r="W311" s="144"/>
      <c r="Y311" s="144"/>
      <c r="Z311" s="144"/>
      <c r="AA311" s="144"/>
      <c r="AB311" s="144"/>
      <c r="AC311" s="144"/>
    </row>
    <row r="312" spans="1:29" x14ac:dyDescent="0.2">
      <c r="A312" s="144"/>
      <c r="B312" s="144"/>
      <c r="C312" s="144"/>
      <c r="D312" s="144"/>
      <c r="E312" s="144"/>
      <c r="F312" s="144"/>
      <c r="G312" s="144"/>
      <c r="H312" s="144"/>
      <c r="I312" s="144"/>
      <c r="J312" s="144"/>
      <c r="K312" s="144"/>
      <c r="M312" s="144"/>
      <c r="N312" s="144"/>
      <c r="O312" s="144"/>
      <c r="P312" s="144"/>
      <c r="Q312" s="144"/>
      <c r="R312" s="144"/>
      <c r="S312" s="144"/>
      <c r="T312" s="144"/>
      <c r="U312" s="144"/>
      <c r="V312" s="144"/>
      <c r="W312" s="144"/>
      <c r="Y312" s="144"/>
      <c r="Z312" s="144"/>
      <c r="AA312" s="144"/>
      <c r="AB312" s="144"/>
      <c r="AC312" s="144"/>
    </row>
    <row r="313" spans="1:29" x14ac:dyDescent="0.2">
      <c r="A313" s="144"/>
      <c r="B313" s="144"/>
      <c r="C313" s="144"/>
      <c r="D313" s="144"/>
      <c r="E313" s="144"/>
      <c r="F313" s="144"/>
      <c r="G313" s="144"/>
      <c r="H313" s="144"/>
      <c r="I313" s="144"/>
      <c r="J313" s="144"/>
      <c r="K313" s="144"/>
      <c r="M313" s="144"/>
      <c r="N313" s="144"/>
      <c r="O313" s="144"/>
      <c r="P313" s="144"/>
      <c r="Q313" s="144"/>
      <c r="R313" s="144"/>
      <c r="S313" s="144"/>
      <c r="T313" s="144"/>
      <c r="U313" s="144"/>
      <c r="V313" s="144"/>
      <c r="W313" s="144"/>
      <c r="Y313" s="144"/>
      <c r="Z313" s="144"/>
      <c r="AA313" s="144"/>
      <c r="AB313" s="144"/>
      <c r="AC313" s="144"/>
    </row>
    <row r="314" spans="1:29" x14ac:dyDescent="0.2">
      <c r="A314" s="144"/>
      <c r="B314" s="144"/>
      <c r="C314" s="144"/>
      <c r="D314" s="144"/>
      <c r="E314" s="144"/>
      <c r="F314" s="144"/>
      <c r="G314" s="144"/>
      <c r="H314" s="144"/>
      <c r="I314" s="144"/>
      <c r="J314" s="144"/>
      <c r="K314" s="144"/>
      <c r="M314" s="144"/>
      <c r="N314" s="144"/>
      <c r="O314" s="144"/>
      <c r="P314" s="144"/>
      <c r="Q314" s="144"/>
      <c r="R314" s="144"/>
      <c r="S314" s="144"/>
      <c r="T314" s="144"/>
      <c r="U314" s="144"/>
      <c r="V314" s="144"/>
      <c r="W314" s="144"/>
      <c r="Y314" s="144"/>
      <c r="Z314" s="144"/>
      <c r="AA314" s="144"/>
      <c r="AB314" s="144"/>
      <c r="AC314" s="144"/>
    </row>
    <row r="315" spans="1:29" x14ac:dyDescent="0.2">
      <c r="A315" s="144"/>
      <c r="B315" s="144"/>
      <c r="C315" s="144"/>
      <c r="D315" s="144"/>
      <c r="E315" s="144"/>
      <c r="F315" s="144"/>
      <c r="G315" s="144"/>
      <c r="H315" s="144"/>
      <c r="I315" s="144"/>
      <c r="J315" s="144"/>
      <c r="K315" s="144"/>
      <c r="M315" s="144"/>
      <c r="N315" s="144"/>
      <c r="O315" s="144"/>
      <c r="P315" s="144"/>
      <c r="Q315" s="144"/>
      <c r="R315" s="144"/>
      <c r="S315" s="144"/>
      <c r="T315" s="144"/>
      <c r="U315" s="144"/>
      <c r="V315" s="144"/>
      <c r="W315" s="144"/>
      <c r="Y315" s="144"/>
      <c r="Z315" s="144"/>
      <c r="AA315" s="144"/>
      <c r="AB315" s="144"/>
      <c r="AC315" s="144"/>
    </row>
    <row r="316" spans="1:29" x14ac:dyDescent="0.2">
      <c r="A316" s="144"/>
      <c r="B316" s="144"/>
      <c r="C316" s="144"/>
      <c r="D316" s="144"/>
      <c r="E316" s="144"/>
      <c r="F316" s="144"/>
      <c r="G316" s="144"/>
      <c r="H316" s="144"/>
      <c r="I316" s="144"/>
      <c r="J316" s="144"/>
      <c r="K316" s="144"/>
      <c r="M316" s="144"/>
      <c r="N316" s="144"/>
      <c r="O316" s="144"/>
      <c r="P316" s="144"/>
      <c r="Q316" s="144"/>
      <c r="R316" s="144"/>
      <c r="S316" s="144"/>
      <c r="T316" s="144"/>
      <c r="U316" s="144"/>
      <c r="V316" s="144"/>
      <c r="W316" s="144"/>
      <c r="Y316" s="144"/>
      <c r="Z316" s="144"/>
      <c r="AA316" s="144"/>
      <c r="AB316" s="144"/>
      <c r="AC316" s="144"/>
    </row>
    <row r="317" spans="1:29" x14ac:dyDescent="0.2">
      <c r="A317" s="144"/>
      <c r="B317" s="144"/>
      <c r="C317" s="144"/>
      <c r="D317" s="144"/>
      <c r="E317" s="144"/>
      <c r="F317" s="144"/>
      <c r="G317" s="144"/>
      <c r="H317" s="144"/>
      <c r="I317" s="144"/>
      <c r="J317" s="144"/>
      <c r="K317" s="144"/>
      <c r="M317" s="144"/>
      <c r="N317" s="144"/>
      <c r="O317" s="144"/>
      <c r="P317" s="144"/>
      <c r="Q317" s="144"/>
      <c r="R317" s="144"/>
      <c r="S317" s="144"/>
      <c r="T317" s="144"/>
      <c r="U317" s="144"/>
      <c r="V317" s="144"/>
      <c r="W317" s="144"/>
      <c r="Y317" s="144"/>
      <c r="Z317" s="144"/>
      <c r="AA317" s="144"/>
      <c r="AB317" s="144"/>
      <c r="AC317" s="144"/>
    </row>
    <row r="318" spans="1:29" x14ac:dyDescent="0.2">
      <c r="A318" s="144"/>
      <c r="B318" s="144"/>
      <c r="C318" s="144"/>
      <c r="D318" s="144"/>
      <c r="E318" s="144"/>
      <c r="F318" s="144"/>
      <c r="G318" s="144"/>
      <c r="H318" s="144"/>
      <c r="I318" s="144"/>
      <c r="J318" s="144"/>
      <c r="K318" s="144"/>
      <c r="M318" s="144"/>
      <c r="N318" s="144"/>
      <c r="O318" s="144"/>
      <c r="P318" s="144"/>
      <c r="Q318" s="144"/>
      <c r="R318" s="144"/>
      <c r="S318" s="144"/>
      <c r="T318" s="144"/>
      <c r="U318" s="144"/>
      <c r="V318" s="144"/>
      <c r="W318" s="144"/>
      <c r="Y318" s="144"/>
      <c r="Z318" s="144"/>
      <c r="AA318" s="144"/>
      <c r="AB318" s="144"/>
      <c r="AC318" s="144"/>
    </row>
    <row r="319" spans="1:29" x14ac:dyDescent="0.2">
      <c r="A319" s="144"/>
      <c r="B319" s="144"/>
      <c r="C319" s="144"/>
      <c r="D319" s="144"/>
      <c r="E319" s="144"/>
      <c r="F319" s="144"/>
      <c r="G319" s="144"/>
      <c r="H319" s="144"/>
      <c r="I319" s="144"/>
      <c r="J319" s="144"/>
      <c r="K319" s="144"/>
      <c r="M319" s="144"/>
      <c r="N319" s="144"/>
      <c r="O319" s="144"/>
      <c r="P319" s="144"/>
      <c r="Q319" s="144"/>
      <c r="R319" s="144"/>
      <c r="S319" s="144"/>
      <c r="T319" s="144"/>
      <c r="U319" s="144"/>
      <c r="V319" s="144"/>
      <c r="W319" s="144"/>
      <c r="Y319" s="144"/>
      <c r="Z319" s="144"/>
      <c r="AA319" s="144"/>
      <c r="AB319" s="144"/>
      <c r="AC319" s="144"/>
    </row>
    <row r="320" spans="1:29" x14ac:dyDescent="0.2">
      <c r="A320" s="144"/>
      <c r="B320" s="144"/>
      <c r="C320" s="144"/>
      <c r="D320" s="144"/>
      <c r="E320" s="144"/>
      <c r="F320" s="144"/>
      <c r="G320" s="144"/>
      <c r="H320" s="144"/>
      <c r="I320" s="144"/>
      <c r="J320" s="144"/>
      <c r="K320" s="144"/>
      <c r="M320" s="144"/>
      <c r="N320" s="144"/>
      <c r="O320" s="144"/>
      <c r="P320" s="144"/>
      <c r="Q320" s="144"/>
      <c r="R320" s="144"/>
      <c r="S320" s="144"/>
      <c r="T320" s="144"/>
      <c r="U320" s="144"/>
      <c r="V320" s="144"/>
      <c r="W320" s="144"/>
      <c r="Y320" s="144"/>
      <c r="Z320" s="144"/>
      <c r="AA320" s="144"/>
      <c r="AB320" s="144"/>
      <c r="AC320" s="144"/>
    </row>
    <row r="321" spans="1:29" x14ac:dyDescent="0.2">
      <c r="A321" s="144"/>
      <c r="B321" s="144"/>
      <c r="C321" s="144"/>
      <c r="D321" s="144"/>
      <c r="E321" s="144"/>
      <c r="F321" s="144"/>
      <c r="G321" s="144"/>
      <c r="H321" s="144"/>
      <c r="I321" s="144"/>
      <c r="J321" s="144"/>
      <c r="K321" s="144"/>
      <c r="M321" s="144"/>
      <c r="N321" s="144"/>
      <c r="O321" s="144"/>
      <c r="P321" s="144"/>
      <c r="Q321" s="144"/>
      <c r="R321" s="144"/>
      <c r="S321" s="144"/>
      <c r="T321" s="144"/>
      <c r="U321" s="144"/>
      <c r="V321" s="144"/>
      <c r="W321" s="144"/>
      <c r="Y321" s="144"/>
      <c r="Z321" s="144"/>
      <c r="AA321" s="144"/>
      <c r="AB321" s="144"/>
      <c r="AC321" s="144"/>
    </row>
    <row r="322" spans="1:29" x14ac:dyDescent="0.2">
      <c r="A322" s="144"/>
      <c r="B322" s="144"/>
      <c r="C322" s="144"/>
      <c r="D322" s="144"/>
      <c r="E322" s="144"/>
      <c r="F322" s="144"/>
      <c r="G322" s="144"/>
      <c r="H322" s="144"/>
      <c r="I322" s="144"/>
      <c r="J322" s="144"/>
      <c r="K322" s="144"/>
      <c r="M322" s="144"/>
      <c r="N322" s="144"/>
      <c r="O322" s="144"/>
      <c r="P322" s="144"/>
      <c r="Q322" s="144"/>
      <c r="R322" s="144"/>
      <c r="S322" s="144"/>
      <c r="T322" s="144"/>
      <c r="U322" s="144"/>
      <c r="V322" s="144"/>
      <c r="W322" s="144"/>
      <c r="Y322" s="144"/>
      <c r="Z322" s="144"/>
      <c r="AA322" s="144"/>
      <c r="AB322" s="144"/>
      <c r="AC322" s="144"/>
    </row>
    <row r="323" spans="1:29" x14ac:dyDescent="0.2">
      <c r="A323" s="144"/>
      <c r="B323" s="144"/>
      <c r="C323" s="144"/>
      <c r="D323" s="144"/>
      <c r="E323" s="144"/>
      <c r="F323" s="144"/>
      <c r="G323" s="144"/>
      <c r="H323" s="144"/>
      <c r="I323" s="144"/>
      <c r="J323" s="144"/>
      <c r="K323" s="144"/>
      <c r="M323" s="144"/>
      <c r="N323" s="144"/>
      <c r="O323" s="144"/>
      <c r="P323" s="144"/>
      <c r="Q323" s="144"/>
      <c r="R323" s="144"/>
      <c r="S323" s="144"/>
      <c r="T323" s="144"/>
      <c r="U323" s="144"/>
      <c r="V323" s="144"/>
      <c r="W323" s="144"/>
      <c r="Y323" s="144"/>
      <c r="Z323" s="144"/>
      <c r="AA323" s="144"/>
      <c r="AB323" s="144"/>
      <c r="AC323" s="144"/>
    </row>
    <row r="324" spans="1:29" x14ac:dyDescent="0.2">
      <c r="A324" s="144"/>
      <c r="B324" s="144"/>
      <c r="C324" s="144"/>
      <c r="D324" s="144"/>
      <c r="E324" s="144"/>
      <c r="F324" s="144"/>
      <c r="G324" s="144"/>
      <c r="H324" s="144"/>
      <c r="I324" s="144"/>
      <c r="J324" s="144"/>
      <c r="K324" s="144"/>
      <c r="M324" s="144"/>
      <c r="N324" s="144"/>
      <c r="O324" s="144"/>
      <c r="P324" s="144"/>
      <c r="Q324" s="144"/>
      <c r="R324" s="144"/>
      <c r="S324" s="144"/>
      <c r="T324" s="144"/>
      <c r="U324" s="144"/>
      <c r="V324" s="144"/>
      <c r="W324" s="144"/>
      <c r="Y324" s="144"/>
      <c r="Z324" s="144"/>
      <c r="AA324" s="144"/>
      <c r="AB324" s="144"/>
      <c r="AC324" s="144"/>
    </row>
    <row r="325" spans="1:29" x14ac:dyDescent="0.2">
      <c r="A325" s="144"/>
      <c r="B325" s="144"/>
      <c r="C325" s="144"/>
      <c r="D325" s="144"/>
      <c r="E325" s="144"/>
      <c r="F325" s="144"/>
      <c r="G325" s="144"/>
      <c r="H325" s="144"/>
      <c r="I325" s="144"/>
      <c r="J325" s="144"/>
      <c r="K325" s="144"/>
      <c r="M325" s="144"/>
      <c r="N325" s="144"/>
      <c r="O325" s="144"/>
      <c r="P325" s="144"/>
      <c r="Q325" s="144"/>
      <c r="R325" s="144"/>
      <c r="S325" s="144"/>
      <c r="T325" s="144"/>
      <c r="U325" s="144"/>
      <c r="V325" s="144"/>
      <c r="W325" s="144"/>
      <c r="Y325" s="144"/>
      <c r="Z325" s="144"/>
      <c r="AA325" s="144"/>
      <c r="AB325" s="144"/>
      <c r="AC325" s="144"/>
    </row>
    <row r="326" spans="1:29" x14ac:dyDescent="0.2">
      <c r="A326" s="144"/>
      <c r="B326" s="144"/>
      <c r="C326" s="144"/>
      <c r="D326" s="144"/>
      <c r="E326" s="144"/>
      <c r="F326" s="144"/>
      <c r="G326" s="144"/>
      <c r="H326" s="144"/>
      <c r="I326" s="144"/>
      <c r="J326" s="144"/>
      <c r="K326" s="144"/>
      <c r="M326" s="144"/>
      <c r="N326" s="144"/>
      <c r="O326" s="144"/>
      <c r="P326" s="144"/>
      <c r="Q326" s="144"/>
      <c r="R326" s="144"/>
      <c r="S326" s="144"/>
      <c r="T326" s="144"/>
      <c r="U326" s="144"/>
      <c r="V326" s="144"/>
      <c r="W326" s="144"/>
      <c r="Y326" s="144"/>
      <c r="Z326" s="144"/>
      <c r="AA326" s="144"/>
      <c r="AB326" s="144"/>
      <c r="AC326" s="144"/>
    </row>
    <row r="327" spans="1:29" x14ac:dyDescent="0.2">
      <c r="A327" s="144"/>
      <c r="B327" s="144"/>
      <c r="C327" s="144"/>
      <c r="D327" s="144"/>
      <c r="E327" s="144"/>
      <c r="F327" s="144"/>
      <c r="G327" s="144"/>
      <c r="H327" s="144"/>
      <c r="I327" s="144"/>
      <c r="J327" s="144"/>
      <c r="K327" s="144"/>
      <c r="M327" s="144"/>
      <c r="N327" s="144"/>
      <c r="O327" s="144"/>
      <c r="P327" s="144"/>
      <c r="Q327" s="144"/>
      <c r="R327" s="144"/>
      <c r="S327" s="144"/>
      <c r="T327" s="144"/>
      <c r="U327" s="144"/>
      <c r="V327" s="144"/>
      <c r="W327" s="144"/>
      <c r="Y327" s="144"/>
      <c r="Z327" s="144"/>
      <c r="AA327" s="144"/>
      <c r="AB327" s="144"/>
      <c r="AC327" s="144"/>
    </row>
    <row r="328" spans="1:29" x14ac:dyDescent="0.2">
      <c r="A328" s="144"/>
      <c r="B328" s="144"/>
      <c r="C328" s="144"/>
      <c r="D328" s="144"/>
      <c r="E328" s="144"/>
      <c r="F328" s="144"/>
      <c r="G328" s="144"/>
      <c r="H328" s="144"/>
      <c r="I328" s="144"/>
      <c r="J328" s="144"/>
      <c r="K328" s="144"/>
      <c r="M328" s="144"/>
      <c r="N328" s="144"/>
      <c r="O328" s="144"/>
      <c r="P328" s="144"/>
      <c r="Q328" s="144"/>
      <c r="R328" s="144"/>
      <c r="S328" s="144"/>
      <c r="T328" s="144"/>
      <c r="U328" s="144"/>
      <c r="V328" s="144"/>
      <c r="W328" s="144"/>
      <c r="Y328" s="144"/>
      <c r="Z328" s="144"/>
      <c r="AA328" s="144"/>
      <c r="AB328" s="144"/>
      <c r="AC328" s="144"/>
    </row>
    <row r="329" spans="1:29" x14ac:dyDescent="0.2">
      <c r="A329" s="144"/>
      <c r="B329" s="144"/>
      <c r="C329" s="144"/>
      <c r="D329" s="144"/>
      <c r="E329" s="144"/>
      <c r="F329" s="144"/>
      <c r="G329" s="144"/>
      <c r="H329" s="144"/>
      <c r="I329" s="144"/>
      <c r="J329" s="144"/>
      <c r="K329" s="144"/>
      <c r="M329" s="144"/>
      <c r="N329" s="144"/>
      <c r="O329" s="144"/>
      <c r="P329" s="144"/>
      <c r="Q329" s="144"/>
      <c r="R329" s="144"/>
      <c r="S329" s="144"/>
      <c r="T329" s="144"/>
      <c r="U329" s="144"/>
      <c r="V329" s="144"/>
      <c r="W329" s="144"/>
      <c r="Y329" s="144"/>
      <c r="Z329" s="144"/>
      <c r="AA329" s="144"/>
      <c r="AB329" s="144"/>
      <c r="AC329" s="144"/>
    </row>
    <row r="330" spans="1:29" x14ac:dyDescent="0.2">
      <c r="A330" s="144"/>
      <c r="B330" s="144"/>
      <c r="C330" s="144"/>
      <c r="D330" s="144"/>
      <c r="E330" s="144"/>
      <c r="F330" s="144"/>
      <c r="G330" s="144"/>
      <c r="H330" s="144"/>
      <c r="I330" s="144"/>
      <c r="J330" s="144"/>
      <c r="K330" s="144"/>
      <c r="M330" s="144"/>
      <c r="N330" s="144"/>
      <c r="O330" s="144"/>
      <c r="P330" s="144"/>
      <c r="Q330" s="144"/>
      <c r="R330" s="144"/>
      <c r="S330" s="144"/>
      <c r="T330" s="144"/>
      <c r="U330" s="144"/>
      <c r="V330" s="144"/>
      <c r="W330" s="144"/>
      <c r="Y330" s="144"/>
      <c r="Z330" s="144"/>
      <c r="AA330" s="144"/>
      <c r="AB330" s="144"/>
      <c r="AC330" s="144"/>
    </row>
    <row r="331" spans="1:29" x14ac:dyDescent="0.2">
      <c r="A331" s="144"/>
      <c r="B331" s="144"/>
      <c r="C331" s="144"/>
      <c r="D331" s="144"/>
      <c r="E331" s="144"/>
      <c r="F331" s="144"/>
      <c r="G331" s="144"/>
      <c r="H331" s="144"/>
      <c r="I331" s="144"/>
      <c r="J331" s="144"/>
      <c r="K331" s="144"/>
      <c r="M331" s="144"/>
      <c r="N331" s="144"/>
      <c r="O331" s="144"/>
      <c r="P331" s="144"/>
      <c r="Q331" s="144"/>
      <c r="R331" s="144"/>
      <c r="S331" s="144"/>
      <c r="T331" s="144"/>
      <c r="U331" s="144"/>
      <c r="V331" s="144"/>
      <c r="W331" s="144"/>
      <c r="Y331" s="144"/>
      <c r="Z331" s="144"/>
      <c r="AA331" s="144"/>
      <c r="AB331" s="144"/>
      <c r="AC331" s="144"/>
    </row>
    <row r="332" spans="1:29" x14ac:dyDescent="0.2">
      <c r="A332" s="144"/>
      <c r="B332" s="144"/>
      <c r="C332" s="144"/>
      <c r="D332" s="144"/>
      <c r="E332" s="144"/>
      <c r="F332" s="144"/>
      <c r="G332" s="144"/>
      <c r="H332" s="144"/>
      <c r="I332" s="144"/>
      <c r="J332" s="144"/>
      <c r="K332" s="144"/>
      <c r="M332" s="144"/>
      <c r="N332" s="144"/>
      <c r="O332" s="144"/>
      <c r="P332" s="144"/>
      <c r="Q332" s="144"/>
      <c r="R332" s="144"/>
      <c r="S332" s="144"/>
      <c r="T332" s="144"/>
      <c r="U332" s="144"/>
      <c r="V332" s="144"/>
      <c r="W332" s="144"/>
      <c r="Y332" s="144"/>
      <c r="Z332" s="144"/>
      <c r="AA332" s="144"/>
      <c r="AB332" s="144"/>
      <c r="AC332" s="144"/>
    </row>
    <row r="333" spans="1:29" x14ac:dyDescent="0.2">
      <c r="A333" s="144"/>
      <c r="B333" s="144"/>
      <c r="C333" s="144"/>
      <c r="D333" s="144"/>
      <c r="E333" s="144"/>
      <c r="F333" s="144"/>
      <c r="G333" s="144"/>
      <c r="H333" s="144"/>
      <c r="I333" s="144"/>
      <c r="J333" s="144"/>
      <c r="K333" s="144"/>
      <c r="M333" s="144"/>
      <c r="N333" s="144"/>
      <c r="O333" s="144"/>
      <c r="P333" s="144"/>
      <c r="Q333" s="144"/>
      <c r="R333" s="144"/>
      <c r="S333" s="144"/>
      <c r="T333" s="144"/>
      <c r="U333" s="144"/>
      <c r="V333" s="144"/>
      <c r="W333" s="144"/>
      <c r="Y333" s="144"/>
      <c r="Z333" s="144"/>
      <c r="AA333" s="144"/>
      <c r="AB333" s="144"/>
      <c r="AC333" s="144"/>
    </row>
    <row r="334" spans="1:29" x14ac:dyDescent="0.2">
      <c r="A334" s="144"/>
      <c r="B334" s="144"/>
      <c r="C334" s="144"/>
      <c r="D334" s="144"/>
      <c r="E334" s="144"/>
      <c r="F334" s="144"/>
      <c r="G334" s="144"/>
      <c r="H334" s="144"/>
      <c r="I334" s="144"/>
      <c r="J334" s="144"/>
      <c r="K334" s="144"/>
      <c r="M334" s="144"/>
      <c r="N334" s="144"/>
      <c r="O334" s="144"/>
      <c r="P334" s="144"/>
      <c r="Q334" s="144"/>
      <c r="R334" s="144"/>
      <c r="S334" s="144"/>
      <c r="T334" s="144"/>
      <c r="U334" s="144"/>
      <c r="V334" s="144"/>
      <c r="W334" s="144"/>
      <c r="Y334" s="144"/>
      <c r="Z334" s="144"/>
      <c r="AA334" s="144"/>
      <c r="AB334" s="144"/>
      <c r="AC334" s="144"/>
    </row>
    <row r="335" spans="1:29" x14ac:dyDescent="0.2">
      <c r="A335" s="144"/>
      <c r="B335" s="144"/>
      <c r="C335" s="144"/>
      <c r="D335" s="144"/>
      <c r="E335" s="144"/>
      <c r="F335" s="144"/>
      <c r="G335" s="144"/>
      <c r="H335" s="144"/>
      <c r="I335" s="144"/>
      <c r="J335" s="144"/>
      <c r="K335" s="144"/>
      <c r="M335" s="144"/>
      <c r="N335" s="144"/>
      <c r="O335" s="144"/>
      <c r="P335" s="144"/>
      <c r="Q335" s="144"/>
      <c r="R335" s="144"/>
      <c r="S335" s="144"/>
      <c r="T335" s="144"/>
      <c r="U335" s="144"/>
      <c r="V335" s="144"/>
      <c r="W335" s="144"/>
      <c r="Y335" s="144"/>
      <c r="Z335" s="144"/>
      <c r="AA335" s="144"/>
      <c r="AB335" s="144"/>
      <c r="AC335" s="144"/>
    </row>
    <row r="336" spans="1:29" x14ac:dyDescent="0.2">
      <c r="A336" s="144"/>
      <c r="B336" s="144"/>
      <c r="C336" s="144"/>
      <c r="D336" s="144"/>
      <c r="E336" s="144"/>
      <c r="F336" s="144"/>
      <c r="G336" s="144"/>
      <c r="H336" s="144"/>
      <c r="I336" s="144"/>
      <c r="J336" s="144"/>
      <c r="K336" s="144"/>
      <c r="M336" s="144"/>
      <c r="N336" s="144"/>
      <c r="O336" s="144"/>
      <c r="P336" s="144"/>
      <c r="Q336" s="144"/>
      <c r="R336" s="144"/>
      <c r="S336" s="144"/>
      <c r="T336" s="144"/>
      <c r="U336" s="144"/>
      <c r="V336" s="144"/>
      <c r="W336" s="144"/>
      <c r="Y336" s="144"/>
      <c r="Z336" s="144"/>
      <c r="AA336" s="144"/>
      <c r="AB336" s="144"/>
      <c r="AC336" s="144"/>
    </row>
    <row r="337" spans="1:29" x14ac:dyDescent="0.2">
      <c r="A337" s="144"/>
      <c r="B337" s="144"/>
      <c r="C337" s="144"/>
      <c r="D337" s="144"/>
      <c r="E337" s="144"/>
      <c r="F337" s="144"/>
      <c r="G337" s="144"/>
      <c r="H337" s="144"/>
      <c r="I337" s="144"/>
      <c r="J337" s="144"/>
      <c r="K337" s="144"/>
      <c r="M337" s="144"/>
      <c r="N337" s="144"/>
      <c r="O337" s="144"/>
      <c r="P337" s="144"/>
      <c r="Q337" s="144"/>
      <c r="R337" s="144"/>
      <c r="S337" s="144"/>
      <c r="T337" s="144"/>
      <c r="U337" s="144"/>
      <c r="V337" s="144"/>
      <c r="W337" s="144"/>
      <c r="Y337" s="144"/>
      <c r="Z337" s="144"/>
      <c r="AA337" s="144"/>
      <c r="AB337" s="144"/>
      <c r="AC337" s="144"/>
    </row>
    <row r="338" spans="1:29" x14ac:dyDescent="0.2">
      <c r="A338" s="144"/>
      <c r="B338" s="144"/>
      <c r="C338" s="144"/>
      <c r="D338" s="144"/>
      <c r="E338" s="144"/>
      <c r="F338" s="144"/>
      <c r="G338" s="144"/>
      <c r="H338" s="144"/>
      <c r="I338" s="144"/>
      <c r="J338" s="144"/>
      <c r="K338" s="144"/>
      <c r="M338" s="144"/>
      <c r="N338" s="144"/>
      <c r="O338" s="144"/>
      <c r="P338" s="144"/>
      <c r="Q338" s="144"/>
      <c r="R338" s="144"/>
      <c r="S338" s="144"/>
      <c r="T338" s="144"/>
      <c r="U338" s="144"/>
      <c r="V338" s="144"/>
      <c r="W338" s="144"/>
      <c r="Y338" s="144"/>
      <c r="Z338" s="144"/>
      <c r="AA338" s="144"/>
      <c r="AB338" s="144"/>
      <c r="AC338" s="144"/>
    </row>
    <row r="339" spans="1:29" x14ac:dyDescent="0.2">
      <c r="A339" s="144"/>
      <c r="B339" s="144"/>
      <c r="C339" s="144"/>
      <c r="D339" s="144"/>
      <c r="E339" s="144"/>
      <c r="F339" s="144"/>
      <c r="G339" s="144"/>
      <c r="H339" s="144"/>
      <c r="I339" s="144"/>
      <c r="J339" s="144"/>
      <c r="K339" s="144"/>
      <c r="M339" s="144"/>
      <c r="N339" s="144"/>
      <c r="O339" s="144"/>
      <c r="P339" s="144"/>
      <c r="Q339" s="144"/>
      <c r="R339" s="144"/>
      <c r="S339" s="144"/>
      <c r="T339" s="144"/>
      <c r="U339" s="144"/>
      <c r="V339" s="144"/>
      <c r="W339" s="144"/>
      <c r="Y339" s="144"/>
      <c r="Z339" s="144"/>
      <c r="AA339" s="144"/>
      <c r="AB339" s="144"/>
      <c r="AC339" s="144"/>
    </row>
    <row r="340" spans="1:29" x14ac:dyDescent="0.2">
      <c r="A340" s="144"/>
      <c r="B340" s="144"/>
      <c r="C340" s="144"/>
      <c r="D340" s="144"/>
      <c r="E340" s="144"/>
      <c r="F340" s="144"/>
      <c r="G340" s="144"/>
      <c r="H340" s="144"/>
      <c r="I340" s="144"/>
      <c r="J340" s="144"/>
      <c r="K340" s="144"/>
      <c r="M340" s="144"/>
      <c r="N340" s="144"/>
      <c r="O340" s="144"/>
      <c r="P340" s="144"/>
      <c r="Q340" s="144"/>
      <c r="R340" s="144"/>
      <c r="S340" s="144"/>
      <c r="T340" s="144"/>
      <c r="U340" s="144"/>
      <c r="V340" s="144"/>
      <c r="W340" s="144"/>
      <c r="Y340" s="144"/>
      <c r="Z340" s="144"/>
      <c r="AA340" s="144"/>
      <c r="AB340" s="144"/>
      <c r="AC340" s="144"/>
    </row>
    <row r="341" spans="1:29" x14ac:dyDescent="0.2">
      <c r="A341" s="144"/>
      <c r="B341" s="144"/>
      <c r="C341" s="144"/>
      <c r="D341" s="144"/>
      <c r="E341" s="144"/>
      <c r="F341" s="144"/>
      <c r="G341" s="144"/>
      <c r="H341" s="144"/>
      <c r="I341" s="144"/>
      <c r="J341" s="144"/>
      <c r="K341" s="144"/>
      <c r="M341" s="144"/>
      <c r="N341" s="144"/>
      <c r="O341" s="144"/>
      <c r="P341" s="144"/>
      <c r="Q341" s="144"/>
      <c r="R341" s="144"/>
      <c r="S341" s="144"/>
      <c r="T341" s="144"/>
      <c r="U341" s="144"/>
      <c r="V341" s="144"/>
      <c r="W341" s="144"/>
      <c r="Y341" s="144"/>
      <c r="Z341" s="144"/>
      <c r="AA341" s="144"/>
      <c r="AB341" s="144"/>
      <c r="AC341" s="144"/>
    </row>
    <row r="342" spans="1:29" x14ac:dyDescent="0.2">
      <c r="A342" s="144"/>
      <c r="B342" s="144"/>
      <c r="C342" s="144"/>
      <c r="D342" s="144"/>
      <c r="E342" s="144"/>
      <c r="F342" s="144"/>
      <c r="G342" s="144"/>
      <c r="H342" s="144"/>
      <c r="I342" s="144"/>
      <c r="J342" s="144"/>
      <c r="K342" s="144"/>
      <c r="M342" s="144"/>
      <c r="N342" s="144"/>
      <c r="O342" s="144"/>
      <c r="P342" s="144"/>
      <c r="Q342" s="144"/>
      <c r="R342" s="144"/>
      <c r="S342" s="144"/>
      <c r="T342" s="144"/>
      <c r="U342" s="144"/>
      <c r="V342" s="144"/>
      <c r="W342" s="144"/>
      <c r="Y342" s="144"/>
      <c r="Z342" s="144"/>
      <c r="AA342" s="144"/>
      <c r="AB342" s="144"/>
      <c r="AC342" s="144"/>
    </row>
    <row r="343" spans="1:29" x14ac:dyDescent="0.2">
      <c r="A343" s="144"/>
      <c r="B343" s="144"/>
      <c r="C343" s="144"/>
      <c r="D343" s="144"/>
      <c r="E343" s="144"/>
      <c r="F343" s="144"/>
      <c r="G343" s="144"/>
      <c r="H343" s="144"/>
      <c r="I343" s="144"/>
      <c r="J343" s="144"/>
      <c r="K343" s="144"/>
      <c r="M343" s="144"/>
      <c r="N343" s="144"/>
      <c r="O343" s="144"/>
      <c r="P343" s="144"/>
      <c r="Q343" s="144"/>
      <c r="R343" s="144"/>
      <c r="S343" s="144"/>
      <c r="T343" s="144"/>
      <c r="U343" s="144"/>
      <c r="V343" s="144"/>
      <c r="W343" s="144"/>
      <c r="Y343" s="144"/>
      <c r="Z343" s="144"/>
      <c r="AA343" s="144"/>
      <c r="AB343" s="144"/>
      <c r="AC343" s="144"/>
    </row>
    <row r="344" spans="1:29" x14ac:dyDescent="0.2">
      <c r="A344" s="144"/>
      <c r="B344" s="144"/>
      <c r="C344" s="144"/>
      <c r="D344" s="144"/>
      <c r="E344" s="144"/>
      <c r="F344" s="144"/>
      <c r="G344" s="144"/>
      <c r="H344" s="144"/>
      <c r="I344" s="144"/>
      <c r="J344" s="144"/>
      <c r="K344" s="144"/>
      <c r="M344" s="144"/>
      <c r="N344" s="144"/>
      <c r="O344" s="144"/>
      <c r="P344" s="144"/>
      <c r="Q344" s="144"/>
      <c r="R344" s="144"/>
      <c r="S344" s="144"/>
      <c r="T344" s="144"/>
      <c r="U344" s="144"/>
      <c r="V344" s="144"/>
      <c r="W344" s="144"/>
      <c r="Y344" s="144"/>
      <c r="Z344" s="144"/>
      <c r="AA344" s="144"/>
      <c r="AB344" s="144"/>
      <c r="AC344" s="144"/>
    </row>
    <row r="345" spans="1:29" x14ac:dyDescent="0.2">
      <c r="A345" s="144"/>
      <c r="B345" s="144"/>
      <c r="C345" s="144"/>
      <c r="D345" s="144"/>
      <c r="E345" s="144"/>
      <c r="F345" s="144"/>
      <c r="G345" s="144"/>
      <c r="H345" s="144"/>
      <c r="I345" s="144"/>
      <c r="J345" s="144"/>
      <c r="K345" s="144"/>
      <c r="M345" s="144"/>
      <c r="N345" s="144"/>
      <c r="O345" s="144"/>
      <c r="P345" s="144"/>
      <c r="Q345" s="144"/>
      <c r="R345" s="144"/>
      <c r="S345" s="144"/>
      <c r="T345" s="144"/>
      <c r="U345" s="144"/>
      <c r="V345" s="144"/>
      <c r="W345" s="144"/>
      <c r="Y345" s="144"/>
      <c r="Z345" s="144"/>
      <c r="AA345" s="144"/>
      <c r="AB345" s="144"/>
      <c r="AC345" s="144"/>
    </row>
    <row r="346" spans="1:29" x14ac:dyDescent="0.2">
      <c r="A346" s="144"/>
      <c r="B346" s="144"/>
      <c r="C346" s="144"/>
      <c r="D346" s="144"/>
      <c r="E346" s="144"/>
      <c r="F346" s="144"/>
      <c r="G346" s="144"/>
      <c r="H346" s="144"/>
      <c r="I346" s="144"/>
      <c r="J346" s="144"/>
      <c r="K346" s="144"/>
      <c r="M346" s="144"/>
      <c r="N346" s="144"/>
      <c r="O346" s="144"/>
      <c r="P346" s="144"/>
      <c r="Q346" s="144"/>
      <c r="R346" s="144"/>
      <c r="S346" s="144"/>
      <c r="T346" s="144"/>
      <c r="U346" s="144"/>
      <c r="V346" s="144"/>
      <c r="W346" s="144"/>
      <c r="Y346" s="144"/>
      <c r="Z346" s="144"/>
      <c r="AA346" s="144"/>
      <c r="AB346" s="144"/>
      <c r="AC346" s="144"/>
    </row>
    <row r="347" spans="1:29" x14ac:dyDescent="0.2">
      <c r="A347" s="144"/>
      <c r="B347" s="144"/>
      <c r="C347" s="144"/>
      <c r="D347" s="144"/>
      <c r="E347" s="144"/>
      <c r="F347" s="144"/>
      <c r="G347" s="144"/>
      <c r="H347" s="144"/>
      <c r="I347" s="144"/>
      <c r="J347" s="144"/>
      <c r="K347" s="144"/>
      <c r="M347" s="144"/>
      <c r="N347" s="144"/>
      <c r="O347" s="144"/>
      <c r="P347" s="144"/>
      <c r="Q347" s="144"/>
      <c r="R347" s="144"/>
      <c r="S347" s="144"/>
      <c r="T347" s="144"/>
      <c r="U347" s="144"/>
      <c r="V347" s="144"/>
      <c r="W347" s="144"/>
      <c r="Y347" s="144"/>
      <c r="Z347" s="144"/>
      <c r="AA347" s="144"/>
      <c r="AB347" s="144"/>
      <c r="AC347" s="144"/>
    </row>
    <row r="348" spans="1:29" x14ac:dyDescent="0.2">
      <c r="A348" s="144"/>
      <c r="B348" s="144"/>
      <c r="C348" s="144"/>
      <c r="D348" s="144"/>
      <c r="E348" s="144"/>
      <c r="F348" s="144"/>
      <c r="G348" s="144"/>
      <c r="H348" s="144"/>
      <c r="I348" s="144"/>
      <c r="J348" s="144"/>
      <c r="K348" s="144"/>
      <c r="M348" s="144"/>
      <c r="N348" s="144"/>
      <c r="O348" s="144"/>
      <c r="P348" s="144"/>
      <c r="Q348" s="144"/>
      <c r="R348" s="144"/>
      <c r="S348" s="144"/>
      <c r="T348" s="144"/>
      <c r="U348" s="144"/>
      <c r="V348" s="144"/>
      <c r="W348" s="144"/>
      <c r="Y348" s="144"/>
      <c r="Z348" s="144"/>
      <c r="AA348" s="144"/>
      <c r="AB348" s="144"/>
      <c r="AC348" s="144"/>
    </row>
    <row r="349" spans="1:29" x14ac:dyDescent="0.2">
      <c r="A349" s="144"/>
      <c r="B349" s="144"/>
      <c r="C349" s="144"/>
      <c r="D349" s="144"/>
      <c r="E349" s="144"/>
      <c r="F349" s="144"/>
      <c r="G349" s="144"/>
      <c r="H349" s="144"/>
      <c r="I349" s="144"/>
      <c r="J349" s="144"/>
      <c r="K349" s="144"/>
      <c r="M349" s="144"/>
      <c r="N349" s="144"/>
      <c r="O349" s="144"/>
      <c r="P349" s="144"/>
      <c r="Q349" s="144"/>
      <c r="R349" s="144"/>
      <c r="S349" s="144"/>
      <c r="T349" s="144"/>
      <c r="U349" s="144"/>
      <c r="V349" s="144"/>
      <c r="W349" s="144"/>
      <c r="Y349" s="144"/>
      <c r="Z349" s="144"/>
      <c r="AA349" s="144"/>
      <c r="AB349" s="144"/>
      <c r="AC349" s="144"/>
    </row>
    <row r="350" spans="1:29" x14ac:dyDescent="0.2">
      <c r="A350" s="144"/>
      <c r="B350" s="144"/>
      <c r="C350" s="144"/>
      <c r="D350" s="144"/>
      <c r="E350" s="144"/>
      <c r="F350" s="144"/>
      <c r="G350" s="144"/>
      <c r="H350" s="144"/>
      <c r="I350" s="144"/>
      <c r="J350" s="144"/>
      <c r="K350" s="144"/>
      <c r="M350" s="144"/>
      <c r="N350" s="144"/>
      <c r="O350" s="144"/>
      <c r="P350" s="144"/>
      <c r="Q350" s="144"/>
      <c r="R350" s="144"/>
      <c r="S350" s="144"/>
      <c r="T350" s="144"/>
      <c r="U350" s="144"/>
      <c r="V350" s="144"/>
      <c r="W350" s="144"/>
      <c r="Y350" s="144"/>
      <c r="Z350" s="144"/>
      <c r="AA350" s="144"/>
      <c r="AB350" s="144"/>
      <c r="AC350" s="144"/>
    </row>
    <row r="351" spans="1:29" x14ac:dyDescent="0.2">
      <c r="A351" s="144"/>
      <c r="B351" s="144"/>
      <c r="C351" s="144"/>
      <c r="D351" s="144"/>
      <c r="E351" s="144"/>
      <c r="F351" s="144"/>
      <c r="G351" s="144"/>
      <c r="H351" s="144"/>
      <c r="I351" s="144"/>
      <c r="J351" s="144"/>
      <c r="K351" s="144"/>
      <c r="M351" s="144"/>
      <c r="N351" s="144"/>
      <c r="O351" s="144"/>
      <c r="P351" s="144"/>
      <c r="Q351" s="144"/>
      <c r="R351" s="144"/>
      <c r="S351" s="144"/>
      <c r="T351" s="144"/>
      <c r="U351" s="144"/>
      <c r="V351" s="144"/>
      <c r="W351" s="144"/>
      <c r="Y351" s="144"/>
      <c r="Z351" s="144"/>
      <c r="AA351" s="144"/>
      <c r="AB351" s="144"/>
      <c r="AC351" s="144"/>
    </row>
    <row r="352" spans="1:29" x14ac:dyDescent="0.2">
      <c r="A352" s="144"/>
      <c r="B352" s="144"/>
      <c r="C352" s="144"/>
      <c r="D352" s="144"/>
      <c r="E352" s="144"/>
      <c r="F352" s="144"/>
      <c r="G352" s="144"/>
      <c r="H352" s="144"/>
      <c r="I352" s="144"/>
      <c r="J352" s="144"/>
      <c r="K352" s="144"/>
      <c r="M352" s="144"/>
      <c r="N352" s="144"/>
      <c r="O352" s="144"/>
      <c r="P352" s="144"/>
      <c r="Q352" s="144"/>
      <c r="R352" s="144"/>
      <c r="S352" s="144"/>
      <c r="T352" s="144"/>
      <c r="U352" s="144"/>
      <c r="V352" s="144"/>
      <c r="W352" s="144"/>
      <c r="Y352" s="144"/>
      <c r="Z352" s="144"/>
      <c r="AA352" s="144"/>
      <c r="AB352" s="144"/>
      <c r="AC352" s="144"/>
    </row>
    <row r="353" spans="1:29" x14ac:dyDescent="0.2">
      <c r="A353" s="144"/>
      <c r="B353" s="144"/>
      <c r="C353" s="144"/>
      <c r="D353" s="144"/>
      <c r="E353" s="144"/>
      <c r="F353" s="144"/>
      <c r="G353" s="144"/>
      <c r="H353" s="144"/>
      <c r="I353" s="144"/>
      <c r="J353" s="144"/>
      <c r="K353" s="144"/>
      <c r="M353" s="144"/>
      <c r="N353" s="144"/>
      <c r="O353" s="144"/>
      <c r="P353" s="144"/>
      <c r="Q353" s="144"/>
      <c r="R353" s="144"/>
      <c r="S353" s="144"/>
      <c r="T353" s="144"/>
      <c r="U353" s="144"/>
      <c r="V353" s="144"/>
      <c r="W353" s="144"/>
      <c r="Y353" s="144"/>
      <c r="Z353" s="144"/>
      <c r="AA353" s="144"/>
      <c r="AB353" s="144"/>
      <c r="AC353" s="144"/>
    </row>
    <row r="354" spans="1:29" x14ac:dyDescent="0.2">
      <c r="A354" s="144"/>
      <c r="B354" s="144"/>
      <c r="C354" s="144"/>
      <c r="D354" s="144"/>
      <c r="E354" s="144"/>
      <c r="F354" s="144"/>
      <c r="G354" s="144"/>
      <c r="H354" s="144"/>
      <c r="I354" s="144"/>
      <c r="J354" s="144"/>
      <c r="K354" s="144"/>
      <c r="M354" s="144"/>
      <c r="N354" s="144"/>
      <c r="O354" s="144"/>
      <c r="P354" s="144"/>
      <c r="Q354" s="144"/>
      <c r="R354" s="144"/>
      <c r="S354" s="144"/>
      <c r="T354" s="144"/>
      <c r="U354" s="144"/>
      <c r="V354" s="144"/>
      <c r="W354" s="144"/>
      <c r="Y354" s="144"/>
      <c r="Z354" s="144"/>
      <c r="AA354" s="144"/>
      <c r="AB354" s="144"/>
      <c r="AC354" s="144"/>
    </row>
    <row r="355" spans="1:29" x14ac:dyDescent="0.2">
      <c r="A355" s="144"/>
      <c r="B355" s="144"/>
      <c r="C355" s="144"/>
      <c r="D355" s="144"/>
      <c r="E355" s="144"/>
      <c r="F355" s="144"/>
      <c r="G355" s="144"/>
      <c r="H355" s="144"/>
      <c r="I355" s="144"/>
      <c r="J355" s="144"/>
      <c r="K355" s="144"/>
      <c r="M355" s="144"/>
      <c r="N355" s="144"/>
      <c r="O355" s="144"/>
      <c r="P355" s="144"/>
      <c r="Q355" s="144"/>
      <c r="R355" s="144"/>
      <c r="S355" s="144"/>
      <c r="T355" s="144"/>
      <c r="U355" s="144"/>
      <c r="V355" s="144"/>
      <c r="W355" s="144"/>
      <c r="Y355" s="144"/>
      <c r="Z355" s="144"/>
      <c r="AA355" s="144"/>
      <c r="AB355" s="144"/>
      <c r="AC355" s="144"/>
    </row>
    <row r="356" spans="1:29" x14ac:dyDescent="0.2">
      <c r="A356" s="144"/>
      <c r="B356" s="144"/>
      <c r="C356" s="144"/>
      <c r="D356" s="144"/>
      <c r="E356" s="144"/>
      <c r="F356" s="144"/>
      <c r="G356" s="144"/>
      <c r="H356" s="144"/>
      <c r="I356" s="144"/>
      <c r="J356" s="144"/>
      <c r="K356" s="144"/>
      <c r="M356" s="144"/>
      <c r="N356" s="144"/>
      <c r="O356" s="144"/>
      <c r="P356" s="144"/>
      <c r="Q356" s="144"/>
      <c r="R356" s="144"/>
      <c r="S356" s="144"/>
      <c r="T356" s="144"/>
      <c r="U356" s="144"/>
      <c r="V356" s="144"/>
      <c r="W356" s="144"/>
      <c r="Y356" s="144"/>
      <c r="Z356" s="144"/>
      <c r="AA356" s="144"/>
      <c r="AB356" s="144"/>
      <c r="AC356" s="144"/>
    </row>
    <row r="357" spans="1:29" x14ac:dyDescent="0.2">
      <c r="A357" s="144"/>
      <c r="B357" s="144"/>
      <c r="C357" s="144"/>
      <c r="D357" s="144"/>
      <c r="E357" s="144"/>
      <c r="F357" s="144"/>
      <c r="G357" s="144"/>
      <c r="H357" s="144"/>
      <c r="I357" s="144"/>
      <c r="J357" s="144"/>
      <c r="K357" s="144"/>
      <c r="M357" s="144"/>
      <c r="N357" s="144"/>
      <c r="O357" s="144"/>
      <c r="P357" s="144"/>
      <c r="Q357" s="144"/>
      <c r="R357" s="144"/>
      <c r="S357" s="144"/>
      <c r="T357" s="144"/>
      <c r="U357" s="144"/>
      <c r="V357" s="144"/>
      <c r="W357" s="144"/>
      <c r="Y357" s="144"/>
      <c r="Z357" s="144"/>
      <c r="AA357" s="144"/>
      <c r="AB357" s="144"/>
      <c r="AC357" s="144"/>
    </row>
    <row r="358" spans="1:29" x14ac:dyDescent="0.2">
      <c r="A358" s="144"/>
      <c r="B358" s="144"/>
      <c r="C358" s="144"/>
      <c r="D358" s="144"/>
      <c r="E358" s="144"/>
      <c r="F358" s="144"/>
      <c r="G358" s="144"/>
      <c r="H358" s="144"/>
      <c r="I358" s="144"/>
      <c r="J358" s="144"/>
      <c r="K358" s="144"/>
      <c r="M358" s="144"/>
      <c r="N358" s="144"/>
      <c r="O358" s="144"/>
      <c r="P358" s="144"/>
      <c r="Q358" s="144"/>
      <c r="R358" s="144"/>
      <c r="S358" s="144"/>
      <c r="T358" s="144"/>
      <c r="U358" s="144"/>
      <c r="V358" s="144"/>
      <c r="W358" s="144"/>
      <c r="Y358" s="144"/>
      <c r="Z358" s="144"/>
      <c r="AA358" s="144"/>
      <c r="AB358" s="144"/>
      <c r="AC358" s="144"/>
    </row>
    <row r="359" spans="1:29" x14ac:dyDescent="0.2">
      <c r="A359" s="144"/>
      <c r="B359" s="144"/>
      <c r="C359" s="144"/>
      <c r="D359" s="144"/>
      <c r="E359" s="144"/>
      <c r="F359" s="144"/>
      <c r="G359" s="144"/>
      <c r="H359" s="144"/>
      <c r="I359" s="144"/>
      <c r="J359" s="144"/>
      <c r="K359" s="144"/>
      <c r="M359" s="144"/>
      <c r="N359" s="144"/>
      <c r="O359" s="144"/>
      <c r="P359" s="144"/>
      <c r="Q359" s="144"/>
      <c r="R359" s="144"/>
      <c r="S359" s="144"/>
      <c r="T359" s="144"/>
      <c r="U359" s="144"/>
      <c r="V359" s="144"/>
      <c r="W359" s="144"/>
      <c r="Y359" s="144"/>
      <c r="Z359" s="144"/>
      <c r="AA359" s="144"/>
      <c r="AB359" s="144"/>
      <c r="AC359" s="144"/>
    </row>
    <row r="360" spans="1:29" x14ac:dyDescent="0.2">
      <c r="A360" s="144"/>
      <c r="B360" s="144"/>
      <c r="C360" s="144"/>
      <c r="D360" s="144"/>
      <c r="E360" s="144"/>
      <c r="F360" s="144"/>
      <c r="G360" s="144"/>
      <c r="H360" s="144"/>
      <c r="I360" s="144"/>
      <c r="J360" s="144"/>
      <c r="K360" s="144"/>
      <c r="M360" s="144"/>
      <c r="N360" s="144"/>
      <c r="O360" s="144"/>
      <c r="P360" s="144"/>
      <c r="Q360" s="144"/>
      <c r="R360" s="144"/>
      <c r="S360" s="144"/>
      <c r="T360" s="144"/>
      <c r="U360" s="144"/>
      <c r="V360" s="144"/>
      <c r="W360" s="144"/>
      <c r="Y360" s="144"/>
      <c r="Z360" s="144"/>
      <c r="AA360" s="144"/>
      <c r="AB360" s="144"/>
      <c r="AC360" s="144"/>
    </row>
    <row r="361" spans="1:29" x14ac:dyDescent="0.2">
      <c r="A361" s="144"/>
      <c r="B361" s="144"/>
      <c r="C361" s="144"/>
      <c r="D361" s="144"/>
      <c r="E361" s="144"/>
      <c r="F361" s="144"/>
      <c r="G361" s="144"/>
      <c r="H361" s="144"/>
      <c r="I361" s="144"/>
      <c r="J361" s="144"/>
      <c r="K361" s="144"/>
      <c r="M361" s="144"/>
      <c r="N361" s="144"/>
      <c r="O361" s="144"/>
      <c r="P361" s="144"/>
      <c r="Q361" s="144"/>
      <c r="R361" s="144"/>
      <c r="S361" s="144"/>
      <c r="T361" s="144"/>
      <c r="U361" s="144"/>
      <c r="V361" s="144"/>
      <c r="W361" s="144"/>
      <c r="Y361" s="144"/>
      <c r="Z361" s="144"/>
      <c r="AA361" s="144"/>
      <c r="AB361" s="144"/>
      <c r="AC361" s="144"/>
    </row>
    <row r="362" spans="1:29" x14ac:dyDescent="0.2">
      <c r="A362" s="144"/>
      <c r="B362" s="144"/>
      <c r="C362" s="144"/>
      <c r="D362" s="144"/>
      <c r="E362" s="144"/>
      <c r="F362" s="144"/>
      <c r="G362" s="144"/>
      <c r="H362" s="144"/>
      <c r="I362" s="144"/>
      <c r="J362" s="144"/>
      <c r="K362" s="144"/>
      <c r="M362" s="144"/>
      <c r="N362" s="144"/>
      <c r="O362" s="144"/>
      <c r="P362" s="144"/>
      <c r="Q362" s="144"/>
      <c r="R362" s="144"/>
      <c r="S362" s="144"/>
      <c r="T362" s="144"/>
      <c r="U362" s="144"/>
      <c r="V362" s="144"/>
      <c r="W362" s="144"/>
      <c r="Y362" s="144"/>
      <c r="Z362" s="144"/>
      <c r="AA362" s="144"/>
      <c r="AB362" s="144"/>
      <c r="AC362" s="144"/>
    </row>
    <row r="363" spans="1:29" x14ac:dyDescent="0.2">
      <c r="A363" s="144"/>
      <c r="B363" s="144"/>
      <c r="C363" s="144"/>
      <c r="D363" s="144"/>
      <c r="E363" s="144"/>
      <c r="F363" s="144"/>
      <c r="G363" s="144"/>
      <c r="H363" s="144"/>
      <c r="I363" s="144"/>
      <c r="J363" s="144"/>
      <c r="K363" s="144"/>
      <c r="M363" s="144"/>
      <c r="N363" s="144"/>
      <c r="O363" s="144"/>
      <c r="P363" s="144"/>
      <c r="Q363" s="144"/>
      <c r="R363" s="144"/>
      <c r="S363" s="144"/>
      <c r="T363" s="144"/>
      <c r="U363" s="144"/>
      <c r="V363" s="144"/>
      <c r="W363" s="144"/>
      <c r="Y363" s="144"/>
      <c r="Z363" s="144"/>
      <c r="AA363" s="144"/>
      <c r="AB363" s="144"/>
      <c r="AC363" s="144"/>
    </row>
    <row r="364" spans="1:29" x14ac:dyDescent="0.2">
      <c r="A364" s="144"/>
      <c r="B364" s="144"/>
      <c r="C364" s="144"/>
      <c r="D364" s="144"/>
      <c r="E364" s="144"/>
      <c r="F364" s="144"/>
      <c r="G364" s="144"/>
      <c r="H364" s="144"/>
      <c r="I364" s="144"/>
      <c r="J364" s="144"/>
      <c r="K364" s="144"/>
      <c r="M364" s="144"/>
      <c r="N364" s="144"/>
      <c r="O364" s="144"/>
      <c r="P364" s="144"/>
      <c r="Q364" s="144"/>
      <c r="R364" s="144"/>
      <c r="S364" s="144"/>
      <c r="T364" s="144"/>
      <c r="U364" s="144"/>
      <c r="V364" s="144"/>
      <c r="W364" s="144"/>
      <c r="Y364" s="144"/>
      <c r="Z364" s="144"/>
      <c r="AA364" s="144"/>
      <c r="AB364" s="144"/>
      <c r="AC364" s="144"/>
    </row>
    <row r="365" spans="1:29" x14ac:dyDescent="0.2">
      <c r="A365" s="144"/>
      <c r="B365" s="144"/>
      <c r="C365" s="144"/>
      <c r="D365" s="144"/>
      <c r="E365" s="144"/>
      <c r="F365" s="144"/>
      <c r="G365" s="144"/>
      <c r="H365" s="144"/>
      <c r="I365" s="144"/>
      <c r="J365" s="144"/>
      <c r="K365" s="144"/>
      <c r="M365" s="144"/>
      <c r="N365" s="144"/>
      <c r="O365" s="144"/>
      <c r="P365" s="144"/>
      <c r="Q365" s="144"/>
      <c r="R365" s="144"/>
      <c r="S365" s="144"/>
      <c r="T365" s="144"/>
      <c r="U365" s="144"/>
      <c r="V365" s="144"/>
      <c r="W365" s="144"/>
      <c r="Y365" s="144"/>
      <c r="Z365" s="144"/>
      <c r="AA365" s="144"/>
      <c r="AB365" s="144"/>
      <c r="AC365" s="144"/>
    </row>
    <row r="366" spans="1:29" x14ac:dyDescent="0.2">
      <c r="A366" s="144"/>
      <c r="B366" s="144"/>
      <c r="C366" s="144"/>
      <c r="D366" s="144"/>
      <c r="E366" s="144"/>
      <c r="F366" s="144"/>
      <c r="G366" s="144"/>
      <c r="H366" s="144"/>
      <c r="I366" s="144"/>
      <c r="J366" s="144"/>
      <c r="K366" s="144"/>
      <c r="M366" s="144"/>
      <c r="N366" s="144"/>
      <c r="O366" s="144"/>
      <c r="P366" s="144"/>
      <c r="Q366" s="144"/>
      <c r="R366" s="144"/>
      <c r="S366" s="144"/>
      <c r="T366" s="144"/>
      <c r="U366" s="144"/>
      <c r="V366" s="144"/>
      <c r="W366" s="144"/>
      <c r="Y366" s="144"/>
      <c r="Z366" s="144"/>
      <c r="AA366" s="144"/>
      <c r="AB366" s="144"/>
      <c r="AC366" s="144"/>
    </row>
    <row r="367" spans="1:29" x14ac:dyDescent="0.2">
      <c r="A367" s="144"/>
      <c r="B367" s="144"/>
      <c r="C367" s="144"/>
      <c r="D367" s="144"/>
      <c r="E367" s="144"/>
      <c r="F367" s="144"/>
      <c r="G367" s="144"/>
      <c r="H367" s="144"/>
      <c r="I367" s="144"/>
      <c r="J367" s="144"/>
      <c r="K367" s="144"/>
      <c r="M367" s="144"/>
      <c r="N367" s="144"/>
      <c r="O367" s="144"/>
      <c r="P367" s="144"/>
      <c r="Q367" s="144"/>
      <c r="R367" s="144"/>
      <c r="S367" s="144"/>
      <c r="T367" s="144"/>
      <c r="U367" s="144"/>
      <c r="V367" s="144"/>
      <c r="W367" s="144"/>
      <c r="Y367" s="144"/>
      <c r="Z367" s="144"/>
      <c r="AA367" s="144"/>
      <c r="AB367" s="144"/>
      <c r="AC367" s="144"/>
    </row>
    <row r="368" spans="1:29" x14ac:dyDescent="0.2">
      <c r="A368" s="144"/>
      <c r="B368" s="144"/>
      <c r="C368" s="144"/>
      <c r="D368" s="144"/>
      <c r="E368" s="144"/>
      <c r="F368" s="144"/>
      <c r="G368" s="144"/>
      <c r="H368" s="144"/>
      <c r="I368" s="144"/>
      <c r="J368" s="144"/>
      <c r="K368" s="144"/>
      <c r="M368" s="144"/>
      <c r="N368" s="144"/>
      <c r="O368" s="144"/>
      <c r="P368" s="144"/>
      <c r="Q368" s="144"/>
      <c r="R368" s="144"/>
      <c r="S368" s="144"/>
      <c r="T368" s="144"/>
      <c r="U368" s="144"/>
      <c r="V368" s="144"/>
      <c r="W368" s="144"/>
      <c r="Y368" s="144"/>
      <c r="Z368" s="144"/>
      <c r="AA368" s="144"/>
      <c r="AB368" s="144"/>
      <c r="AC368" s="144"/>
    </row>
    <row r="369" spans="1:29" x14ac:dyDescent="0.2">
      <c r="A369" s="144"/>
      <c r="B369" s="144"/>
      <c r="C369" s="144"/>
      <c r="D369" s="144"/>
      <c r="E369" s="144"/>
      <c r="F369" s="144"/>
      <c r="G369" s="144"/>
      <c r="H369" s="144"/>
      <c r="I369" s="144"/>
      <c r="J369" s="144"/>
      <c r="K369" s="144"/>
      <c r="M369" s="144"/>
      <c r="N369" s="144"/>
      <c r="O369" s="144"/>
      <c r="P369" s="144"/>
      <c r="Q369" s="144"/>
      <c r="R369" s="144"/>
      <c r="S369" s="144"/>
      <c r="T369" s="144"/>
      <c r="U369" s="144"/>
      <c r="V369" s="144"/>
      <c r="W369" s="144"/>
      <c r="Y369" s="144"/>
      <c r="Z369" s="144"/>
      <c r="AA369" s="144"/>
      <c r="AB369" s="144"/>
      <c r="AC369" s="144"/>
    </row>
    <row r="370" spans="1:29" x14ac:dyDescent="0.2">
      <c r="A370" s="144"/>
      <c r="B370" s="144"/>
      <c r="C370" s="144"/>
      <c r="D370" s="144"/>
      <c r="E370" s="144"/>
      <c r="F370" s="144"/>
      <c r="G370" s="144"/>
      <c r="H370" s="144"/>
      <c r="I370" s="144"/>
      <c r="J370" s="144"/>
      <c r="K370" s="144"/>
      <c r="M370" s="144"/>
      <c r="N370" s="144"/>
      <c r="O370" s="144"/>
      <c r="P370" s="144"/>
      <c r="Q370" s="144"/>
      <c r="R370" s="144"/>
      <c r="S370" s="144"/>
      <c r="T370" s="144"/>
      <c r="U370" s="144"/>
      <c r="V370" s="144"/>
      <c r="W370" s="144"/>
      <c r="Y370" s="144"/>
      <c r="Z370" s="144"/>
      <c r="AA370" s="144"/>
      <c r="AB370" s="144"/>
      <c r="AC370" s="144"/>
    </row>
    <row r="371" spans="1:29" x14ac:dyDescent="0.2">
      <c r="A371" s="144"/>
      <c r="B371" s="144"/>
      <c r="C371" s="144"/>
      <c r="D371" s="144"/>
      <c r="E371" s="144"/>
      <c r="F371" s="144"/>
      <c r="G371" s="144"/>
      <c r="H371" s="144"/>
      <c r="I371" s="144"/>
      <c r="J371" s="144"/>
      <c r="K371" s="144"/>
      <c r="M371" s="144"/>
      <c r="N371" s="144"/>
      <c r="O371" s="144"/>
      <c r="P371" s="144"/>
      <c r="Q371" s="144"/>
      <c r="R371" s="144"/>
      <c r="S371" s="144"/>
      <c r="T371" s="144"/>
      <c r="U371" s="144"/>
      <c r="V371" s="144"/>
      <c r="W371" s="144"/>
      <c r="Y371" s="144"/>
      <c r="Z371" s="144"/>
      <c r="AA371" s="144"/>
      <c r="AB371" s="144"/>
      <c r="AC371" s="144"/>
    </row>
    <row r="372" spans="1:29" x14ac:dyDescent="0.2">
      <c r="A372" s="144"/>
      <c r="B372" s="144"/>
      <c r="C372" s="144"/>
      <c r="D372" s="144"/>
      <c r="E372" s="144"/>
      <c r="F372" s="144"/>
      <c r="G372" s="144"/>
      <c r="H372" s="144"/>
      <c r="I372" s="144"/>
      <c r="J372" s="144"/>
      <c r="K372" s="144"/>
      <c r="M372" s="144"/>
      <c r="N372" s="144"/>
      <c r="O372" s="144"/>
      <c r="P372" s="144"/>
      <c r="Q372" s="144"/>
      <c r="R372" s="144"/>
      <c r="S372" s="144"/>
      <c r="T372" s="144"/>
      <c r="U372" s="144"/>
      <c r="V372" s="144"/>
      <c r="W372" s="144"/>
      <c r="Y372" s="144"/>
      <c r="Z372" s="144"/>
      <c r="AA372" s="144"/>
      <c r="AB372" s="144"/>
      <c r="AC372" s="144"/>
    </row>
    <row r="373" spans="1:29" x14ac:dyDescent="0.2">
      <c r="A373" s="144"/>
      <c r="B373" s="144"/>
      <c r="C373" s="144"/>
      <c r="D373" s="144"/>
      <c r="E373" s="144"/>
      <c r="F373" s="144"/>
      <c r="G373" s="144"/>
      <c r="H373" s="144"/>
      <c r="I373" s="144"/>
      <c r="J373" s="144"/>
      <c r="K373" s="144"/>
      <c r="M373" s="144"/>
      <c r="N373" s="144"/>
      <c r="O373" s="144"/>
      <c r="P373" s="144"/>
      <c r="Q373" s="144"/>
      <c r="R373" s="144"/>
      <c r="S373" s="144"/>
      <c r="T373" s="144"/>
      <c r="U373" s="144"/>
      <c r="V373" s="144"/>
      <c r="W373" s="144"/>
      <c r="Y373" s="144"/>
      <c r="Z373" s="144"/>
      <c r="AA373" s="144"/>
      <c r="AB373" s="144"/>
      <c r="AC373" s="144"/>
    </row>
    <row r="374" spans="1:29" x14ac:dyDescent="0.2">
      <c r="A374" s="144"/>
      <c r="B374" s="144"/>
      <c r="C374" s="144"/>
      <c r="D374" s="144"/>
      <c r="E374" s="144"/>
      <c r="F374" s="144"/>
      <c r="G374" s="144"/>
      <c r="H374" s="144"/>
      <c r="I374" s="144"/>
      <c r="J374" s="144"/>
      <c r="K374" s="144"/>
      <c r="M374" s="144"/>
      <c r="N374" s="144"/>
      <c r="O374" s="144"/>
      <c r="P374" s="144"/>
      <c r="Q374" s="144"/>
      <c r="R374" s="144"/>
      <c r="S374" s="144"/>
      <c r="T374" s="144"/>
      <c r="U374" s="144"/>
      <c r="V374" s="144"/>
      <c r="W374" s="144"/>
      <c r="Y374" s="144"/>
      <c r="Z374" s="144"/>
      <c r="AA374" s="144"/>
      <c r="AB374" s="144"/>
      <c r="AC374" s="144"/>
    </row>
    <row r="375" spans="1:29" x14ac:dyDescent="0.2">
      <c r="A375" s="144"/>
      <c r="B375" s="144"/>
      <c r="C375" s="144"/>
      <c r="D375" s="144"/>
      <c r="E375" s="144"/>
      <c r="F375" s="144"/>
      <c r="G375" s="144"/>
      <c r="H375" s="144"/>
      <c r="I375" s="144"/>
      <c r="J375" s="144"/>
      <c r="K375" s="144"/>
      <c r="M375" s="144"/>
      <c r="N375" s="144"/>
      <c r="O375" s="144"/>
      <c r="P375" s="144"/>
      <c r="Q375" s="144"/>
      <c r="R375" s="144"/>
      <c r="S375" s="144"/>
      <c r="T375" s="144"/>
      <c r="U375" s="144"/>
      <c r="V375" s="144"/>
      <c r="W375" s="144"/>
      <c r="Y375" s="144"/>
      <c r="Z375" s="144"/>
      <c r="AA375" s="144"/>
      <c r="AB375" s="144"/>
      <c r="AC375" s="144"/>
    </row>
    <row r="376" spans="1:29" x14ac:dyDescent="0.2">
      <c r="A376" s="144"/>
      <c r="B376" s="144"/>
      <c r="C376" s="144"/>
      <c r="D376" s="144"/>
      <c r="E376" s="144"/>
      <c r="F376" s="144"/>
      <c r="G376" s="144"/>
      <c r="H376" s="144"/>
      <c r="I376" s="144"/>
      <c r="J376" s="144"/>
      <c r="K376" s="144"/>
      <c r="M376" s="144"/>
      <c r="N376" s="144"/>
      <c r="O376" s="144"/>
      <c r="P376" s="144"/>
      <c r="Q376" s="144"/>
      <c r="R376" s="144"/>
      <c r="S376" s="144"/>
      <c r="T376" s="144"/>
      <c r="U376" s="144"/>
      <c r="V376" s="144"/>
      <c r="W376" s="144"/>
      <c r="Y376" s="144"/>
      <c r="Z376" s="144"/>
      <c r="AA376" s="144"/>
      <c r="AB376" s="144"/>
      <c r="AC376" s="144"/>
    </row>
    <row r="377" spans="1:29" x14ac:dyDescent="0.2">
      <c r="A377" s="144"/>
      <c r="B377" s="144"/>
      <c r="C377" s="144"/>
      <c r="D377" s="144"/>
      <c r="E377" s="144"/>
      <c r="F377" s="144"/>
      <c r="G377" s="144"/>
      <c r="H377" s="144"/>
      <c r="I377" s="144"/>
      <c r="J377" s="144"/>
      <c r="K377" s="144"/>
      <c r="M377" s="144"/>
      <c r="N377" s="144"/>
      <c r="O377" s="144"/>
      <c r="P377" s="144"/>
      <c r="Q377" s="144"/>
      <c r="R377" s="144"/>
      <c r="S377" s="144"/>
      <c r="T377" s="144"/>
      <c r="U377" s="144"/>
      <c r="V377" s="144"/>
      <c r="W377" s="144"/>
      <c r="Y377" s="144"/>
      <c r="Z377" s="144"/>
      <c r="AA377" s="144"/>
      <c r="AB377" s="144"/>
      <c r="AC377" s="144"/>
    </row>
    <row r="378" spans="1:29" x14ac:dyDescent="0.2">
      <c r="A378" s="144"/>
      <c r="B378" s="144"/>
      <c r="C378" s="144"/>
      <c r="D378" s="144"/>
      <c r="E378" s="144"/>
      <c r="F378" s="144"/>
      <c r="G378" s="144"/>
      <c r="H378" s="144"/>
      <c r="I378" s="144"/>
      <c r="J378" s="144"/>
      <c r="K378" s="144"/>
      <c r="M378" s="144"/>
      <c r="N378" s="144"/>
      <c r="O378" s="144"/>
      <c r="P378" s="144"/>
      <c r="Q378" s="144"/>
      <c r="R378" s="144"/>
      <c r="S378" s="144"/>
      <c r="T378" s="144"/>
      <c r="U378" s="144"/>
      <c r="V378" s="144"/>
      <c r="W378" s="144"/>
      <c r="Y378" s="144"/>
      <c r="Z378" s="144"/>
      <c r="AA378" s="144"/>
      <c r="AB378" s="144"/>
      <c r="AC378" s="144"/>
    </row>
    <row r="379" spans="1:29" x14ac:dyDescent="0.2">
      <c r="A379" s="144"/>
      <c r="B379" s="144"/>
      <c r="C379" s="144"/>
      <c r="D379" s="144"/>
      <c r="E379" s="144"/>
      <c r="F379" s="144"/>
      <c r="G379" s="144"/>
      <c r="H379" s="144"/>
      <c r="I379" s="144"/>
      <c r="J379" s="144"/>
      <c r="K379" s="144"/>
      <c r="M379" s="144"/>
      <c r="N379" s="144"/>
      <c r="O379" s="144"/>
      <c r="P379" s="144"/>
      <c r="Q379" s="144"/>
      <c r="R379" s="144"/>
      <c r="S379" s="144"/>
      <c r="T379" s="144"/>
      <c r="U379" s="144"/>
      <c r="V379" s="144"/>
      <c r="W379" s="144"/>
      <c r="Y379" s="144"/>
      <c r="Z379" s="144"/>
      <c r="AA379" s="144"/>
      <c r="AB379" s="144"/>
      <c r="AC379" s="144"/>
    </row>
    <row r="380" spans="1:29" x14ac:dyDescent="0.2">
      <c r="A380" s="144"/>
      <c r="B380" s="144"/>
      <c r="C380" s="144"/>
      <c r="D380" s="144"/>
      <c r="E380" s="144"/>
      <c r="F380" s="144"/>
      <c r="G380" s="144"/>
      <c r="H380" s="144"/>
      <c r="I380" s="144"/>
      <c r="J380" s="144"/>
      <c r="K380" s="144"/>
      <c r="M380" s="144"/>
      <c r="N380" s="144"/>
      <c r="O380" s="144"/>
      <c r="P380" s="144"/>
      <c r="Q380" s="144"/>
      <c r="R380" s="144"/>
      <c r="S380" s="144"/>
      <c r="T380" s="144"/>
      <c r="U380" s="144"/>
      <c r="V380" s="144"/>
      <c r="W380" s="144"/>
      <c r="Y380" s="144"/>
      <c r="Z380" s="144"/>
      <c r="AA380" s="144"/>
      <c r="AB380" s="144"/>
      <c r="AC380" s="144"/>
    </row>
    <row r="381" spans="1:29" x14ac:dyDescent="0.2">
      <c r="A381" s="144"/>
      <c r="B381" s="144"/>
      <c r="C381" s="144"/>
      <c r="D381" s="144"/>
      <c r="E381" s="144"/>
      <c r="F381" s="144"/>
      <c r="G381" s="144"/>
      <c r="H381" s="144"/>
      <c r="I381" s="144"/>
      <c r="J381" s="144"/>
      <c r="K381" s="144"/>
      <c r="M381" s="144"/>
      <c r="N381" s="144"/>
      <c r="O381" s="144"/>
      <c r="P381" s="144"/>
      <c r="Q381" s="144"/>
      <c r="R381" s="144"/>
      <c r="S381" s="144"/>
      <c r="T381" s="144"/>
      <c r="U381" s="144"/>
      <c r="V381" s="144"/>
      <c r="W381" s="144"/>
      <c r="Y381" s="144"/>
      <c r="Z381" s="144"/>
      <c r="AA381" s="144"/>
      <c r="AB381" s="144"/>
      <c r="AC381" s="144"/>
    </row>
    <row r="382" spans="1:29" x14ac:dyDescent="0.2">
      <c r="A382" s="144"/>
      <c r="B382" s="144"/>
      <c r="C382" s="144"/>
      <c r="D382" s="144"/>
      <c r="E382" s="144"/>
      <c r="F382" s="144"/>
      <c r="G382" s="144"/>
      <c r="H382" s="144"/>
      <c r="I382" s="144"/>
      <c r="J382" s="144"/>
      <c r="K382" s="144"/>
      <c r="M382" s="144"/>
      <c r="N382" s="144"/>
      <c r="O382" s="144"/>
      <c r="P382" s="144"/>
      <c r="Q382" s="144"/>
      <c r="R382" s="144"/>
      <c r="S382" s="144"/>
      <c r="T382" s="144"/>
      <c r="U382" s="144"/>
      <c r="V382" s="144"/>
      <c r="W382" s="144"/>
      <c r="Y382" s="144"/>
      <c r="Z382" s="144"/>
      <c r="AA382" s="144"/>
      <c r="AB382" s="144"/>
      <c r="AC382" s="144"/>
    </row>
    <row r="383" spans="1:29" x14ac:dyDescent="0.2">
      <c r="A383" s="144"/>
      <c r="B383" s="144"/>
      <c r="C383" s="144"/>
      <c r="D383" s="144"/>
      <c r="E383" s="144"/>
      <c r="F383" s="144"/>
      <c r="G383" s="144"/>
      <c r="H383" s="144"/>
      <c r="I383" s="144"/>
      <c r="J383" s="144"/>
      <c r="K383" s="144"/>
      <c r="M383" s="144"/>
      <c r="N383" s="144"/>
      <c r="O383" s="144"/>
      <c r="P383" s="144"/>
      <c r="Q383" s="144"/>
      <c r="R383" s="144"/>
      <c r="S383" s="144"/>
      <c r="T383" s="144"/>
      <c r="U383" s="144"/>
      <c r="V383" s="144"/>
      <c r="W383" s="144"/>
      <c r="Y383" s="144"/>
      <c r="Z383" s="144"/>
      <c r="AA383" s="144"/>
      <c r="AB383" s="144"/>
      <c r="AC383" s="144"/>
    </row>
    <row r="384" spans="1:29" x14ac:dyDescent="0.2">
      <c r="A384" s="144"/>
      <c r="B384" s="144"/>
      <c r="C384" s="144"/>
      <c r="D384" s="144"/>
      <c r="E384" s="144"/>
      <c r="F384" s="144"/>
      <c r="G384" s="144"/>
      <c r="H384" s="144"/>
      <c r="I384" s="144"/>
      <c r="J384" s="144"/>
      <c r="K384" s="144"/>
      <c r="M384" s="144"/>
      <c r="N384" s="144"/>
      <c r="O384" s="144"/>
      <c r="P384" s="144"/>
      <c r="Q384" s="144"/>
      <c r="R384" s="144"/>
      <c r="S384" s="144"/>
      <c r="T384" s="144"/>
      <c r="U384" s="144"/>
      <c r="V384" s="144"/>
      <c r="W384" s="144"/>
      <c r="Y384" s="144"/>
      <c r="Z384" s="144"/>
      <c r="AA384" s="144"/>
      <c r="AB384" s="144"/>
      <c r="AC384" s="144"/>
    </row>
    <row r="385" spans="1:29" x14ac:dyDescent="0.2">
      <c r="A385" s="144"/>
      <c r="B385" s="144"/>
      <c r="C385" s="144"/>
      <c r="D385" s="144"/>
      <c r="E385" s="144"/>
      <c r="F385" s="144"/>
      <c r="G385" s="144"/>
      <c r="H385" s="144"/>
      <c r="I385" s="144"/>
      <c r="J385" s="144"/>
      <c r="K385" s="144"/>
      <c r="M385" s="144"/>
      <c r="N385" s="144"/>
      <c r="O385" s="144"/>
      <c r="P385" s="144"/>
      <c r="Q385" s="144"/>
      <c r="R385" s="144"/>
      <c r="S385" s="144"/>
      <c r="T385" s="144"/>
      <c r="U385" s="144"/>
      <c r="V385" s="144"/>
      <c r="W385" s="144"/>
      <c r="Y385" s="144"/>
      <c r="Z385" s="144"/>
      <c r="AA385" s="144"/>
      <c r="AB385" s="144"/>
      <c r="AC385" s="144"/>
    </row>
    <row r="386" spans="1:29" x14ac:dyDescent="0.2">
      <c r="A386" s="144"/>
      <c r="B386" s="144"/>
      <c r="C386" s="144"/>
      <c r="D386" s="144"/>
      <c r="E386" s="144"/>
      <c r="F386" s="144"/>
      <c r="G386" s="144"/>
      <c r="H386" s="144"/>
      <c r="I386" s="144"/>
      <c r="J386" s="144"/>
      <c r="K386" s="144"/>
      <c r="M386" s="144"/>
      <c r="N386" s="144"/>
      <c r="O386" s="144"/>
      <c r="P386" s="144"/>
      <c r="Q386" s="144"/>
      <c r="R386" s="144"/>
      <c r="S386" s="144"/>
      <c r="T386" s="144"/>
      <c r="U386" s="144"/>
      <c r="V386" s="144"/>
      <c r="W386" s="144"/>
      <c r="Y386" s="144"/>
      <c r="Z386" s="144"/>
      <c r="AA386" s="144"/>
      <c r="AB386" s="144"/>
      <c r="AC386" s="144"/>
    </row>
    <row r="387" spans="1:29" x14ac:dyDescent="0.2">
      <c r="A387" s="144"/>
      <c r="B387" s="144"/>
      <c r="C387" s="144"/>
      <c r="D387" s="144"/>
      <c r="E387" s="144"/>
      <c r="F387" s="144"/>
      <c r="G387" s="144"/>
      <c r="H387" s="144"/>
      <c r="I387" s="144"/>
      <c r="J387" s="144"/>
      <c r="K387" s="144"/>
      <c r="M387" s="144"/>
      <c r="N387" s="144"/>
      <c r="O387" s="144"/>
      <c r="P387" s="144"/>
      <c r="Q387" s="144"/>
      <c r="R387" s="144"/>
      <c r="S387" s="144"/>
      <c r="T387" s="144"/>
      <c r="U387" s="144"/>
      <c r="V387" s="144"/>
      <c r="W387" s="144"/>
      <c r="Y387" s="144"/>
      <c r="Z387" s="144"/>
      <c r="AA387" s="144"/>
      <c r="AB387" s="144"/>
      <c r="AC387" s="144"/>
    </row>
    <row r="388" spans="1:29" x14ac:dyDescent="0.2">
      <c r="A388" s="144"/>
      <c r="B388" s="144"/>
      <c r="C388" s="144"/>
      <c r="D388" s="144"/>
      <c r="E388" s="144"/>
      <c r="F388" s="144"/>
      <c r="G388" s="144"/>
      <c r="H388" s="144"/>
      <c r="I388" s="144"/>
      <c r="J388" s="144"/>
      <c r="K388" s="144"/>
      <c r="M388" s="144"/>
      <c r="N388" s="144"/>
      <c r="O388" s="144"/>
      <c r="P388" s="144"/>
      <c r="Q388" s="144"/>
      <c r="R388" s="144"/>
      <c r="S388" s="144"/>
      <c r="T388" s="144"/>
      <c r="U388" s="144"/>
      <c r="V388" s="144"/>
      <c r="W388" s="144"/>
      <c r="Y388" s="144"/>
      <c r="Z388" s="144"/>
      <c r="AA388" s="144"/>
      <c r="AB388" s="144"/>
      <c r="AC388" s="144"/>
    </row>
    <row r="389" spans="1:29" x14ac:dyDescent="0.2">
      <c r="A389" s="144"/>
      <c r="B389" s="144"/>
      <c r="C389" s="144"/>
      <c r="D389" s="144"/>
      <c r="E389" s="144"/>
      <c r="F389" s="144"/>
      <c r="G389" s="144"/>
      <c r="H389" s="144"/>
      <c r="I389" s="144"/>
      <c r="J389" s="144"/>
      <c r="K389" s="144"/>
      <c r="M389" s="144"/>
      <c r="N389" s="144"/>
      <c r="O389" s="144"/>
      <c r="P389" s="144"/>
      <c r="Q389" s="144"/>
      <c r="R389" s="144"/>
      <c r="S389" s="144"/>
      <c r="T389" s="144"/>
      <c r="U389" s="144"/>
      <c r="V389" s="144"/>
      <c r="W389" s="144"/>
      <c r="Y389" s="144"/>
      <c r="Z389" s="144"/>
      <c r="AA389" s="144"/>
      <c r="AB389" s="144"/>
      <c r="AC389" s="144"/>
    </row>
    <row r="390" spans="1:29" x14ac:dyDescent="0.2">
      <c r="A390" s="144"/>
      <c r="B390" s="144"/>
      <c r="C390" s="144"/>
      <c r="D390" s="144"/>
      <c r="E390" s="144"/>
      <c r="F390" s="144"/>
      <c r="G390" s="144"/>
      <c r="H390" s="144"/>
      <c r="I390" s="144"/>
      <c r="J390" s="144"/>
      <c r="K390" s="144"/>
      <c r="M390" s="144"/>
      <c r="N390" s="144"/>
      <c r="O390" s="144"/>
      <c r="P390" s="144"/>
      <c r="Q390" s="144"/>
      <c r="R390" s="144"/>
      <c r="S390" s="144"/>
      <c r="T390" s="144"/>
      <c r="U390" s="144"/>
      <c r="V390" s="144"/>
      <c r="W390" s="144"/>
      <c r="Y390" s="144"/>
      <c r="Z390" s="144"/>
      <c r="AA390" s="144"/>
      <c r="AB390" s="144"/>
      <c r="AC390" s="144"/>
    </row>
    <row r="391" spans="1:29" x14ac:dyDescent="0.2">
      <c r="A391" s="144"/>
      <c r="B391" s="144"/>
      <c r="C391" s="144"/>
      <c r="D391" s="144"/>
      <c r="E391" s="144"/>
      <c r="F391" s="144"/>
      <c r="G391" s="144"/>
      <c r="H391" s="144"/>
      <c r="I391" s="144"/>
      <c r="J391" s="144"/>
      <c r="K391" s="144"/>
      <c r="M391" s="144"/>
      <c r="N391" s="144"/>
      <c r="O391" s="144"/>
      <c r="P391" s="144"/>
      <c r="Q391" s="144"/>
      <c r="R391" s="144"/>
      <c r="S391" s="144"/>
      <c r="T391" s="144"/>
      <c r="U391" s="144"/>
      <c r="V391" s="144"/>
      <c r="W391" s="144"/>
      <c r="Y391" s="144"/>
      <c r="Z391" s="144"/>
      <c r="AA391" s="144"/>
      <c r="AB391" s="144"/>
      <c r="AC391" s="144"/>
    </row>
    <row r="392" spans="1:29" x14ac:dyDescent="0.2">
      <c r="A392" s="144"/>
      <c r="B392" s="144"/>
      <c r="C392" s="144"/>
      <c r="D392" s="144"/>
      <c r="E392" s="144"/>
      <c r="F392" s="144"/>
      <c r="G392" s="144"/>
      <c r="H392" s="144"/>
      <c r="I392" s="144"/>
      <c r="J392" s="144"/>
      <c r="K392" s="144"/>
      <c r="M392" s="144"/>
      <c r="N392" s="144"/>
      <c r="O392" s="144"/>
      <c r="P392" s="144"/>
      <c r="Q392" s="144"/>
      <c r="R392" s="144"/>
      <c r="S392" s="144"/>
      <c r="T392" s="144"/>
      <c r="U392" s="144"/>
      <c r="V392" s="144"/>
      <c r="W392" s="144"/>
      <c r="Y392" s="144"/>
      <c r="Z392" s="144"/>
      <c r="AA392" s="144"/>
      <c r="AB392" s="144"/>
      <c r="AC392" s="144"/>
    </row>
    <row r="393" spans="1:29" x14ac:dyDescent="0.2">
      <c r="A393" s="144"/>
      <c r="B393" s="144"/>
      <c r="C393" s="144"/>
      <c r="D393" s="144"/>
      <c r="E393" s="144"/>
      <c r="F393" s="144"/>
      <c r="G393" s="144"/>
      <c r="H393" s="144"/>
      <c r="I393" s="144"/>
      <c r="J393" s="144"/>
      <c r="K393" s="144"/>
      <c r="M393" s="144"/>
      <c r="N393" s="144"/>
      <c r="O393" s="144"/>
      <c r="P393" s="144"/>
      <c r="Q393" s="144"/>
      <c r="R393" s="144"/>
      <c r="S393" s="144"/>
      <c r="T393" s="144"/>
      <c r="U393" s="144"/>
      <c r="V393" s="144"/>
      <c r="W393" s="144"/>
      <c r="Y393" s="144"/>
      <c r="Z393" s="144"/>
      <c r="AA393" s="144"/>
      <c r="AB393" s="144"/>
      <c r="AC393" s="144"/>
    </row>
    <row r="394" spans="1:29" x14ac:dyDescent="0.2">
      <c r="A394" s="144"/>
      <c r="B394" s="144"/>
      <c r="C394" s="144"/>
      <c r="D394" s="144"/>
      <c r="E394" s="144"/>
      <c r="F394" s="144"/>
      <c r="G394" s="144"/>
      <c r="H394" s="144"/>
      <c r="I394" s="144"/>
      <c r="J394" s="144"/>
      <c r="K394" s="144"/>
      <c r="M394" s="144"/>
      <c r="N394" s="144"/>
      <c r="O394" s="144"/>
      <c r="P394" s="144"/>
      <c r="Q394" s="144"/>
      <c r="R394" s="144"/>
      <c r="S394" s="144"/>
      <c r="T394" s="144"/>
      <c r="U394" s="144"/>
      <c r="V394" s="144"/>
      <c r="W394" s="144"/>
      <c r="Y394" s="144"/>
      <c r="Z394" s="144"/>
      <c r="AA394" s="144"/>
      <c r="AB394" s="144"/>
      <c r="AC394" s="144"/>
    </row>
    <row r="395" spans="1:29" x14ac:dyDescent="0.2">
      <c r="A395" s="144"/>
      <c r="B395" s="144"/>
      <c r="C395" s="144"/>
      <c r="D395" s="144"/>
      <c r="E395" s="144"/>
      <c r="F395" s="144"/>
      <c r="G395" s="144"/>
      <c r="H395" s="144"/>
      <c r="I395" s="144"/>
      <c r="J395" s="144"/>
      <c r="K395" s="144"/>
      <c r="M395" s="144"/>
      <c r="N395" s="144"/>
      <c r="O395" s="144"/>
      <c r="P395" s="144"/>
      <c r="Q395" s="144"/>
      <c r="R395" s="144"/>
      <c r="S395" s="144"/>
      <c r="T395" s="144"/>
      <c r="U395" s="144"/>
      <c r="V395" s="144"/>
      <c r="W395" s="144"/>
      <c r="Y395" s="144"/>
      <c r="Z395" s="144"/>
      <c r="AA395" s="144"/>
      <c r="AB395" s="144"/>
      <c r="AC395" s="144"/>
    </row>
    <row r="396" spans="1:29" x14ac:dyDescent="0.2">
      <c r="A396" s="144"/>
      <c r="B396" s="144"/>
      <c r="C396" s="144"/>
      <c r="D396" s="144"/>
      <c r="E396" s="144"/>
      <c r="F396" s="144"/>
      <c r="G396" s="144"/>
      <c r="H396" s="144"/>
      <c r="I396" s="144"/>
      <c r="J396" s="144"/>
      <c r="K396" s="144"/>
      <c r="M396" s="144"/>
      <c r="N396" s="144"/>
      <c r="O396" s="144"/>
      <c r="P396" s="144"/>
      <c r="Q396" s="144"/>
      <c r="R396" s="144"/>
      <c r="S396" s="144"/>
      <c r="T396" s="144"/>
      <c r="U396" s="144"/>
      <c r="V396" s="144"/>
      <c r="W396" s="144"/>
      <c r="Y396" s="144"/>
      <c r="Z396" s="144"/>
      <c r="AA396" s="144"/>
      <c r="AB396" s="144"/>
      <c r="AC396" s="144"/>
    </row>
    <row r="397" spans="1:29" x14ac:dyDescent="0.2">
      <c r="A397" s="144"/>
      <c r="B397" s="144"/>
      <c r="C397" s="144"/>
      <c r="D397" s="144"/>
      <c r="E397" s="144"/>
      <c r="F397" s="144"/>
      <c r="G397" s="144"/>
      <c r="H397" s="144"/>
      <c r="I397" s="144"/>
      <c r="J397" s="144"/>
      <c r="K397" s="144"/>
      <c r="M397" s="144"/>
      <c r="N397" s="144"/>
      <c r="O397" s="144"/>
      <c r="P397" s="144"/>
      <c r="Q397" s="144"/>
      <c r="R397" s="144"/>
      <c r="S397" s="144"/>
      <c r="T397" s="144"/>
      <c r="U397" s="144"/>
      <c r="V397" s="144"/>
      <c r="W397" s="144"/>
      <c r="Y397" s="144"/>
      <c r="Z397" s="144"/>
      <c r="AA397" s="144"/>
      <c r="AB397" s="144"/>
      <c r="AC397" s="144"/>
    </row>
    <row r="398" spans="1:29" x14ac:dyDescent="0.2">
      <c r="A398" s="144"/>
      <c r="B398" s="144"/>
      <c r="C398" s="144"/>
      <c r="D398" s="144"/>
      <c r="E398" s="144"/>
      <c r="F398" s="144"/>
      <c r="G398" s="144"/>
      <c r="H398" s="144"/>
      <c r="I398" s="144"/>
      <c r="J398" s="144"/>
      <c r="K398" s="144"/>
      <c r="M398" s="144"/>
      <c r="N398" s="144"/>
      <c r="O398" s="144"/>
      <c r="P398" s="144"/>
      <c r="Q398" s="144"/>
      <c r="R398" s="144"/>
      <c r="S398" s="144"/>
      <c r="T398" s="144"/>
      <c r="U398" s="144"/>
      <c r="V398" s="144"/>
      <c r="W398" s="144"/>
      <c r="Y398" s="144"/>
      <c r="Z398" s="144"/>
      <c r="AA398" s="144"/>
      <c r="AB398" s="144"/>
      <c r="AC398" s="144"/>
    </row>
    <row r="399" spans="1:29" x14ac:dyDescent="0.2">
      <c r="A399" s="144"/>
      <c r="B399" s="144"/>
      <c r="C399" s="144"/>
      <c r="D399" s="144"/>
      <c r="E399" s="144"/>
      <c r="F399" s="144"/>
      <c r="G399" s="144"/>
      <c r="H399" s="144"/>
      <c r="I399" s="144"/>
      <c r="J399" s="144"/>
      <c r="K399" s="144"/>
      <c r="M399" s="144"/>
      <c r="N399" s="144"/>
      <c r="O399" s="144"/>
      <c r="P399" s="144"/>
      <c r="Q399" s="144"/>
      <c r="R399" s="144"/>
      <c r="S399" s="144"/>
      <c r="T399" s="144"/>
      <c r="U399" s="144"/>
      <c r="V399" s="144"/>
      <c r="W399" s="144"/>
      <c r="Y399" s="144"/>
      <c r="Z399" s="144"/>
      <c r="AA399" s="144"/>
      <c r="AB399" s="144"/>
      <c r="AC399" s="144"/>
    </row>
    <row r="400" spans="1:29" x14ac:dyDescent="0.2">
      <c r="A400" s="144"/>
      <c r="B400" s="144"/>
      <c r="C400" s="144"/>
      <c r="D400" s="144"/>
      <c r="E400" s="144"/>
      <c r="F400" s="144"/>
      <c r="G400" s="144"/>
      <c r="H400" s="144"/>
      <c r="I400" s="144"/>
      <c r="J400" s="144"/>
      <c r="K400" s="144"/>
      <c r="M400" s="144"/>
      <c r="N400" s="144"/>
      <c r="O400" s="144"/>
      <c r="P400" s="144"/>
      <c r="Q400" s="144"/>
      <c r="R400" s="144"/>
      <c r="S400" s="144"/>
      <c r="T400" s="144"/>
      <c r="U400" s="144"/>
      <c r="V400" s="144"/>
      <c r="W400" s="144"/>
      <c r="Y400" s="144"/>
      <c r="Z400" s="144"/>
      <c r="AA400" s="144"/>
      <c r="AB400" s="144"/>
      <c r="AC400" s="144"/>
    </row>
    <row r="401" spans="1:29" x14ac:dyDescent="0.2">
      <c r="A401" s="144"/>
      <c r="B401" s="144"/>
      <c r="C401" s="144"/>
      <c r="D401" s="144"/>
      <c r="E401" s="144"/>
      <c r="F401" s="144"/>
      <c r="G401" s="144"/>
      <c r="H401" s="144"/>
      <c r="I401" s="144"/>
      <c r="J401" s="144"/>
      <c r="K401" s="144"/>
      <c r="M401" s="144"/>
      <c r="N401" s="144"/>
      <c r="O401" s="144"/>
      <c r="P401" s="144"/>
      <c r="Q401" s="144"/>
      <c r="R401" s="144"/>
      <c r="S401" s="144"/>
      <c r="T401" s="144"/>
      <c r="U401" s="144"/>
      <c r="V401" s="144"/>
      <c r="W401" s="144"/>
      <c r="Y401" s="144"/>
      <c r="Z401" s="144"/>
      <c r="AA401" s="144"/>
      <c r="AB401" s="144"/>
      <c r="AC401" s="144"/>
    </row>
    <row r="402" spans="1:29" x14ac:dyDescent="0.2">
      <c r="A402" s="144"/>
      <c r="B402" s="144"/>
      <c r="C402" s="144"/>
      <c r="D402" s="144"/>
      <c r="E402" s="144"/>
      <c r="F402" s="144"/>
      <c r="G402" s="144"/>
      <c r="H402" s="144"/>
      <c r="I402" s="144"/>
      <c r="J402" s="144"/>
      <c r="K402" s="144"/>
      <c r="M402" s="144"/>
      <c r="N402" s="144"/>
      <c r="O402" s="144"/>
      <c r="P402" s="144"/>
      <c r="Q402" s="144"/>
      <c r="R402" s="144"/>
      <c r="S402" s="144"/>
      <c r="T402" s="144"/>
      <c r="U402" s="144"/>
      <c r="V402" s="144"/>
      <c r="W402" s="144"/>
      <c r="Y402" s="144"/>
      <c r="Z402" s="144"/>
      <c r="AA402" s="144"/>
      <c r="AB402" s="144"/>
      <c r="AC402" s="144"/>
    </row>
    <row r="403" spans="1:29" x14ac:dyDescent="0.2">
      <c r="A403" s="144"/>
      <c r="B403" s="144"/>
      <c r="C403" s="144"/>
      <c r="D403" s="144"/>
      <c r="E403" s="144"/>
      <c r="F403" s="144"/>
      <c r="G403" s="144"/>
      <c r="H403" s="144"/>
      <c r="I403" s="144"/>
      <c r="J403" s="144"/>
      <c r="K403" s="144"/>
      <c r="M403" s="144"/>
      <c r="N403" s="144"/>
      <c r="O403" s="144"/>
      <c r="P403" s="144"/>
      <c r="Q403" s="144"/>
      <c r="R403" s="144"/>
      <c r="S403" s="144"/>
      <c r="T403" s="144"/>
      <c r="U403" s="144"/>
      <c r="V403" s="144"/>
      <c r="W403" s="144"/>
      <c r="Y403" s="144"/>
      <c r="Z403" s="144"/>
      <c r="AA403" s="144"/>
      <c r="AB403" s="144"/>
      <c r="AC403" s="144"/>
    </row>
    <row r="404" spans="1:29" x14ac:dyDescent="0.2">
      <c r="A404" s="144"/>
      <c r="B404" s="144"/>
      <c r="C404" s="144"/>
      <c r="D404" s="144"/>
      <c r="E404" s="144"/>
      <c r="F404" s="144"/>
      <c r="G404" s="144"/>
      <c r="H404" s="144"/>
      <c r="I404" s="144"/>
      <c r="J404" s="144"/>
      <c r="K404" s="144"/>
      <c r="M404" s="144"/>
      <c r="N404" s="144"/>
      <c r="O404" s="144"/>
      <c r="P404" s="144"/>
      <c r="Q404" s="144"/>
      <c r="R404" s="144"/>
      <c r="S404" s="144"/>
      <c r="T404" s="144"/>
      <c r="U404" s="144"/>
      <c r="V404" s="144"/>
      <c r="W404" s="144"/>
      <c r="Y404" s="144"/>
      <c r="Z404" s="144"/>
      <c r="AA404" s="144"/>
      <c r="AB404" s="144"/>
      <c r="AC404" s="144"/>
    </row>
    <row r="405" spans="1:29" x14ac:dyDescent="0.2">
      <c r="A405" s="144"/>
      <c r="B405" s="144"/>
      <c r="C405" s="144"/>
      <c r="D405" s="144"/>
      <c r="E405" s="144"/>
      <c r="F405" s="144"/>
      <c r="G405" s="144"/>
      <c r="H405" s="144"/>
      <c r="I405" s="144"/>
      <c r="J405" s="144"/>
      <c r="K405" s="144"/>
      <c r="M405" s="144"/>
      <c r="N405" s="144"/>
      <c r="O405" s="144"/>
      <c r="P405" s="144"/>
      <c r="Q405" s="144"/>
      <c r="R405" s="144"/>
      <c r="S405" s="144"/>
      <c r="T405" s="144"/>
      <c r="U405" s="144"/>
      <c r="V405" s="144"/>
      <c r="W405" s="144"/>
      <c r="Y405" s="144"/>
      <c r="Z405" s="144"/>
      <c r="AA405" s="144"/>
      <c r="AB405" s="144"/>
      <c r="AC405" s="144"/>
    </row>
    <row r="406" spans="1:29" x14ac:dyDescent="0.2">
      <c r="A406" s="144"/>
      <c r="B406" s="144"/>
      <c r="C406" s="144"/>
      <c r="D406" s="144"/>
      <c r="E406" s="144"/>
      <c r="F406" s="144"/>
      <c r="G406" s="144"/>
      <c r="H406" s="144"/>
      <c r="I406" s="144"/>
      <c r="J406" s="144"/>
      <c r="K406" s="144"/>
      <c r="M406" s="144"/>
      <c r="N406" s="144"/>
      <c r="O406" s="144"/>
      <c r="P406" s="144"/>
      <c r="Q406" s="144"/>
      <c r="R406" s="144"/>
      <c r="S406" s="144"/>
      <c r="T406" s="144"/>
      <c r="U406" s="144"/>
      <c r="V406" s="144"/>
      <c r="W406" s="144"/>
      <c r="Y406" s="144"/>
      <c r="Z406" s="144"/>
      <c r="AA406" s="144"/>
      <c r="AB406" s="144"/>
      <c r="AC406" s="144"/>
    </row>
    <row r="407" spans="1:29" x14ac:dyDescent="0.2">
      <c r="A407" s="144"/>
      <c r="B407" s="144"/>
      <c r="C407" s="144"/>
      <c r="D407" s="144"/>
      <c r="E407" s="144"/>
      <c r="F407" s="144"/>
      <c r="G407" s="144"/>
      <c r="H407" s="144"/>
      <c r="I407" s="144"/>
      <c r="J407" s="144"/>
      <c r="K407" s="144"/>
      <c r="M407" s="144"/>
      <c r="N407" s="144"/>
      <c r="O407" s="144"/>
      <c r="P407" s="144"/>
      <c r="Q407" s="144"/>
      <c r="R407" s="144"/>
      <c r="S407" s="144"/>
      <c r="T407" s="144"/>
      <c r="U407" s="144"/>
      <c r="V407" s="144"/>
      <c r="W407" s="144"/>
      <c r="Y407" s="144"/>
      <c r="Z407" s="144"/>
      <c r="AA407" s="144"/>
      <c r="AB407" s="144"/>
      <c r="AC407" s="144"/>
    </row>
    <row r="408" spans="1:29" x14ac:dyDescent="0.2">
      <c r="A408" s="144"/>
      <c r="B408" s="144"/>
      <c r="C408" s="144"/>
      <c r="D408" s="144"/>
      <c r="E408" s="144"/>
      <c r="F408" s="144"/>
      <c r="G408" s="144"/>
      <c r="H408" s="144"/>
      <c r="I408" s="144"/>
      <c r="J408" s="144"/>
      <c r="K408" s="144"/>
      <c r="M408" s="144"/>
      <c r="N408" s="144"/>
      <c r="O408" s="144"/>
      <c r="P408" s="144"/>
      <c r="Q408" s="144"/>
      <c r="R408" s="144"/>
      <c r="S408" s="144"/>
      <c r="T408" s="144"/>
      <c r="U408" s="144"/>
      <c r="V408" s="144"/>
      <c r="W408" s="144"/>
      <c r="Y408" s="144"/>
      <c r="Z408" s="144"/>
      <c r="AA408" s="144"/>
      <c r="AB408" s="144"/>
      <c r="AC408" s="144"/>
    </row>
    <row r="409" spans="1:29" x14ac:dyDescent="0.2">
      <c r="A409" s="144"/>
      <c r="B409" s="144"/>
      <c r="C409" s="144"/>
      <c r="D409" s="144"/>
      <c r="E409" s="144"/>
      <c r="F409" s="144"/>
      <c r="G409" s="144"/>
      <c r="H409" s="144"/>
      <c r="I409" s="144"/>
      <c r="J409" s="144"/>
      <c r="K409" s="144"/>
      <c r="M409" s="144"/>
      <c r="N409" s="144"/>
      <c r="O409" s="144"/>
      <c r="P409" s="144"/>
      <c r="Q409" s="144"/>
      <c r="R409" s="144"/>
      <c r="S409" s="144"/>
      <c r="T409" s="144"/>
      <c r="U409" s="144"/>
      <c r="V409" s="144"/>
      <c r="W409" s="144"/>
      <c r="Y409" s="144"/>
      <c r="Z409" s="144"/>
      <c r="AA409" s="144"/>
      <c r="AB409" s="144"/>
      <c r="AC409" s="144"/>
    </row>
    <row r="410" spans="1:29" x14ac:dyDescent="0.2">
      <c r="A410" s="144"/>
      <c r="B410" s="144"/>
      <c r="C410" s="144"/>
      <c r="D410" s="144"/>
      <c r="E410" s="144"/>
      <c r="F410" s="144"/>
      <c r="G410" s="144"/>
      <c r="H410" s="144"/>
      <c r="I410" s="144"/>
      <c r="J410" s="144"/>
      <c r="K410" s="144"/>
      <c r="M410" s="144"/>
      <c r="N410" s="144"/>
      <c r="O410" s="144"/>
      <c r="P410" s="144"/>
      <c r="Q410" s="144"/>
      <c r="R410" s="144"/>
      <c r="S410" s="144"/>
      <c r="T410" s="144"/>
      <c r="U410" s="144"/>
      <c r="V410" s="144"/>
      <c r="W410" s="144"/>
      <c r="Y410" s="144"/>
      <c r="Z410" s="144"/>
      <c r="AA410" s="144"/>
      <c r="AB410" s="144"/>
      <c r="AC410" s="144"/>
    </row>
    <row r="411" spans="1:29" x14ac:dyDescent="0.2">
      <c r="A411" s="144"/>
      <c r="B411" s="144"/>
      <c r="C411" s="144"/>
      <c r="D411" s="144"/>
      <c r="E411" s="144"/>
      <c r="F411" s="144"/>
      <c r="G411" s="144"/>
      <c r="H411" s="144"/>
      <c r="I411" s="144"/>
      <c r="J411" s="144"/>
      <c r="K411" s="144"/>
      <c r="M411" s="144"/>
      <c r="N411" s="144"/>
      <c r="O411" s="144"/>
      <c r="P411" s="144"/>
      <c r="Q411" s="144"/>
      <c r="R411" s="144"/>
      <c r="S411" s="144"/>
      <c r="T411" s="144"/>
      <c r="U411" s="144"/>
      <c r="V411" s="144"/>
      <c r="W411" s="144"/>
      <c r="Y411" s="144"/>
      <c r="Z411" s="144"/>
      <c r="AA411" s="144"/>
      <c r="AB411" s="144"/>
      <c r="AC411" s="144"/>
    </row>
    <row r="412" spans="1:29" x14ac:dyDescent="0.2">
      <c r="A412" s="144"/>
      <c r="B412" s="144"/>
      <c r="C412" s="144"/>
      <c r="D412" s="144"/>
      <c r="E412" s="144"/>
      <c r="F412" s="144"/>
      <c r="G412" s="144"/>
      <c r="H412" s="144"/>
      <c r="I412" s="144"/>
      <c r="J412" s="144"/>
      <c r="K412" s="144"/>
      <c r="M412" s="144"/>
      <c r="N412" s="144"/>
      <c r="O412" s="144"/>
      <c r="P412" s="144"/>
      <c r="Q412" s="144"/>
      <c r="R412" s="144"/>
      <c r="S412" s="144"/>
      <c r="T412" s="144"/>
      <c r="U412" s="144"/>
      <c r="V412" s="144"/>
      <c r="W412" s="144"/>
      <c r="Y412" s="144"/>
      <c r="Z412" s="144"/>
      <c r="AA412" s="144"/>
      <c r="AB412" s="144"/>
      <c r="AC412" s="144"/>
    </row>
    <row r="413" spans="1:29" x14ac:dyDescent="0.2">
      <c r="A413" s="144"/>
      <c r="B413" s="144"/>
      <c r="C413" s="144"/>
      <c r="D413" s="144"/>
      <c r="E413" s="144"/>
      <c r="F413" s="144"/>
      <c r="G413" s="144"/>
      <c r="H413" s="144"/>
      <c r="I413" s="144"/>
      <c r="J413" s="144"/>
      <c r="K413" s="144"/>
      <c r="M413" s="144"/>
      <c r="N413" s="144"/>
      <c r="O413" s="144"/>
      <c r="P413" s="144"/>
      <c r="Q413" s="144"/>
      <c r="R413" s="144"/>
      <c r="S413" s="144"/>
      <c r="T413" s="144"/>
      <c r="U413" s="144"/>
      <c r="V413" s="144"/>
      <c r="W413" s="144"/>
      <c r="Y413" s="144"/>
      <c r="Z413" s="144"/>
      <c r="AA413" s="144"/>
      <c r="AB413" s="144"/>
      <c r="AC413" s="144"/>
    </row>
    <row r="414" spans="1:29" x14ac:dyDescent="0.2">
      <c r="A414" s="144"/>
      <c r="B414" s="144"/>
      <c r="C414" s="144"/>
      <c r="D414" s="144"/>
      <c r="E414" s="144"/>
      <c r="F414" s="144"/>
      <c r="G414" s="144"/>
      <c r="H414" s="144"/>
      <c r="I414" s="144"/>
      <c r="J414" s="144"/>
      <c r="K414" s="144"/>
      <c r="M414" s="144"/>
      <c r="N414" s="144"/>
      <c r="O414" s="144"/>
      <c r="P414" s="144"/>
      <c r="Q414" s="144"/>
      <c r="R414" s="144"/>
      <c r="S414" s="144"/>
      <c r="T414" s="144"/>
      <c r="U414" s="144"/>
      <c r="V414" s="144"/>
      <c r="W414" s="144"/>
      <c r="Y414" s="144"/>
      <c r="Z414" s="144"/>
      <c r="AA414" s="144"/>
      <c r="AB414" s="144"/>
      <c r="AC414" s="144"/>
    </row>
    <row r="415" spans="1:29" x14ac:dyDescent="0.2">
      <c r="A415" s="144"/>
      <c r="B415" s="144"/>
      <c r="C415" s="144"/>
      <c r="D415" s="144"/>
      <c r="E415" s="144"/>
      <c r="F415" s="144"/>
      <c r="G415" s="144"/>
      <c r="H415" s="144"/>
      <c r="I415" s="144"/>
      <c r="J415" s="144"/>
      <c r="K415" s="144"/>
      <c r="M415" s="144"/>
      <c r="N415" s="144"/>
      <c r="O415" s="144"/>
      <c r="P415" s="144"/>
      <c r="Q415" s="144"/>
      <c r="R415" s="144"/>
      <c r="S415" s="144"/>
      <c r="T415" s="144"/>
      <c r="U415" s="144"/>
      <c r="V415" s="144"/>
      <c r="W415" s="144"/>
      <c r="Y415" s="144"/>
      <c r="Z415" s="144"/>
      <c r="AA415" s="144"/>
      <c r="AB415" s="144"/>
      <c r="AC415" s="144"/>
    </row>
    <row r="416" spans="1:29" x14ac:dyDescent="0.2">
      <c r="A416" s="144"/>
      <c r="B416" s="144"/>
      <c r="C416" s="144"/>
      <c r="D416" s="144"/>
      <c r="E416" s="144"/>
      <c r="F416" s="144"/>
      <c r="G416" s="144"/>
      <c r="H416" s="144"/>
      <c r="I416" s="144"/>
      <c r="J416" s="144"/>
      <c r="K416" s="144"/>
      <c r="M416" s="144"/>
      <c r="N416" s="144"/>
      <c r="O416" s="144"/>
      <c r="P416" s="144"/>
      <c r="Q416" s="144"/>
      <c r="R416" s="144"/>
      <c r="S416" s="144"/>
      <c r="T416" s="144"/>
      <c r="U416" s="144"/>
      <c r="V416" s="144"/>
      <c r="W416" s="144"/>
      <c r="Y416" s="144"/>
      <c r="Z416" s="144"/>
      <c r="AA416" s="144"/>
      <c r="AB416" s="144"/>
      <c r="AC416" s="144"/>
    </row>
    <row r="417" spans="1:29" x14ac:dyDescent="0.2">
      <c r="A417" s="144"/>
      <c r="B417" s="144"/>
      <c r="C417" s="144"/>
      <c r="D417" s="144"/>
      <c r="E417" s="144"/>
      <c r="F417" s="144"/>
      <c r="G417" s="144"/>
      <c r="H417" s="144"/>
      <c r="I417" s="144"/>
      <c r="J417" s="144"/>
      <c r="K417" s="144"/>
      <c r="M417" s="144"/>
      <c r="N417" s="144"/>
      <c r="O417" s="144"/>
      <c r="P417" s="144"/>
      <c r="Q417" s="144"/>
      <c r="R417" s="144"/>
      <c r="S417" s="144"/>
      <c r="T417" s="144"/>
      <c r="U417" s="144"/>
      <c r="V417" s="144"/>
      <c r="W417" s="144"/>
      <c r="Y417" s="144"/>
      <c r="Z417" s="144"/>
      <c r="AA417" s="144"/>
      <c r="AB417" s="144"/>
      <c r="AC417" s="144"/>
    </row>
    <row r="418" spans="1:29" x14ac:dyDescent="0.2">
      <c r="A418" s="144"/>
      <c r="B418" s="144"/>
      <c r="C418" s="144"/>
      <c r="D418" s="144"/>
      <c r="E418" s="144"/>
      <c r="F418" s="144"/>
      <c r="G418" s="144"/>
      <c r="H418" s="144"/>
      <c r="I418" s="144"/>
      <c r="J418" s="144"/>
      <c r="K418" s="144"/>
      <c r="M418" s="144"/>
      <c r="N418" s="144"/>
      <c r="O418" s="144"/>
      <c r="P418" s="144"/>
      <c r="Q418" s="144"/>
      <c r="R418" s="144"/>
      <c r="S418" s="144"/>
      <c r="T418" s="144"/>
      <c r="U418" s="144"/>
      <c r="V418" s="144"/>
      <c r="W418" s="144"/>
      <c r="Y418" s="144"/>
      <c r="Z418" s="144"/>
      <c r="AA418" s="144"/>
      <c r="AB418" s="144"/>
      <c r="AC418" s="144"/>
    </row>
    <row r="419" spans="1:29" x14ac:dyDescent="0.2">
      <c r="A419" s="144"/>
      <c r="B419" s="144"/>
      <c r="C419" s="144"/>
      <c r="D419" s="144"/>
      <c r="E419" s="144"/>
      <c r="F419" s="144"/>
      <c r="G419" s="144"/>
      <c r="H419" s="144"/>
      <c r="I419" s="144"/>
      <c r="J419" s="144"/>
      <c r="K419" s="144"/>
      <c r="M419" s="144"/>
      <c r="N419" s="144"/>
      <c r="O419" s="144"/>
      <c r="P419" s="144"/>
      <c r="Q419" s="144"/>
      <c r="R419" s="144"/>
      <c r="S419" s="144"/>
      <c r="T419" s="144"/>
      <c r="U419" s="144"/>
      <c r="V419" s="144"/>
      <c r="W419" s="144"/>
      <c r="Y419" s="144"/>
      <c r="Z419" s="144"/>
      <c r="AA419" s="144"/>
      <c r="AB419" s="144"/>
      <c r="AC419" s="144"/>
    </row>
    <row r="420" spans="1:29" x14ac:dyDescent="0.2">
      <c r="A420" s="144"/>
      <c r="B420" s="144"/>
      <c r="C420" s="144"/>
      <c r="D420" s="144"/>
      <c r="E420" s="144"/>
      <c r="F420" s="144"/>
      <c r="G420" s="144"/>
      <c r="H420" s="144"/>
      <c r="I420" s="144"/>
      <c r="J420" s="144"/>
      <c r="K420" s="144"/>
      <c r="M420" s="144"/>
      <c r="N420" s="144"/>
      <c r="O420" s="144"/>
      <c r="P420" s="144"/>
      <c r="Q420" s="144"/>
      <c r="R420" s="144"/>
      <c r="S420" s="144"/>
      <c r="T420" s="144"/>
      <c r="U420" s="144"/>
      <c r="V420" s="144"/>
      <c r="W420" s="144"/>
      <c r="Y420" s="144"/>
      <c r="Z420" s="144"/>
      <c r="AA420" s="144"/>
      <c r="AB420" s="144"/>
      <c r="AC420" s="144"/>
    </row>
    <row r="421" spans="1:29" x14ac:dyDescent="0.2">
      <c r="A421" s="144"/>
      <c r="B421" s="144"/>
      <c r="C421" s="144"/>
      <c r="D421" s="144"/>
      <c r="E421" s="144"/>
      <c r="F421" s="144"/>
      <c r="G421" s="144"/>
      <c r="H421" s="144"/>
      <c r="I421" s="144"/>
      <c r="J421" s="144"/>
      <c r="K421" s="144"/>
      <c r="M421" s="144"/>
      <c r="N421" s="144"/>
      <c r="O421" s="144"/>
      <c r="P421" s="144"/>
      <c r="Q421" s="144"/>
      <c r="R421" s="144"/>
      <c r="S421" s="144"/>
      <c r="T421" s="144"/>
      <c r="U421" s="144"/>
      <c r="V421" s="144"/>
      <c r="W421" s="144"/>
      <c r="Y421" s="144"/>
      <c r="Z421" s="144"/>
      <c r="AA421" s="144"/>
      <c r="AB421" s="144"/>
      <c r="AC421" s="144"/>
    </row>
    <row r="422" spans="1:29" x14ac:dyDescent="0.2">
      <c r="A422" s="144"/>
      <c r="B422" s="144"/>
      <c r="C422" s="144"/>
      <c r="D422" s="144"/>
      <c r="E422" s="144"/>
      <c r="F422" s="144"/>
      <c r="G422" s="144"/>
      <c r="H422" s="144"/>
      <c r="I422" s="144"/>
      <c r="J422" s="144"/>
      <c r="K422" s="144"/>
      <c r="M422" s="144"/>
      <c r="N422" s="144"/>
      <c r="O422" s="144"/>
      <c r="P422" s="144"/>
      <c r="Q422" s="144"/>
      <c r="R422" s="144"/>
      <c r="S422" s="144"/>
      <c r="T422" s="144"/>
      <c r="U422" s="144"/>
      <c r="V422" s="144"/>
      <c r="W422" s="144"/>
      <c r="Y422" s="144"/>
      <c r="Z422" s="144"/>
      <c r="AA422" s="144"/>
      <c r="AB422" s="144"/>
      <c r="AC422" s="144"/>
    </row>
    <row r="423" spans="1:29" x14ac:dyDescent="0.2">
      <c r="A423" s="144"/>
      <c r="B423" s="144"/>
      <c r="C423" s="144"/>
      <c r="D423" s="144"/>
      <c r="E423" s="144"/>
      <c r="F423" s="144"/>
      <c r="G423" s="144"/>
      <c r="H423" s="144"/>
      <c r="I423" s="144"/>
      <c r="J423" s="144"/>
      <c r="K423" s="144"/>
      <c r="M423" s="144"/>
      <c r="N423" s="144"/>
      <c r="O423" s="144"/>
      <c r="P423" s="144"/>
      <c r="Q423" s="144"/>
      <c r="R423" s="144"/>
      <c r="S423" s="144"/>
      <c r="T423" s="144"/>
      <c r="U423" s="144"/>
      <c r="V423" s="144"/>
      <c r="W423" s="144"/>
      <c r="Y423" s="144"/>
      <c r="Z423" s="144"/>
      <c r="AA423" s="144"/>
      <c r="AB423" s="144"/>
      <c r="AC423" s="144"/>
    </row>
    <row r="424" spans="1:29" x14ac:dyDescent="0.2">
      <c r="A424" s="144"/>
      <c r="B424" s="144"/>
      <c r="C424" s="144"/>
      <c r="D424" s="144"/>
      <c r="E424" s="144"/>
      <c r="F424" s="144"/>
      <c r="G424" s="144"/>
      <c r="H424" s="144"/>
      <c r="I424" s="144"/>
      <c r="J424" s="144"/>
      <c r="K424" s="144"/>
      <c r="M424" s="144"/>
      <c r="N424" s="144"/>
      <c r="O424" s="144"/>
      <c r="P424" s="144"/>
      <c r="Q424" s="144"/>
      <c r="R424" s="144"/>
      <c r="S424" s="144"/>
      <c r="T424" s="144"/>
      <c r="U424" s="144"/>
      <c r="V424" s="144"/>
      <c r="W424" s="144"/>
      <c r="Y424" s="144"/>
      <c r="Z424" s="144"/>
      <c r="AA424" s="144"/>
      <c r="AB424" s="144"/>
      <c r="AC424" s="144"/>
    </row>
    <row r="425" spans="1:29" x14ac:dyDescent="0.2">
      <c r="A425" s="144"/>
      <c r="B425" s="144"/>
      <c r="C425" s="144"/>
      <c r="D425" s="144"/>
      <c r="E425" s="144"/>
      <c r="F425" s="144"/>
      <c r="G425" s="144"/>
      <c r="H425" s="144"/>
      <c r="I425" s="144"/>
      <c r="J425" s="144"/>
      <c r="K425" s="144"/>
      <c r="M425" s="144"/>
      <c r="N425" s="144"/>
      <c r="O425" s="144"/>
      <c r="P425" s="144"/>
      <c r="Q425" s="144"/>
      <c r="R425" s="144"/>
      <c r="S425" s="144"/>
      <c r="T425" s="144"/>
      <c r="U425" s="144"/>
      <c r="V425" s="144"/>
      <c r="W425" s="144"/>
      <c r="Y425" s="144"/>
      <c r="Z425" s="144"/>
      <c r="AA425" s="144"/>
      <c r="AB425" s="144"/>
      <c r="AC425" s="144"/>
    </row>
    <row r="426" spans="1:29" x14ac:dyDescent="0.2">
      <c r="A426" s="144"/>
      <c r="B426" s="144"/>
      <c r="C426" s="144"/>
      <c r="D426" s="144"/>
      <c r="E426" s="144"/>
      <c r="F426" s="144"/>
      <c r="G426" s="144"/>
      <c r="H426" s="144"/>
      <c r="I426" s="144"/>
      <c r="J426" s="144"/>
      <c r="K426" s="144"/>
      <c r="M426" s="144"/>
      <c r="N426" s="144"/>
      <c r="O426" s="144"/>
      <c r="P426" s="144"/>
      <c r="Q426" s="144"/>
      <c r="R426" s="144"/>
      <c r="S426" s="144"/>
      <c r="T426" s="144"/>
      <c r="U426" s="144"/>
      <c r="V426" s="144"/>
      <c r="W426" s="144"/>
      <c r="Y426" s="144"/>
      <c r="Z426" s="144"/>
      <c r="AA426" s="144"/>
      <c r="AB426" s="144"/>
      <c r="AC426" s="144"/>
    </row>
    <row r="427" spans="1:29" x14ac:dyDescent="0.2">
      <c r="A427" s="144"/>
      <c r="B427" s="144"/>
      <c r="C427" s="144"/>
      <c r="D427" s="144"/>
      <c r="E427" s="144"/>
      <c r="F427" s="144"/>
      <c r="G427" s="144"/>
      <c r="H427" s="144"/>
      <c r="I427" s="144"/>
      <c r="J427" s="144"/>
      <c r="K427" s="144"/>
      <c r="M427" s="144"/>
      <c r="N427" s="144"/>
      <c r="O427" s="144"/>
      <c r="P427" s="144"/>
      <c r="Q427" s="144"/>
      <c r="R427" s="144"/>
      <c r="S427" s="144"/>
      <c r="T427" s="144"/>
      <c r="U427" s="144"/>
      <c r="V427" s="144"/>
      <c r="W427" s="144"/>
      <c r="Y427" s="144"/>
      <c r="Z427" s="144"/>
      <c r="AA427" s="144"/>
      <c r="AB427" s="144"/>
      <c r="AC427" s="144"/>
    </row>
    <row r="428" spans="1:29" x14ac:dyDescent="0.2">
      <c r="A428" s="144"/>
      <c r="B428" s="144"/>
      <c r="C428" s="144"/>
      <c r="D428" s="144"/>
      <c r="E428" s="144"/>
      <c r="F428" s="144"/>
      <c r="G428" s="144"/>
      <c r="H428" s="144"/>
      <c r="I428" s="144"/>
      <c r="J428" s="144"/>
      <c r="K428" s="144"/>
      <c r="M428" s="144"/>
      <c r="N428" s="144"/>
      <c r="O428" s="144"/>
      <c r="P428" s="144"/>
      <c r="Q428" s="144"/>
      <c r="R428" s="144"/>
      <c r="S428" s="144"/>
      <c r="T428" s="144"/>
      <c r="U428" s="144"/>
      <c r="V428" s="144"/>
      <c r="W428" s="144"/>
      <c r="Y428" s="144"/>
      <c r="Z428" s="144"/>
      <c r="AA428" s="144"/>
      <c r="AB428" s="144"/>
      <c r="AC428" s="144"/>
    </row>
    <row r="429" spans="1:29" x14ac:dyDescent="0.2">
      <c r="A429" s="144"/>
      <c r="B429" s="144"/>
      <c r="C429" s="144"/>
      <c r="D429" s="144"/>
      <c r="E429" s="144"/>
      <c r="F429" s="144"/>
      <c r="G429" s="144"/>
      <c r="H429" s="144"/>
      <c r="I429" s="144"/>
      <c r="J429" s="144"/>
      <c r="K429" s="144"/>
      <c r="M429" s="144"/>
      <c r="N429" s="144"/>
      <c r="O429" s="144"/>
      <c r="P429" s="144"/>
      <c r="Q429" s="144"/>
      <c r="R429" s="144"/>
      <c r="S429" s="144"/>
      <c r="T429" s="144"/>
      <c r="U429" s="144"/>
      <c r="V429" s="144"/>
      <c r="W429" s="144"/>
      <c r="Y429" s="144"/>
      <c r="Z429" s="144"/>
      <c r="AA429" s="144"/>
      <c r="AB429" s="144"/>
      <c r="AC429" s="144"/>
    </row>
    <row r="430" spans="1:29" x14ac:dyDescent="0.2">
      <c r="A430" s="144"/>
      <c r="B430" s="144"/>
      <c r="C430" s="144"/>
      <c r="D430" s="144"/>
      <c r="E430" s="144"/>
      <c r="F430" s="144"/>
      <c r="G430" s="144"/>
      <c r="H430" s="144"/>
      <c r="I430" s="144"/>
      <c r="J430" s="144"/>
      <c r="K430" s="144"/>
      <c r="M430" s="144"/>
      <c r="N430" s="144"/>
      <c r="O430" s="144"/>
      <c r="P430" s="144"/>
      <c r="Q430" s="144"/>
      <c r="R430" s="144"/>
      <c r="S430" s="144"/>
      <c r="T430" s="144"/>
      <c r="U430" s="144"/>
      <c r="V430" s="144"/>
      <c r="W430" s="144"/>
      <c r="Y430" s="144"/>
      <c r="Z430" s="144"/>
      <c r="AA430" s="144"/>
      <c r="AB430" s="144"/>
      <c r="AC430" s="144"/>
    </row>
    <row r="431" spans="1:29" x14ac:dyDescent="0.2">
      <c r="A431" s="144"/>
      <c r="B431" s="144"/>
      <c r="C431" s="144"/>
      <c r="D431" s="144"/>
      <c r="E431" s="144"/>
      <c r="F431" s="144"/>
      <c r="G431" s="144"/>
      <c r="H431" s="144"/>
      <c r="I431" s="144"/>
      <c r="J431" s="144"/>
      <c r="K431" s="144"/>
      <c r="M431" s="144"/>
      <c r="N431" s="144"/>
      <c r="O431" s="144"/>
      <c r="P431" s="144"/>
      <c r="Q431" s="144"/>
      <c r="R431" s="144"/>
      <c r="S431" s="144"/>
      <c r="T431" s="144"/>
      <c r="U431" s="144"/>
      <c r="V431" s="144"/>
      <c r="W431" s="144"/>
      <c r="Y431" s="144"/>
      <c r="Z431" s="144"/>
      <c r="AA431" s="144"/>
      <c r="AB431" s="144"/>
      <c r="AC431" s="144"/>
    </row>
    <row r="432" spans="1:29" x14ac:dyDescent="0.2">
      <c r="A432" s="144"/>
      <c r="B432" s="144"/>
      <c r="C432" s="144"/>
      <c r="D432" s="144"/>
      <c r="E432" s="144"/>
      <c r="F432" s="144"/>
      <c r="G432" s="144"/>
      <c r="H432" s="144"/>
      <c r="I432" s="144"/>
      <c r="J432" s="144"/>
      <c r="K432" s="144"/>
      <c r="M432" s="144"/>
      <c r="N432" s="144"/>
      <c r="O432" s="144"/>
      <c r="P432" s="144"/>
      <c r="Q432" s="144"/>
      <c r="R432" s="144"/>
      <c r="S432" s="144"/>
      <c r="T432" s="144"/>
      <c r="U432" s="144"/>
      <c r="V432" s="144"/>
      <c r="W432" s="144"/>
      <c r="Y432" s="144"/>
      <c r="Z432" s="144"/>
      <c r="AA432" s="144"/>
      <c r="AB432" s="144"/>
      <c r="AC432" s="144"/>
    </row>
    <row r="433" spans="1:29" x14ac:dyDescent="0.2">
      <c r="A433" s="144"/>
      <c r="B433" s="144"/>
      <c r="C433" s="144"/>
      <c r="D433" s="144"/>
      <c r="E433" s="144"/>
      <c r="F433" s="144"/>
      <c r="G433" s="144"/>
      <c r="H433" s="144"/>
      <c r="I433" s="144"/>
      <c r="J433" s="144"/>
      <c r="K433" s="144"/>
      <c r="M433" s="144"/>
      <c r="N433" s="144"/>
      <c r="O433" s="144"/>
      <c r="P433" s="144"/>
      <c r="Q433" s="144"/>
      <c r="R433" s="144"/>
      <c r="S433" s="144"/>
      <c r="T433" s="144"/>
      <c r="U433" s="144"/>
      <c r="V433" s="144"/>
      <c r="W433" s="144"/>
      <c r="Y433" s="144"/>
      <c r="Z433" s="144"/>
      <c r="AA433" s="144"/>
      <c r="AB433" s="144"/>
      <c r="AC433" s="144"/>
    </row>
    <row r="434" spans="1:29" x14ac:dyDescent="0.2">
      <c r="A434" s="144"/>
      <c r="B434" s="144"/>
      <c r="C434" s="144"/>
      <c r="D434" s="144"/>
      <c r="E434" s="144"/>
      <c r="F434" s="144"/>
      <c r="G434" s="144"/>
      <c r="H434" s="144"/>
      <c r="I434" s="144"/>
      <c r="J434" s="144"/>
      <c r="K434" s="144"/>
      <c r="M434" s="144"/>
      <c r="N434" s="144"/>
      <c r="O434" s="144"/>
      <c r="P434" s="144"/>
      <c r="Q434" s="144"/>
      <c r="R434" s="144"/>
      <c r="S434" s="144"/>
      <c r="T434" s="144"/>
      <c r="U434" s="144"/>
      <c r="V434" s="144"/>
      <c r="W434" s="144"/>
      <c r="Y434" s="144"/>
      <c r="Z434" s="144"/>
      <c r="AA434" s="144"/>
      <c r="AB434" s="144"/>
      <c r="AC434" s="144"/>
    </row>
    <row r="435" spans="1:29" x14ac:dyDescent="0.2">
      <c r="A435" s="144"/>
      <c r="B435" s="144"/>
      <c r="C435" s="144"/>
      <c r="D435" s="144"/>
      <c r="E435" s="144"/>
      <c r="F435" s="144"/>
      <c r="G435" s="144"/>
      <c r="H435" s="144"/>
      <c r="I435" s="144"/>
      <c r="J435" s="144"/>
      <c r="K435" s="144"/>
      <c r="M435" s="144"/>
      <c r="N435" s="144"/>
      <c r="O435" s="144"/>
      <c r="P435" s="144"/>
      <c r="Q435" s="144"/>
      <c r="R435" s="144"/>
      <c r="S435" s="144"/>
      <c r="T435" s="144"/>
      <c r="U435" s="144"/>
      <c r="V435" s="144"/>
      <c r="W435" s="144"/>
      <c r="Y435" s="144"/>
      <c r="Z435" s="144"/>
      <c r="AA435" s="144"/>
      <c r="AB435" s="144"/>
      <c r="AC435" s="144"/>
    </row>
    <row r="436" spans="1:29" x14ac:dyDescent="0.2">
      <c r="A436" s="144"/>
      <c r="B436" s="144"/>
      <c r="C436" s="144"/>
      <c r="D436" s="144"/>
      <c r="E436" s="144"/>
      <c r="F436" s="144"/>
      <c r="G436" s="144"/>
      <c r="H436" s="144"/>
      <c r="I436" s="144"/>
      <c r="J436" s="144"/>
      <c r="K436" s="144"/>
      <c r="M436" s="144"/>
      <c r="N436" s="144"/>
      <c r="O436" s="144"/>
      <c r="P436" s="144"/>
      <c r="Q436" s="144"/>
      <c r="R436" s="144"/>
      <c r="S436" s="144"/>
      <c r="T436" s="144"/>
      <c r="U436" s="144"/>
      <c r="V436" s="144"/>
      <c r="W436" s="144"/>
      <c r="Y436" s="144"/>
      <c r="Z436" s="144"/>
      <c r="AA436" s="144"/>
      <c r="AB436" s="144"/>
      <c r="AC436" s="144"/>
    </row>
    <row r="437" spans="1:29" x14ac:dyDescent="0.2">
      <c r="A437" s="144"/>
      <c r="B437" s="144"/>
      <c r="C437" s="144"/>
      <c r="D437" s="144"/>
      <c r="E437" s="144"/>
      <c r="F437" s="144"/>
      <c r="G437" s="144"/>
      <c r="H437" s="144"/>
      <c r="I437" s="144"/>
      <c r="J437" s="144"/>
      <c r="K437" s="144"/>
      <c r="M437" s="144"/>
      <c r="N437" s="144"/>
      <c r="O437" s="144"/>
      <c r="P437" s="144"/>
      <c r="Q437" s="144"/>
      <c r="R437" s="144"/>
      <c r="S437" s="144"/>
      <c r="T437" s="144"/>
      <c r="U437" s="144"/>
      <c r="V437" s="144"/>
      <c r="W437" s="144"/>
      <c r="Y437" s="144"/>
      <c r="Z437" s="144"/>
      <c r="AA437" s="144"/>
      <c r="AB437" s="144"/>
      <c r="AC437" s="144"/>
    </row>
    <row r="438" spans="1:29" x14ac:dyDescent="0.2">
      <c r="A438" s="144"/>
      <c r="B438" s="144"/>
      <c r="C438" s="144"/>
      <c r="D438" s="144"/>
      <c r="E438" s="144"/>
      <c r="F438" s="144"/>
      <c r="G438" s="144"/>
      <c r="H438" s="144"/>
      <c r="I438" s="144"/>
      <c r="J438" s="144"/>
      <c r="K438" s="144"/>
      <c r="M438" s="144"/>
      <c r="N438" s="144"/>
      <c r="O438" s="144"/>
      <c r="P438" s="144"/>
      <c r="Q438" s="144"/>
      <c r="R438" s="144"/>
      <c r="S438" s="144"/>
      <c r="T438" s="144"/>
      <c r="U438" s="144"/>
      <c r="V438" s="144"/>
      <c r="W438" s="144"/>
      <c r="Y438" s="144"/>
      <c r="Z438" s="144"/>
      <c r="AA438" s="144"/>
      <c r="AB438" s="144"/>
      <c r="AC438" s="144"/>
    </row>
    <row r="439" spans="1:29" x14ac:dyDescent="0.2">
      <c r="A439" s="144"/>
      <c r="B439" s="144"/>
      <c r="C439" s="144"/>
      <c r="D439" s="144"/>
      <c r="E439" s="144"/>
      <c r="F439" s="144"/>
      <c r="G439" s="144"/>
      <c r="H439" s="144"/>
      <c r="I439" s="144"/>
      <c r="J439" s="144"/>
      <c r="K439" s="144"/>
      <c r="M439" s="144"/>
      <c r="N439" s="144"/>
      <c r="O439" s="144"/>
      <c r="P439" s="144"/>
      <c r="Q439" s="144"/>
      <c r="R439" s="144"/>
      <c r="S439" s="144"/>
      <c r="T439" s="144"/>
      <c r="U439" s="144"/>
      <c r="V439" s="144"/>
      <c r="W439" s="144"/>
      <c r="Y439" s="144"/>
      <c r="Z439" s="144"/>
      <c r="AA439" s="144"/>
      <c r="AB439" s="144"/>
      <c r="AC439" s="144"/>
    </row>
    <row r="440" spans="1:29" x14ac:dyDescent="0.2">
      <c r="A440" s="144"/>
      <c r="B440" s="144"/>
      <c r="C440" s="144"/>
      <c r="D440" s="144"/>
      <c r="E440" s="144"/>
      <c r="F440" s="144"/>
      <c r="G440" s="144"/>
      <c r="H440" s="144"/>
      <c r="I440" s="144"/>
      <c r="J440" s="144"/>
      <c r="K440" s="144"/>
      <c r="M440" s="144"/>
      <c r="N440" s="144"/>
      <c r="O440" s="144"/>
      <c r="P440" s="144"/>
      <c r="Q440" s="144"/>
      <c r="R440" s="144"/>
      <c r="S440" s="144"/>
      <c r="T440" s="144"/>
      <c r="U440" s="144"/>
      <c r="V440" s="144"/>
      <c r="W440" s="144"/>
      <c r="Y440" s="144"/>
      <c r="Z440" s="144"/>
      <c r="AA440" s="144"/>
      <c r="AB440" s="144"/>
      <c r="AC440" s="144"/>
    </row>
    <row r="441" spans="1:29" x14ac:dyDescent="0.2">
      <c r="A441" s="144"/>
      <c r="B441" s="144"/>
      <c r="C441" s="144"/>
      <c r="D441" s="144"/>
      <c r="E441" s="144"/>
      <c r="F441" s="144"/>
      <c r="G441" s="144"/>
      <c r="H441" s="144"/>
      <c r="I441" s="144"/>
      <c r="J441" s="144"/>
      <c r="K441" s="144"/>
      <c r="M441" s="144"/>
      <c r="N441" s="144"/>
      <c r="O441" s="144"/>
      <c r="P441" s="144"/>
      <c r="Q441" s="144"/>
      <c r="R441" s="144"/>
      <c r="S441" s="144"/>
      <c r="T441" s="144"/>
      <c r="U441" s="144"/>
      <c r="V441" s="144"/>
      <c r="W441" s="144"/>
      <c r="Y441" s="144"/>
      <c r="Z441" s="144"/>
      <c r="AA441" s="144"/>
      <c r="AB441" s="144"/>
      <c r="AC441" s="144"/>
    </row>
    <row r="442" spans="1:29" x14ac:dyDescent="0.2">
      <c r="A442" s="144"/>
      <c r="B442" s="144"/>
      <c r="C442" s="144"/>
      <c r="D442" s="144"/>
      <c r="E442" s="144"/>
      <c r="F442" s="144"/>
      <c r="G442" s="144"/>
      <c r="H442" s="144"/>
      <c r="I442" s="144"/>
      <c r="J442" s="144"/>
      <c r="K442" s="144"/>
      <c r="M442" s="144"/>
      <c r="N442" s="144"/>
      <c r="O442" s="144"/>
      <c r="P442" s="144"/>
      <c r="Q442" s="144"/>
      <c r="R442" s="144"/>
      <c r="S442" s="144"/>
      <c r="T442" s="144"/>
      <c r="U442" s="144"/>
      <c r="V442" s="144"/>
      <c r="W442" s="144"/>
      <c r="Y442" s="144"/>
      <c r="Z442" s="144"/>
      <c r="AA442" s="144"/>
      <c r="AB442" s="144"/>
      <c r="AC442" s="144"/>
    </row>
    <row r="443" spans="1:29" x14ac:dyDescent="0.2">
      <c r="A443" s="144"/>
      <c r="B443" s="144"/>
      <c r="C443" s="144"/>
      <c r="D443" s="144"/>
      <c r="E443" s="144"/>
      <c r="F443" s="144"/>
      <c r="G443" s="144"/>
      <c r="H443" s="144"/>
      <c r="I443" s="144"/>
      <c r="J443" s="144"/>
      <c r="K443" s="144"/>
      <c r="M443" s="144"/>
      <c r="N443" s="144"/>
      <c r="O443" s="144"/>
      <c r="P443" s="144"/>
      <c r="Q443" s="144"/>
      <c r="R443" s="144"/>
      <c r="S443" s="144"/>
      <c r="T443" s="144"/>
      <c r="U443" s="144"/>
      <c r="V443" s="144"/>
      <c r="W443" s="144"/>
      <c r="Y443" s="144"/>
      <c r="Z443" s="144"/>
      <c r="AA443" s="144"/>
      <c r="AB443" s="144"/>
      <c r="AC443" s="144"/>
    </row>
    <row r="444" spans="1:29" x14ac:dyDescent="0.2">
      <c r="A444" s="144"/>
      <c r="B444" s="144"/>
      <c r="C444" s="144"/>
      <c r="D444" s="144"/>
      <c r="E444" s="144"/>
      <c r="F444" s="144"/>
      <c r="G444" s="144"/>
      <c r="H444" s="144"/>
      <c r="I444" s="144"/>
      <c r="J444" s="144"/>
      <c r="K444" s="144"/>
      <c r="M444" s="144"/>
      <c r="N444" s="144"/>
      <c r="O444" s="144"/>
      <c r="P444" s="144"/>
      <c r="Q444" s="144"/>
      <c r="R444" s="144"/>
      <c r="S444" s="144"/>
      <c r="T444" s="144"/>
      <c r="U444" s="144"/>
      <c r="V444" s="144"/>
      <c r="W444" s="144"/>
      <c r="Y444" s="144"/>
      <c r="Z444" s="144"/>
      <c r="AA444" s="144"/>
      <c r="AB444" s="144"/>
      <c r="AC444" s="144"/>
    </row>
    <row r="445" spans="1:29" x14ac:dyDescent="0.2">
      <c r="A445" s="144"/>
      <c r="B445" s="144"/>
      <c r="C445" s="144"/>
      <c r="D445" s="144"/>
      <c r="E445" s="144"/>
      <c r="F445" s="144"/>
      <c r="G445" s="144"/>
      <c r="H445" s="144"/>
      <c r="I445" s="144"/>
      <c r="J445" s="144"/>
      <c r="K445" s="144"/>
      <c r="M445" s="144"/>
      <c r="N445" s="144"/>
      <c r="O445" s="144"/>
      <c r="P445" s="144"/>
      <c r="Q445" s="144"/>
      <c r="R445" s="144"/>
      <c r="S445" s="144"/>
      <c r="T445" s="144"/>
      <c r="U445" s="144"/>
      <c r="V445" s="144"/>
      <c r="W445" s="144"/>
      <c r="Y445" s="144"/>
      <c r="Z445" s="144"/>
      <c r="AA445" s="144"/>
      <c r="AB445" s="144"/>
      <c r="AC445" s="144"/>
    </row>
    <row r="446" spans="1:29" x14ac:dyDescent="0.2">
      <c r="A446" s="144"/>
      <c r="B446" s="144"/>
      <c r="C446" s="144"/>
      <c r="D446" s="144"/>
      <c r="E446" s="144"/>
      <c r="F446" s="144"/>
      <c r="G446" s="144"/>
      <c r="H446" s="144"/>
      <c r="I446" s="144"/>
      <c r="J446" s="144"/>
      <c r="K446" s="144"/>
      <c r="M446" s="144"/>
      <c r="N446" s="144"/>
      <c r="O446" s="144"/>
      <c r="P446" s="144"/>
      <c r="Q446" s="144"/>
      <c r="R446" s="144"/>
      <c r="S446" s="144"/>
      <c r="T446" s="144"/>
      <c r="U446" s="144"/>
      <c r="V446" s="144"/>
      <c r="W446" s="144"/>
      <c r="Y446" s="144"/>
      <c r="Z446" s="144"/>
      <c r="AA446" s="144"/>
      <c r="AB446" s="144"/>
      <c r="AC446" s="144"/>
    </row>
    <row r="447" spans="1:29" x14ac:dyDescent="0.2">
      <c r="A447" s="144"/>
      <c r="B447" s="144"/>
      <c r="C447" s="144"/>
      <c r="D447" s="144"/>
      <c r="E447" s="144"/>
      <c r="F447" s="144"/>
      <c r="G447" s="144"/>
      <c r="H447" s="144"/>
      <c r="I447" s="144"/>
      <c r="J447" s="144"/>
      <c r="K447" s="144"/>
      <c r="M447" s="144"/>
      <c r="N447" s="144"/>
      <c r="O447" s="144"/>
      <c r="P447" s="144"/>
      <c r="Q447" s="144"/>
      <c r="R447" s="144"/>
      <c r="S447" s="144"/>
      <c r="T447" s="144"/>
      <c r="U447" s="144"/>
      <c r="V447" s="144"/>
      <c r="W447" s="144"/>
      <c r="Y447" s="144"/>
      <c r="Z447" s="144"/>
      <c r="AA447" s="144"/>
      <c r="AB447" s="144"/>
      <c r="AC447" s="144"/>
    </row>
    <row r="448" spans="1:29" x14ac:dyDescent="0.2">
      <c r="A448" s="144"/>
      <c r="B448" s="144"/>
      <c r="C448" s="144"/>
      <c r="D448" s="144"/>
      <c r="E448" s="144"/>
      <c r="F448" s="144"/>
      <c r="G448" s="144"/>
      <c r="H448" s="144"/>
      <c r="I448" s="144"/>
      <c r="J448" s="144"/>
      <c r="K448" s="144"/>
      <c r="M448" s="144"/>
      <c r="N448" s="144"/>
      <c r="O448" s="144"/>
      <c r="P448" s="144"/>
      <c r="Q448" s="144"/>
      <c r="R448" s="144"/>
      <c r="S448" s="144"/>
      <c r="T448" s="144"/>
      <c r="U448" s="144"/>
      <c r="V448" s="144"/>
      <c r="W448" s="144"/>
      <c r="Y448" s="144"/>
      <c r="Z448" s="144"/>
      <c r="AA448" s="144"/>
      <c r="AB448" s="144"/>
      <c r="AC448" s="144"/>
    </row>
    <row r="449" spans="1:29" x14ac:dyDescent="0.2">
      <c r="A449" s="144"/>
      <c r="B449" s="144"/>
      <c r="C449" s="144"/>
      <c r="D449" s="144"/>
      <c r="E449" s="144"/>
      <c r="F449" s="144"/>
      <c r="G449" s="144"/>
      <c r="H449" s="144"/>
      <c r="I449" s="144"/>
      <c r="J449" s="144"/>
      <c r="K449" s="144"/>
      <c r="M449" s="144"/>
      <c r="N449" s="144"/>
      <c r="O449" s="144"/>
      <c r="P449" s="144"/>
      <c r="Q449" s="144"/>
      <c r="R449" s="144"/>
      <c r="S449" s="144"/>
      <c r="T449" s="144"/>
      <c r="U449" s="144"/>
      <c r="V449" s="144"/>
      <c r="W449" s="144"/>
      <c r="Y449" s="144"/>
      <c r="Z449" s="144"/>
      <c r="AA449" s="144"/>
      <c r="AB449" s="144"/>
      <c r="AC449" s="144"/>
    </row>
    <row r="450" spans="1:29" x14ac:dyDescent="0.2">
      <c r="A450" s="144"/>
      <c r="B450" s="144"/>
      <c r="C450" s="144"/>
      <c r="D450" s="144"/>
      <c r="E450" s="144"/>
      <c r="F450" s="144"/>
      <c r="G450" s="144"/>
      <c r="H450" s="144"/>
      <c r="I450" s="144"/>
      <c r="J450" s="144"/>
      <c r="K450" s="144"/>
      <c r="M450" s="144"/>
      <c r="N450" s="144"/>
      <c r="O450" s="144"/>
      <c r="P450" s="144"/>
      <c r="Q450" s="144"/>
      <c r="R450" s="144"/>
      <c r="S450" s="144"/>
      <c r="T450" s="144"/>
      <c r="U450" s="144"/>
      <c r="V450" s="144"/>
      <c r="W450" s="144"/>
      <c r="Y450" s="144"/>
      <c r="Z450" s="144"/>
      <c r="AA450" s="144"/>
      <c r="AB450" s="144"/>
      <c r="AC450" s="144"/>
    </row>
    <row r="451" spans="1:29" x14ac:dyDescent="0.2">
      <c r="A451" s="144"/>
      <c r="B451" s="144"/>
      <c r="C451" s="144"/>
      <c r="D451" s="144"/>
      <c r="E451" s="144"/>
      <c r="F451" s="144"/>
      <c r="G451" s="144"/>
      <c r="H451" s="144"/>
      <c r="I451" s="144"/>
      <c r="J451" s="144"/>
      <c r="K451" s="144"/>
      <c r="M451" s="144"/>
      <c r="N451" s="144"/>
      <c r="O451" s="144"/>
      <c r="P451" s="144"/>
      <c r="Q451" s="144"/>
      <c r="R451" s="144"/>
      <c r="S451" s="144"/>
      <c r="T451" s="144"/>
      <c r="U451" s="144"/>
      <c r="V451" s="144"/>
      <c r="W451" s="144"/>
      <c r="Y451" s="144"/>
      <c r="Z451" s="144"/>
      <c r="AA451" s="144"/>
      <c r="AB451" s="144"/>
      <c r="AC451" s="144"/>
    </row>
    <row r="452" spans="1:29" x14ac:dyDescent="0.2">
      <c r="A452" s="144"/>
      <c r="B452" s="144"/>
      <c r="C452" s="144"/>
      <c r="D452" s="144"/>
      <c r="E452" s="144"/>
      <c r="F452" s="144"/>
      <c r="G452" s="144"/>
      <c r="H452" s="144"/>
      <c r="I452" s="144"/>
      <c r="J452" s="144"/>
      <c r="K452" s="144"/>
      <c r="M452" s="144"/>
      <c r="N452" s="144"/>
      <c r="O452" s="144"/>
      <c r="P452" s="144"/>
      <c r="Q452" s="144"/>
      <c r="R452" s="144"/>
      <c r="S452" s="144"/>
      <c r="T452" s="144"/>
      <c r="U452" s="144"/>
      <c r="V452" s="144"/>
      <c r="W452" s="144"/>
      <c r="Y452" s="144"/>
      <c r="Z452" s="144"/>
      <c r="AA452" s="144"/>
      <c r="AB452" s="144"/>
      <c r="AC452" s="144"/>
    </row>
    <row r="453" spans="1:29" x14ac:dyDescent="0.2">
      <c r="A453" s="144"/>
      <c r="B453" s="144"/>
      <c r="C453" s="144"/>
      <c r="D453" s="144"/>
      <c r="E453" s="144"/>
      <c r="F453" s="144"/>
      <c r="G453" s="144"/>
      <c r="H453" s="144"/>
      <c r="I453" s="144"/>
      <c r="J453" s="144"/>
      <c r="K453" s="144"/>
      <c r="M453" s="144"/>
      <c r="N453" s="144"/>
      <c r="O453" s="144"/>
      <c r="P453" s="144"/>
      <c r="Q453" s="144"/>
      <c r="R453" s="144"/>
      <c r="S453" s="144"/>
      <c r="T453" s="144"/>
      <c r="U453" s="144"/>
      <c r="V453" s="144"/>
      <c r="W453" s="144"/>
      <c r="Y453" s="144"/>
      <c r="Z453" s="144"/>
      <c r="AA453" s="144"/>
      <c r="AB453" s="144"/>
      <c r="AC453" s="144"/>
    </row>
    <row r="454" spans="1:29" x14ac:dyDescent="0.2">
      <c r="A454" s="144"/>
      <c r="B454" s="144"/>
      <c r="C454" s="144"/>
      <c r="D454" s="144"/>
      <c r="E454" s="144"/>
      <c r="F454" s="144"/>
      <c r="G454" s="144"/>
      <c r="H454" s="144"/>
      <c r="I454" s="144"/>
      <c r="J454" s="144"/>
      <c r="K454" s="144"/>
      <c r="M454" s="144"/>
      <c r="N454" s="144"/>
      <c r="O454" s="144"/>
      <c r="P454" s="144"/>
      <c r="Q454" s="144"/>
      <c r="R454" s="144"/>
      <c r="S454" s="144"/>
      <c r="T454" s="144"/>
      <c r="U454" s="144"/>
      <c r="V454" s="144"/>
      <c r="W454" s="144"/>
      <c r="Y454" s="144"/>
      <c r="Z454" s="144"/>
      <c r="AA454" s="144"/>
      <c r="AB454" s="144"/>
      <c r="AC454" s="144"/>
    </row>
    <row r="455" spans="1:29" x14ac:dyDescent="0.2">
      <c r="A455" s="144"/>
      <c r="B455" s="144"/>
      <c r="C455" s="144"/>
      <c r="D455" s="144"/>
      <c r="E455" s="144"/>
      <c r="F455" s="144"/>
      <c r="G455" s="144"/>
      <c r="H455" s="144"/>
      <c r="I455" s="144"/>
      <c r="J455" s="144"/>
      <c r="K455" s="144"/>
      <c r="M455" s="144"/>
      <c r="N455" s="144"/>
      <c r="O455" s="144"/>
      <c r="P455" s="144"/>
      <c r="Q455" s="144"/>
      <c r="R455" s="144"/>
      <c r="S455" s="144"/>
      <c r="T455" s="144"/>
      <c r="U455" s="144"/>
      <c r="V455" s="144"/>
      <c r="W455" s="144"/>
      <c r="Y455" s="144"/>
      <c r="Z455" s="144"/>
      <c r="AA455" s="144"/>
      <c r="AB455" s="144"/>
      <c r="AC455" s="144"/>
    </row>
    <row r="456" spans="1:29" x14ac:dyDescent="0.2">
      <c r="A456" s="144"/>
      <c r="B456" s="144"/>
      <c r="C456" s="144"/>
      <c r="D456" s="144"/>
      <c r="E456" s="144"/>
      <c r="F456" s="144"/>
      <c r="G456" s="144"/>
      <c r="H456" s="144"/>
      <c r="I456" s="144"/>
      <c r="J456" s="144"/>
      <c r="K456" s="144"/>
      <c r="M456" s="144"/>
      <c r="N456" s="144"/>
      <c r="O456" s="144"/>
      <c r="P456" s="144"/>
      <c r="Q456" s="144"/>
      <c r="R456" s="144"/>
      <c r="S456" s="144"/>
      <c r="T456" s="144"/>
      <c r="U456" s="144"/>
      <c r="V456" s="144"/>
      <c r="W456" s="144"/>
      <c r="Y456" s="144"/>
      <c r="Z456" s="144"/>
      <c r="AA456" s="144"/>
      <c r="AB456" s="144"/>
      <c r="AC456" s="144"/>
    </row>
    <row r="457" spans="1:29" x14ac:dyDescent="0.2">
      <c r="A457" s="144"/>
      <c r="B457" s="144"/>
      <c r="C457" s="144"/>
      <c r="D457" s="144"/>
      <c r="E457" s="144"/>
      <c r="F457" s="144"/>
      <c r="G457" s="144"/>
      <c r="H457" s="144"/>
      <c r="I457" s="144"/>
      <c r="J457" s="144"/>
      <c r="K457" s="144"/>
      <c r="M457" s="144"/>
      <c r="N457" s="144"/>
      <c r="O457" s="144"/>
      <c r="P457" s="144"/>
      <c r="Q457" s="144"/>
      <c r="R457" s="144"/>
      <c r="S457" s="144"/>
      <c r="T457" s="144"/>
      <c r="U457" s="144"/>
      <c r="V457" s="144"/>
      <c r="W457" s="144"/>
      <c r="Y457" s="144"/>
      <c r="Z457" s="144"/>
      <c r="AA457" s="144"/>
      <c r="AB457" s="144"/>
      <c r="AC457" s="144"/>
    </row>
    <row r="458" spans="1:29" x14ac:dyDescent="0.2">
      <c r="A458" s="144"/>
      <c r="B458" s="144"/>
      <c r="C458" s="144"/>
      <c r="D458" s="144"/>
      <c r="E458" s="144"/>
      <c r="F458" s="144"/>
      <c r="G458" s="144"/>
      <c r="H458" s="144"/>
      <c r="I458" s="144"/>
      <c r="J458" s="144"/>
      <c r="K458" s="144"/>
      <c r="M458" s="144"/>
      <c r="N458" s="144"/>
      <c r="O458" s="144"/>
      <c r="P458" s="144"/>
      <c r="Q458" s="144"/>
      <c r="R458" s="144"/>
      <c r="S458" s="144"/>
      <c r="T458" s="144"/>
      <c r="U458" s="144"/>
      <c r="V458" s="144"/>
      <c r="W458" s="144"/>
      <c r="Y458" s="144"/>
      <c r="Z458" s="144"/>
      <c r="AA458" s="144"/>
      <c r="AB458" s="144"/>
      <c r="AC458" s="144"/>
    </row>
    <row r="459" spans="1:29" x14ac:dyDescent="0.2">
      <c r="A459" s="144"/>
      <c r="B459" s="144"/>
      <c r="C459" s="144"/>
      <c r="D459" s="144"/>
      <c r="E459" s="144"/>
      <c r="F459" s="144"/>
      <c r="G459" s="144"/>
      <c r="H459" s="144"/>
      <c r="I459" s="144"/>
      <c r="J459" s="144"/>
      <c r="K459" s="144"/>
      <c r="M459" s="144"/>
      <c r="N459" s="144"/>
      <c r="O459" s="144"/>
      <c r="P459" s="144"/>
      <c r="Q459" s="144"/>
      <c r="R459" s="144"/>
      <c r="S459" s="144"/>
      <c r="T459" s="144"/>
      <c r="U459" s="144"/>
      <c r="V459" s="144"/>
      <c r="W459" s="144"/>
      <c r="Y459" s="144"/>
      <c r="Z459" s="144"/>
      <c r="AA459" s="144"/>
      <c r="AB459" s="144"/>
      <c r="AC459" s="144"/>
    </row>
    <row r="460" spans="1:29" x14ac:dyDescent="0.2">
      <c r="A460" s="144"/>
      <c r="B460" s="144"/>
      <c r="C460" s="144"/>
      <c r="D460" s="144"/>
      <c r="E460" s="144"/>
      <c r="F460" s="144"/>
      <c r="G460" s="144"/>
      <c r="H460" s="144"/>
      <c r="I460" s="144"/>
      <c r="J460" s="144"/>
      <c r="K460" s="144"/>
      <c r="M460" s="144"/>
      <c r="N460" s="144"/>
      <c r="O460" s="144"/>
      <c r="P460" s="144"/>
      <c r="Q460" s="144"/>
      <c r="R460" s="144"/>
      <c r="S460" s="144"/>
      <c r="T460" s="144"/>
      <c r="U460" s="144"/>
      <c r="V460" s="144"/>
      <c r="W460" s="144"/>
      <c r="Y460" s="144"/>
      <c r="Z460" s="144"/>
      <c r="AA460" s="144"/>
      <c r="AB460" s="144"/>
      <c r="AC460" s="144"/>
    </row>
    <row r="461" spans="1:29" x14ac:dyDescent="0.2">
      <c r="A461" s="144"/>
      <c r="B461" s="144"/>
      <c r="C461" s="144"/>
      <c r="D461" s="144"/>
      <c r="E461" s="144"/>
      <c r="F461" s="144"/>
      <c r="G461" s="144"/>
      <c r="H461" s="144"/>
      <c r="I461" s="144"/>
      <c r="J461" s="144"/>
      <c r="K461" s="144"/>
      <c r="M461" s="144"/>
      <c r="N461" s="144"/>
      <c r="O461" s="144"/>
      <c r="P461" s="144"/>
      <c r="Q461" s="144"/>
      <c r="R461" s="144"/>
      <c r="S461" s="144"/>
      <c r="T461" s="144"/>
      <c r="U461" s="144"/>
      <c r="V461" s="144"/>
      <c r="W461" s="144"/>
      <c r="Y461" s="144"/>
      <c r="Z461" s="144"/>
      <c r="AA461" s="144"/>
      <c r="AB461" s="144"/>
      <c r="AC461" s="144"/>
    </row>
    <row r="462" spans="1:29" x14ac:dyDescent="0.2">
      <c r="A462" s="144"/>
      <c r="B462" s="144"/>
      <c r="C462" s="144"/>
      <c r="D462" s="144"/>
      <c r="E462" s="144"/>
      <c r="F462" s="144"/>
      <c r="G462" s="144"/>
      <c r="H462" s="144"/>
      <c r="I462" s="144"/>
      <c r="J462" s="144"/>
      <c r="K462" s="144"/>
      <c r="M462" s="144"/>
      <c r="N462" s="144"/>
      <c r="O462" s="144"/>
      <c r="P462" s="144"/>
      <c r="Q462" s="144"/>
      <c r="R462" s="144"/>
      <c r="S462" s="144"/>
      <c r="T462" s="144"/>
      <c r="U462" s="144"/>
      <c r="V462" s="144"/>
      <c r="W462" s="144"/>
      <c r="Y462" s="144"/>
      <c r="Z462" s="144"/>
      <c r="AA462" s="144"/>
      <c r="AB462" s="144"/>
      <c r="AC462" s="144"/>
    </row>
    <row r="463" spans="1:29" x14ac:dyDescent="0.2">
      <c r="A463" s="144"/>
      <c r="B463" s="144"/>
      <c r="C463" s="144"/>
      <c r="D463" s="144"/>
      <c r="E463" s="144"/>
      <c r="F463" s="144"/>
      <c r="G463" s="144"/>
      <c r="H463" s="144"/>
      <c r="I463" s="144"/>
      <c r="J463" s="144"/>
      <c r="K463" s="144"/>
      <c r="M463" s="144"/>
      <c r="N463" s="144"/>
      <c r="O463" s="144"/>
      <c r="P463" s="144"/>
      <c r="Q463" s="144"/>
      <c r="R463" s="144"/>
      <c r="S463" s="144"/>
      <c r="T463" s="144"/>
      <c r="U463" s="144"/>
      <c r="V463" s="144"/>
      <c r="W463" s="144"/>
      <c r="Y463" s="144"/>
      <c r="Z463" s="144"/>
      <c r="AA463" s="144"/>
      <c r="AB463" s="144"/>
      <c r="AC463" s="144"/>
    </row>
    <row r="464" spans="1:29" x14ac:dyDescent="0.2">
      <c r="A464" s="144"/>
      <c r="B464" s="144"/>
      <c r="C464" s="144"/>
      <c r="D464" s="144"/>
      <c r="E464" s="144"/>
      <c r="F464" s="144"/>
      <c r="G464" s="144"/>
      <c r="H464" s="144"/>
      <c r="I464" s="144"/>
      <c r="J464" s="144"/>
      <c r="K464" s="144"/>
      <c r="M464" s="144"/>
      <c r="N464" s="144"/>
      <c r="O464" s="144"/>
      <c r="P464" s="144"/>
      <c r="Q464" s="144"/>
      <c r="R464" s="144"/>
      <c r="S464" s="144"/>
      <c r="T464" s="144"/>
      <c r="U464" s="144"/>
      <c r="V464" s="144"/>
      <c r="W464" s="144"/>
      <c r="Y464" s="144"/>
      <c r="Z464" s="144"/>
      <c r="AA464" s="144"/>
      <c r="AB464" s="144"/>
      <c r="AC464" s="144"/>
    </row>
    <row r="465" spans="1:29" x14ac:dyDescent="0.2">
      <c r="A465" s="144"/>
      <c r="B465" s="144"/>
      <c r="C465" s="144"/>
      <c r="D465" s="144"/>
      <c r="E465" s="144"/>
      <c r="F465" s="144"/>
      <c r="G465" s="144"/>
      <c r="H465" s="144"/>
      <c r="I465" s="144"/>
      <c r="J465" s="144"/>
      <c r="K465" s="144"/>
      <c r="M465" s="144"/>
      <c r="N465" s="144"/>
      <c r="O465" s="144"/>
      <c r="P465" s="144"/>
      <c r="Q465" s="144"/>
      <c r="R465" s="144"/>
      <c r="S465" s="144"/>
      <c r="T465" s="144"/>
      <c r="U465" s="144"/>
      <c r="V465" s="144"/>
      <c r="W465" s="144"/>
      <c r="Y465" s="144"/>
      <c r="Z465" s="144"/>
      <c r="AA465" s="144"/>
      <c r="AB465" s="144"/>
      <c r="AC465" s="144"/>
    </row>
    <row r="466" spans="1:29" x14ac:dyDescent="0.2">
      <c r="A466" s="144"/>
      <c r="B466" s="144"/>
      <c r="C466" s="144"/>
      <c r="D466" s="144"/>
      <c r="E466" s="144"/>
      <c r="F466" s="144"/>
      <c r="G466" s="144"/>
      <c r="H466" s="144"/>
      <c r="I466" s="144"/>
      <c r="J466" s="144"/>
      <c r="K466" s="144"/>
      <c r="M466" s="144"/>
      <c r="N466" s="144"/>
      <c r="O466" s="144"/>
      <c r="P466" s="144"/>
      <c r="Q466" s="144"/>
      <c r="R466" s="144"/>
      <c r="S466" s="144"/>
      <c r="T466" s="144"/>
      <c r="U466" s="144"/>
      <c r="V466" s="144"/>
      <c r="W466" s="144"/>
      <c r="Y466" s="144"/>
      <c r="Z466" s="144"/>
      <c r="AA466" s="144"/>
      <c r="AB466" s="144"/>
      <c r="AC466" s="144"/>
    </row>
    <row r="467" spans="1:29" x14ac:dyDescent="0.2">
      <c r="A467" s="144"/>
      <c r="B467" s="144"/>
      <c r="C467" s="144"/>
      <c r="D467" s="144"/>
      <c r="E467" s="144"/>
      <c r="F467" s="144"/>
      <c r="G467" s="144"/>
      <c r="H467" s="144"/>
      <c r="I467" s="144"/>
      <c r="J467" s="144"/>
      <c r="K467" s="144"/>
      <c r="M467" s="144"/>
      <c r="N467" s="144"/>
      <c r="O467" s="144"/>
      <c r="P467" s="144"/>
      <c r="Q467" s="144"/>
      <c r="R467" s="144"/>
      <c r="S467" s="144"/>
      <c r="T467" s="144"/>
      <c r="U467" s="144"/>
      <c r="V467" s="144"/>
      <c r="W467" s="144"/>
      <c r="Y467" s="144"/>
      <c r="Z467" s="144"/>
      <c r="AA467" s="144"/>
      <c r="AB467" s="144"/>
      <c r="AC467" s="144"/>
    </row>
    <row r="468" spans="1:29" x14ac:dyDescent="0.2">
      <c r="A468" s="144"/>
      <c r="B468" s="144"/>
      <c r="C468" s="144"/>
      <c r="D468" s="144"/>
      <c r="E468" s="144"/>
      <c r="F468" s="144"/>
      <c r="G468" s="144"/>
      <c r="H468" s="144"/>
      <c r="I468" s="144"/>
      <c r="J468" s="144"/>
      <c r="K468" s="144"/>
      <c r="M468" s="144"/>
      <c r="N468" s="144"/>
      <c r="O468" s="144"/>
      <c r="P468" s="144"/>
      <c r="Q468" s="144"/>
      <c r="R468" s="144"/>
      <c r="S468" s="144"/>
      <c r="T468" s="144"/>
      <c r="U468" s="144"/>
      <c r="V468" s="144"/>
      <c r="W468" s="144"/>
      <c r="Y468" s="144"/>
      <c r="Z468" s="144"/>
      <c r="AA468" s="144"/>
      <c r="AB468" s="144"/>
      <c r="AC468" s="144"/>
    </row>
    <row r="469" spans="1:29" x14ac:dyDescent="0.2">
      <c r="A469" s="144"/>
      <c r="B469" s="144"/>
      <c r="C469" s="144"/>
      <c r="D469" s="144"/>
      <c r="E469" s="144"/>
      <c r="F469" s="144"/>
      <c r="G469" s="144"/>
      <c r="H469" s="144"/>
      <c r="I469" s="144"/>
      <c r="J469" s="144"/>
      <c r="K469" s="144"/>
      <c r="M469" s="144"/>
      <c r="N469" s="144"/>
      <c r="O469" s="144"/>
      <c r="P469" s="144"/>
      <c r="Q469" s="144"/>
      <c r="R469" s="144"/>
      <c r="S469" s="144"/>
      <c r="T469" s="144"/>
      <c r="U469" s="144"/>
      <c r="V469" s="144"/>
      <c r="W469" s="144"/>
      <c r="Y469" s="144"/>
      <c r="Z469" s="144"/>
      <c r="AA469" s="144"/>
      <c r="AB469" s="144"/>
      <c r="AC469" s="144"/>
    </row>
    <row r="470" spans="1:29" x14ac:dyDescent="0.2">
      <c r="A470" s="144"/>
      <c r="B470" s="144"/>
      <c r="C470" s="144"/>
      <c r="D470" s="144"/>
      <c r="E470" s="144"/>
      <c r="F470" s="144"/>
      <c r="G470" s="144"/>
      <c r="H470" s="144"/>
      <c r="I470" s="144"/>
      <c r="J470" s="144"/>
      <c r="K470" s="144"/>
      <c r="M470" s="144"/>
      <c r="N470" s="144"/>
      <c r="O470" s="144"/>
      <c r="P470" s="144"/>
      <c r="Q470" s="144"/>
      <c r="R470" s="144"/>
      <c r="S470" s="144"/>
      <c r="T470" s="144"/>
      <c r="U470" s="144"/>
      <c r="V470" s="144"/>
      <c r="W470" s="144"/>
      <c r="Y470" s="144"/>
      <c r="Z470" s="144"/>
      <c r="AA470" s="144"/>
      <c r="AB470" s="144"/>
      <c r="AC470" s="144"/>
    </row>
    <row r="471" spans="1:29" x14ac:dyDescent="0.2">
      <c r="A471" s="144"/>
      <c r="B471" s="144"/>
      <c r="C471" s="144"/>
      <c r="D471" s="144"/>
      <c r="E471" s="144"/>
      <c r="F471" s="144"/>
      <c r="G471" s="144"/>
      <c r="H471" s="144"/>
      <c r="I471" s="144"/>
      <c r="J471" s="144"/>
      <c r="K471" s="144"/>
      <c r="M471" s="144"/>
      <c r="N471" s="144"/>
      <c r="O471" s="144"/>
      <c r="P471" s="144"/>
      <c r="Q471" s="144"/>
      <c r="R471" s="144"/>
      <c r="S471" s="144"/>
      <c r="T471" s="144"/>
      <c r="U471" s="144"/>
      <c r="V471" s="144"/>
      <c r="W471" s="144"/>
      <c r="Y471" s="144"/>
      <c r="Z471" s="144"/>
      <c r="AA471" s="144"/>
      <c r="AB471" s="144"/>
      <c r="AC471" s="144"/>
    </row>
    <row r="472" spans="1:29" x14ac:dyDescent="0.2">
      <c r="A472" s="144"/>
      <c r="B472" s="144"/>
      <c r="C472" s="144"/>
      <c r="D472" s="144"/>
      <c r="E472" s="144"/>
      <c r="F472" s="144"/>
      <c r="G472" s="144"/>
      <c r="H472" s="144"/>
      <c r="I472" s="144"/>
      <c r="J472" s="144"/>
      <c r="K472" s="144"/>
      <c r="M472" s="144"/>
      <c r="N472" s="144"/>
      <c r="O472" s="144"/>
      <c r="P472" s="144"/>
      <c r="Q472" s="144"/>
      <c r="R472" s="144"/>
      <c r="S472" s="144"/>
      <c r="T472" s="144"/>
      <c r="U472" s="144"/>
      <c r="V472" s="144"/>
      <c r="W472" s="144"/>
      <c r="Y472" s="144"/>
      <c r="Z472" s="144"/>
      <c r="AA472" s="144"/>
      <c r="AB472" s="144"/>
      <c r="AC472" s="144"/>
    </row>
    <row r="473" spans="1:29" x14ac:dyDescent="0.2">
      <c r="A473" s="144"/>
      <c r="B473" s="144"/>
      <c r="C473" s="144"/>
      <c r="D473" s="144"/>
      <c r="E473" s="144"/>
      <c r="F473" s="144"/>
      <c r="G473" s="144"/>
      <c r="H473" s="144"/>
      <c r="I473" s="144"/>
      <c r="J473" s="144"/>
      <c r="K473" s="144"/>
      <c r="M473" s="144"/>
      <c r="N473" s="144"/>
      <c r="O473" s="144"/>
      <c r="P473" s="144"/>
      <c r="Q473" s="144"/>
      <c r="R473" s="144"/>
      <c r="S473" s="144"/>
      <c r="T473" s="144"/>
      <c r="U473" s="144"/>
      <c r="V473" s="144"/>
      <c r="W473" s="144"/>
      <c r="Y473" s="144"/>
      <c r="Z473" s="144"/>
      <c r="AA473" s="144"/>
      <c r="AB473" s="144"/>
      <c r="AC473" s="144"/>
    </row>
    <row r="474" spans="1:29" x14ac:dyDescent="0.2">
      <c r="A474" s="144"/>
      <c r="B474" s="144"/>
      <c r="C474" s="144"/>
      <c r="D474" s="144"/>
      <c r="E474" s="144"/>
      <c r="F474" s="144"/>
      <c r="G474" s="144"/>
      <c r="H474" s="144"/>
      <c r="I474" s="144"/>
      <c r="J474" s="144"/>
      <c r="K474" s="144"/>
      <c r="M474" s="144"/>
      <c r="N474" s="144"/>
      <c r="O474" s="144"/>
      <c r="P474" s="144"/>
      <c r="Q474" s="144"/>
      <c r="R474" s="144"/>
      <c r="S474" s="144"/>
      <c r="T474" s="144"/>
      <c r="U474" s="144"/>
      <c r="V474" s="144"/>
      <c r="W474" s="144"/>
      <c r="Y474" s="144"/>
      <c r="Z474" s="144"/>
      <c r="AA474" s="144"/>
      <c r="AB474" s="144"/>
      <c r="AC474" s="144"/>
    </row>
    <row r="475" spans="1:29" x14ac:dyDescent="0.2">
      <c r="A475" s="144"/>
      <c r="B475" s="144"/>
      <c r="C475" s="144"/>
      <c r="D475" s="144"/>
      <c r="E475" s="144"/>
      <c r="F475" s="144"/>
      <c r="G475" s="144"/>
      <c r="H475" s="144"/>
      <c r="I475" s="144"/>
      <c r="J475" s="144"/>
      <c r="K475" s="144"/>
      <c r="M475" s="144"/>
      <c r="N475" s="144"/>
      <c r="O475" s="144"/>
      <c r="P475" s="144"/>
      <c r="Q475" s="144"/>
      <c r="R475" s="144"/>
      <c r="S475" s="144"/>
      <c r="T475" s="144"/>
      <c r="U475" s="144"/>
      <c r="V475" s="144"/>
      <c r="W475" s="144"/>
      <c r="Y475" s="144"/>
      <c r="Z475" s="144"/>
      <c r="AA475" s="144"/>
      <c r="AB475" s="144"/>
      <c r="AC475" s="144"/>
    </row>
    <row r="476" spans="1:29" x14ac:dyDescent="0.2">
      <c r="A476" s="144"/>
      <c r="B476" s="144"/>
      <c r="C476" s="144"/>
      <c r="D476" s="144"/>
      <c r="E476" s="144"/>
      <c r="F476" s="144"/>
      <c r="G476" s="144"/>
      <c r="H476" s="144"/>
      <c r="I476" s="144"/>
      <c r="J476" s="144"/>
      <c r="K476" s="144"/>
      <c r="M476" s="144"/>
      <c r="N476" s="144"/>
      <c r="O476" s="144"/>
      <c r="P476" s="144"/>
      <c r="Q476" s="144"/>
      <c r="R476" s="144"/>
      <c r="S476" s="144"/>
      <c r="T476" s="144"/>
      <c r="U476" s="144"/>
      <c r="V476" s="144"/>
      <c r="W476" s="144"/>
      <c r="Y476" s="144"/>
      <c r="Z476" s="144"/>
      <c r="AA476" s="144"/>
      <c r="AB476" s="144"/>
      <c r="AC476" s="144"/>
    </row>
    <row r="477" spans="1:29" x14ac:dyDescent="0.2">
      <c r="A477" s="144"/>
      <c r="B477" s="144"/>
      <c r="C477" s="144"/>
      <c r="D477" s="144"/>
      <c r="E477" s="144"/>
      <c r="F477" s="144"/>
      <c r="G477" s="144"/>
      <c r="H477" s="144"/>
      <c r="I477" s="144"/>
      <c r="J477" s="144"/>
      <c r="K477" s="144"/>
      <c r="M477" s="144"/>
      <c r="N477" s="144"/>
      <c r="O477" s="144"/>
      <c r="P477" s="144"/>
      <c r="Q477" s="144"/>
      <c r="R477" s="144"/>
      <c r="S477" s="144"/>
      <c r="T477" s="144"/>
      <c r="U477" s="144"/>
      <c r="V477" s="144"/>
      <c r="W477" s="144"/>
      <c r="Y477" s="144"/>
      <c r="Z477" s="144"/>
      <c r="AA477" s="144"/>
      <c r="AB477" s="144"/>
      <c r="AC477" s="144"/>
    </row>
    <row r="478" spans="1:29" x14ac:dyDescent="0.2">
      <c r="A478" s="144"/>
      <c r="B478" s="144"/>
      <c r="C478" s="144"/>
      <c r="D478" s="144"/>
      <c r="E478" s="144"/>
      <c r="F478" s="144"/>
      <c r="G478" s="144"/>
      <c r="H478" s="144"/>
      <c r="I478" s="144"/>
      <c r="J478" s="144"/>
      <c r="K478" s="144"/>
      <c r="M478" s="144"/>
      <c r="N478" s="144"/>
      <c r="O478" s="144"/>
      <c r="P478" s="144"/>
      <c r="Q478" s="144"/>
      <c r="R478" s="144"/>
      <c r="S478" s="144"/>
      <c r="T478" s="144"/>
      <c r="U478" s="144"/>
      <c r="V478" s="144"/>
      <c r="W478" s="144"/>
      <c r="Y478" s="144"/>
      <c r="Z478" s="144"/>
      <c r="AA478" s="144"/>
      <c r="AB478" s="144"/>
      <c r="AC478" s="144"/>
    </row>
    <row r="479" spans="1:29" x14ac:dyDescent="0.2">
      <c r="A479" s="144"/>
      <c r="B479" s="144"/>
      <c r="C479" s="144"/>
      <c r="D479" s="144"/>
      <c r="E479" s="144"/>
      <c r="F479" s="144"/>
      <c r="G479" s="144"/>
      <c r="H479" s="144"/>
      <c r="I479" s="144"/>
      <c r="J479" s="144"/>
      <c r="K479" s="144"/>
      <c r="M479" s="144"/>
      <c r="N479" s="144"/>
      <c r="O479" s="144"/>
      <c r="P479" s="144"/>
      <c r="Q479" s="144"/>
      <c r="R479" s="144"/>
      <c r="S479" s="144"/>
      <c r="T479" s="144"/>
      <c r="U479" s="144"/>
      <c r="V479" s="144"/>
      <c r="W479" s="144"/>
      <c r="Y479" s="144"/>
      <c r="Z479" s="144"/>
      <c r="AA479" s="144"/>
      <c r="AB479" s="144"/>
      <c r="AC479" s="144"/>
    </row>
    <row r="480" spans="1:29" x14ac:dyDescent="0.2">
      <c r="A480" s="144"/>
      <c r="B480" s="144"/>
      <c r="C480" s="144"/>
      <c r="D480" s="144"/>
      <c r="E480" s="144"/>
      <c r="F480" s="144"/>
      <c r="G480" s="144"/>
      <c r="H480" s="144"/>
      <c r="I480" s="144"/>
      <c r="J480" s="144"/>
      <c r="K480" s="144"/>
      <c r="M480" s="144"/>
      <c r="N480" s="144"/>
      <c r="O480" s="144"/>
      <c r="P480" s="144"/>
      <c r="Q480" s="144"/>
      <c r="R480" s="144"/>
      <c r="S480" s="144"/>
      <c r="T480" s="144"/>
      <c r="U480" s="144"/>
      <c r="V480" s="144"/>
      <c r="W480" s="144"/>
      <c r="Y480" s="144"/>
      <c r="Z480" s="144"/>
      <c r="AA480" s="144"/>
      <c r="AB480" s="144"/>
      <c r="AC480" s="144"/>
    </row>
    <row r="481" spans="1:29" x14ac:dyDescent="0.2">
      <c r="A481" s="144"/>
      <c r="B481" s="144"/>
      <c r="C481" s="144"/>
      <c r="D481" s="144"/>
      <c r="E481" s="144"/>
      <c r="F481" s="144"/>
      <c r="G481" s="144"/>
      <c r="H481" s="144"/>
      <c r="I481" s="144"/>
      <c r="J481" s="144"/>
      <c r="K481" s="144"/>
      <c r="M481" s="144"/>
      <c r="N481" s="144"/>
      <c r="O481" s="144"/>
      <c r="P481" s="144"/>
      <c r="Q481" s="144"/>
      <c r="R481" s="144"/>
      <c r="S481" s="144"/>
      <c r="T481" s="144"/>
      <c r="U481" s="144"/>
      <c r="V481" s="144"/>
      <c r="W481" s="144"/>
      <c r="Y481" s="144"/>
      <c r="Z481" s="144"/>
      <c r="AA481" s="144"/>
      <c r="AB481" s="144"/>
      <c r="AC481" s="144"/>
    </row>
    <row r="482" spans="1:29" x14ac:dyDescent="0.2">
      <c r="A482" s="144"/>
      <c r="B482" s="144"/>
      <c r="C482" s="144"/>
      <c r="D482" s="144"/>
      <c r="E482" s="144"/>
      <c r="F482" s="144"/>
      <c r="G482" s="144"/>
      <c r="H482" s="144"/>
      <c r="I482" s="144"/>
      <c r="J482" s="144"/>
      <c r="K482" s="144"/>
      <c r="M482" s="144"/>
      <c r="N482" s="144"/>
      <c r="O482" s="144"/>
      <c r="P482" s="144"/>
      <c r="Q482" s="144"/>
      <c r="R482" s="144"/>
      <c r="S482" s="144"/>
      <c r="T482" s="144"/>
      <c r="U482" s="144"/>
      <c r="V482" s="144"/>
      <c r="W482" s="144"/>
      <c r="Y482" s="144"/>
      <c r="Z482" s="144"/>
      <c r="AA482" s="144"/>
      <c r="AB482" s="144"/>
      <c r="AC482" s="144"/>
    </row>
    <row r="483" spans="1:29" x14ac:dyDescent="0.2">
      <c r="A483" s="144"/>
      <c r="B483" s="144"/>
      <c r="C483" s="144"/>
      <c r="D483" s="144"/>
      <c r="E483" s="144"/>
      <c r="F483" s="144"/>
      <c r="G483" s="144"/>
      <c r="H483" s="144"/>
      <c r="I483" s="144"/>
      <c r="J483" s="144"/>
      <c r="K483" s="144"/>
      <c r="M483" s="144"/>
      <c r="N483" s="144"/>
      <c r="O483" s="144"/>
      <c r="P483" s="144"/>
      <c r="Q483" s="144"/>
      <c r="R483" s="144"/>
      <c r="S483" s="144"/>
      <c r="T483" s="144"/>
      <c r="U483" s="144"/>
      <c r="V483" s="144"/>
      <c r="W483" s="144"/>
      <c r="Y483" s="144"/>
      <c r="Z483" s="144"/>
      <c r="AA483" s="144"/>
      <c r="AB483" s="144"/>
      <c r="AC483" s="144"/>
    </row>
    <row r="484" spans="1:29" x14ac:dyDescent="0.2">
      <c r="A484" s="144"/>
      <c r="B484" s="144"/>
      <c r="C484" s="144"/>
      <c r="D484" s="144"/>
      <c r="E484" s="144"/>
      <c r="F484" s="144"/>
      <c r="G484" s="144"/>
      <c r="H484" s="144"/>
      <c r="I484" s="144"/>
      <c r="J484" s="144"/>
      <c r="K484" s="144"/>
      <c r="M484" s="144"/>
      <c r="N484" s="144"/>
      <c r="O484" s="144"/>
      <c r="P484" s="144"/>
      <c r="Q484" s="144"/>
      <c r="R484" s="144"/>
      <c r="S484" s="144"/>
      <c r="T484" s="144"/>
      <c r="U484" s="144"/>
      <c r="V484" s="144"/>
      <c r="W484" s="144"/>
      <c r="Y484" s="144"/>
      <c r="Z484" s="144"/>
      <c r="AA484" s="144"/>
      <c r="AB484" s="144"/>
      <c r="AC484" s="144"/>
    </row>
    <row r="485" spans="1:29" x14ac:dyDescent="0.2">
      <c r="A485" s="144"/>
      <c r="B485" s="144"/>
      <c r="C485" s="144"/>
      <c r="D485" s="144"/>
      <c r="E485" s="144"/>
      <c r="F485" s="144"/>
      <c r="G485" s="144"/>
      <c r="H485" s="144"/>
      <c r="I485" s="144"/>
      <c r="J485" s="144"/>
      <c r="K485" s="144"/>
      <c r="M485" s="144"/>
      <c r="N485" s="144"/>
      <c r="O485" s="144"/>
      <c r="P485" s="144"/>
      <c r="Q485" s="144"/>
      <c r="R485" s="144"/>
      <c r="S485" s="144"/>
      <c r="T485" s="144"/>
      <c r="U485" s="144"/>
      <c r="V485" s="144"/>
      <c r="W485" s="144"/>
      <c r="Y485" s="144"/>
      <c r="Z485" s="144"/>
      <c r="AA485" s="144"/>
      <c r="AB485" s="144"/>
      <c r="AC485" s="144"/>
    </row>
    <row r="486" spans="1:29" x14ac:dyDescent="0.2">
      <c r="A486" s="144"/>
      <c r="B486" s="144"/>
      <c r="C486" s="144"/>
      <c r="D486" s="144"/>
      <c r="E486" s="144"/>
      <c r="F486" s="144"/>
      <c r="G486" s="144"/>
      <c r="H486" s="144"/>
      <c r="I486" s="144"/>
      <c r="J486" s="144"/>
      <c r="K486" s="144"/>
      <c r="M486" s="144"/>
      <c r="N486" s="144"/>
      <c r="O486" s="144"/>
      <c r="P486" s="144"/>
      <c r="Q486" s="144"/>
      <c r="R486" s="144"/>
      <c r="S486" s="144"/>
      <c r="T486" s="144"/>
      <c r="U486" s="144"/>
      <c r="V486" s="144"/>
      <c r="W486" s="144"/>
      <c r="Y486" s="144"/>
      <c r="Z486" s="144"/>
      <c r="AA486" s="144"/>
      <c r="AB486" s="144"/>
      <c r="AC486" s="144"/>
    </row>
    <row r="487" spans="1:29" x14ac:dyDescent="0.2">
      <c r="A487" s="144"/>
      <c r="B487" s="144"/>
      <c r="C487" s="144"/>
      <c r="D487" s="144"/>
      <c r="E487" s="144"/>
      <c r="F487" s="144"/>
      <c r="G487" s="144"/>
      <c r="H487" s="144"/>
      <c r="I487" s="144"/>
      <c r="J487" s="144"/>
      <c r="K487" s="144"/>
      <c r="M487" s="144"/>
      <c r="N487" s="144"/>
      <c r="O487" s="144"/>
      <c r="P487" s="144"/>
      <c r="Q487" s="144"/>
      <c r="R487" s="144"/>
      <c r="S487" s="144"/>
      <c r="T487" s="144"/>
      <c r="U487" s="144"/>
      <c r="V487" s="144"/>
      <c r="W487" s="144"/>
      <c r="Y487" s="144"/>
      <c r="Z487" s="144"/>
      <c r="AA487" s="144"/>
      <c r="AB487" s="144"/>
      <c r="AC487" s="144"/>
    </row>
    <row r="488" spans="1:29" x14ac:dyDescent="0.2">
      <c r="A488" s="144"/>
      <c r="B488" s="144"/>
      <c r="C488" s="144"/>
      <c r="D488" s="144"/>
      <c r="E488" s="144"/>
      <c r="F488" s="144"/>
      <c r="G488" s="144"/>
      <c r="H488" s="144"/>
      <c r="I488" s="144"/>
      <c r="J488" s="144"/>
      <c r="K488" s="144"/>
      <c r="M488" s="144"/>
      <c r="N488" s="144"/>
      <c r="O488" s="144"/>
      <c r="P488" s="144"/>
      <c r="Q488" s="144"/>
      <c r="R488" s="144"/>
      <c r="S488" s="144"/>
      <c r="T488" s="144"/>
      <c r="U488" s="144"/>
      <c r="V488" s="144"/>
      <c r="W488" s="144"/>
      <c r="Y488" s="144"/>
      <c r="Z488" s="144"/>
      <c r="AA488" s="144"/>
      <c r="AB488" s="144"/>
      <c r="AC488" s="144"/>
    </row>
    <row r="489" spans="1:29" x14ac:dyDescent="0.2">
      <c r="A489" s="144"/>
      <c r="B489" s="144"/>
      <c r="C489" s="144"/>
      <c r="D489" s="144"/>
      <c r="E489" s="144"/>
      <c r="F489" s="144"/>
      <c r="G489" s="144"/>
      <c r="H489" s="144"/>
      <c r="I489" s="144"/>
      <c r="J489" s="144"/>
      <c r="K489" s="144"/>
      <c r="M489" s="144"/>
      <c r="N489" s="144"/>
      <c r="O489" s="144"/>
      <c r="P489" s="144"/>
      <c r="Q489" s="144"/>
      <c r="R489" s="144"/>
      <c r="S489" s="144"/>
      <c r="T489" s="144"/>
      <c r="U489" s="144"/>
      <c r="V489" s="144"/>
      <c r="W489" s="144"/>
      <c r="Y489" s="144"/>
      <c r="Z489" s="144"/>
      <c r="AA489" s="144"/>
      <c r="AB489" s="144"/>
      <c r="AC489" s="144"/>
    </row>
    <row r="490" spans="1:29" x14ac:dyDescent="0.2">
      <c r="A490" s="144"/>
      <c r="B490" s="144"/>
      <c r="C490" s="144"/>
      <c r="D490" s="144"/>
      <c r="E490" s="144"/>
      <c r="F490" s="144"/>
      <c r="G490" s="144"/>
      <c r="H490" s="144"/>
      <c r="I490" s="144"/>
      <c r="J490" s="144"/>
      <c r="K490" s="144"/>
      <c r="M490" s="144"/>
      <c r="N490" s="144"/>
      <c r="O490" s="144"/>
      <c r="P490" s="144"/>
      <c r="Q490" s="144"/>
      <c r="R490" s="144"/>
      <c r="S490" s="144"/>
      <c r="T490" s="144"/>
      <c r="U490" s="144"/>
      <c r="V490" s="144"/>
      <c r="W490" s="144"/>
      <c r="Y490" s="144"/>
      <c r="Z490" s="144"/>
      <c r="AA490" s="144"/>
      <c r="AB490" s="144"/>
      <c r="AC490" s="144"/>
    </row>
    <row r="491" spans="1:29" x14ac:dyDescent="0.2">
      <c r="A491" s="144"/>
      <c r="B491" s="144"/>
      <c r="C491" s="144"/>
      <c r="D491" s="144"/>
      <c r="E491" s="144"/>
      <c r="F491" s="144"/>
      <c r="G491" s="144"/>
      <c r="H491" s="144"/>
      <c r="I491" s="144"/>
      <c r="J491" s="144"/>
      <c r="K491" s="144"/>
      <c r="M491" s="144"/>
      <c r="N491" s="144"/>
      <c r="O491" s="144"/>
      <c r="P491" s="144"/>
      <c r="Q491" s="144"/>
      <c r="R491" s="144"/>
      <c r="S491" s="144"/>
      <c r="T491" s="144"/>
      <c r="U491" s="144"/>
      <c r="V491" s="144"/>
      <c r="W491" s="144"/>
      <c r="Y491" s="144"/>
      <c r="Z491" s="144"/>
      <c r="AA491" s="144"/>
      <c r="AB491" s="144"/>
      <c r="AC491" s="144"/>
    </row>
    <row r="492" spans="1:29" x14ac:dyDescent="0.2">
      <c r="A492" s="144"/>
      <c r="B492" s="144"/>
      <c r="C492" s="144"/>
      <c r="D492" s="144"/>
      <c r="E492" s="144"/>
      <c r="F492" s="144"/>
      <c r="G492" s="144"/>
      <c r="H492" s="144"/>
      <c r="I492" s="144"/>
      <c r="J492" s="144"/>
      <c r="K492" s="144"/>
      <c r="M492" s="144"/>
      <c r="N492" s="144"/>
      <c r="O492" s="144"/>
      <c r="P492" s="144"/>
      <c r="Q492" s="144"/>
      <c r="R492" s="144"/>
      <c r="S492" s="144"/>
      <c r="T492" s="144"/>
      <c r="U492" s="144"/>
      <c r="V492" s="144"/>
      <c r="W492" s="144"/>
      <c r="Y492" s="144"/>
      <c r="Z492" s="144"/>
      <c r="AA492" s="144"/>
      <c r="AB492" s="144"/>
      <c r="AC492" s="144"/>
    </row>
    <row r="493" spans="1:29" x14ac:dyDescent="0.2">
      <c r="A493" s="144"/>
      <c r="B493" s="144"/>
      <c r="C493" s="144"/>
      <c r="D493" s="144"/>
      <c r="E493" s="144"/>
      <c r="F493" s="144"/>
      <c r="G493" s="144"/>
      <c r="H493" s="144"/>
      <c r="I493" s="144"/>
      <c r="J493" s="144"/>
      <c r="K493" s="144"/>
      <c r="M493" s="144"/>
      <c r="N493" s="144"/>
      <c r="O493" s="144"/>
      <c r="P493" s="144"/>
      <c r="Q493" s="144"/>
      <c r="R493" s="144"/>
      <c r="S493" s="144"/>
      <c r="T493" s="144"/>
      <c r="U493" s="144"/>
      <c r="V493" s="144"/>
      <c r="W493" s="144"/>
      <c r="Y493" s="144"/>
      <c r="Z493" s="144"/>
      <c r="AA493" s="144"/>
      <c r="AB493" s="144"/>
      <c r="AC493" s="144"/>
    </row>
    <row r="494" spans="1:29" x14ac:dyDescent="0.2">
      <c r="A494" s="144"/>
      <c r="B494" s="144"/>
      <c r="C494" s="144"/>
      <c r="D494" s="144"/>
      <c r="E494" s="144"/>
      <c r="F494" s="144"/>
      <c r="G494" s="144"/>
      <c r="H494" s="144"/>
      <c r="I494" s="144"/>
      <c r="J494" s="144"/>
      <c r="K494" s="144"/>
      <c r="M494" s="144"/>
      <c r="N494" s="144"/>
      <c r="O494" s="144"/>
      <c r="P494" s="144"/>
      <c r="Q494" s="144"/>
      <c r="R494" s="144"/>
      <c r="S494" s="144"/>
      <c r="T494" s="144"/>
      <c r="U494" s="144"/>
      <c r="V494" s="144"/>
      <c r="W494" s="144"/>
      <c r="Y494" s="144"/>
      <c r="Z494" s="144"/>
      <c r="AA494" s="144"/>
      <c r="AB494" s="144"/>
      <c r="AC494" s="144"/>
    </row>
    <row r="495" spans="1:29" x14ac:dyDescent="0.2">
      <c r="A495" s="144"/>
      <c r="B495" s="144"/>
      <c r="C495" s="144"/>
      <c r="D495" s="144"/>
      <c r="E495" s="144"/>
      <c r="F495" s="144"/>
      <c r="G495" s="144"/>
      <c r="H495" s="144"/>
      <c r="I495" s="144"/>
      <c r="J495" s="144"/>
      <c r="K495" s="144"/>
      <c r="M495" s="144"/>
      <c r="N495" s="144"/>
      <c r="O495" s="144"/>
      <c r="P495" s="144"/>
      <c r="Q495" s="144"/>
      <c r="R495" s="144"/>
      <c r="S495" s="144"/>
      <c r="T495" s="144"/>
      <c r="U495" s="144"/>
      <c r="V495" s="144"/>
      <c r="W495" s="144"/>
      <c r="Y495" s="144"/>
      <c r="Z495" s="144"/>
      <c r="AA495" s="144"/>
      <c r="AB495" s="144"/>
      <c r="AC495" s="144"/>
    </row>
    <row r="496" spans="1:29" x14ac:dyDescent="0.2">
      <c r="A496" s="144"/>
      <c r="B496" s="144"/>
      <c r="C496" s="144"/>
      <c r="D496" s="144"/>
      <c r="E496" s="144"/>
      <c r="F496" s="144"/>
      <c r="G496" s="144"/>
      <c r="H496" s="144"/>
      <c r="I496" s="144"/>
      <c r="J496" s="144"/>
      <c r="K496" s="144"/>
      <c r="M496" s="144"/>
      <c r="N496" s="144"/>
      <c r="O496" s="144"/>
      <c r="P496" s="144"/>
      <c r="Q496" s="144"/>
      <c r="R496" s="144"/>
      <c r="S496" s="144"/>
      <c r="T496" s="144"/>
      <c r="U496" s="144"/>
      <c r="V496" s="144"/>
      <c r="W496" s="144"/>
      <c r="Y496" s="144"/>
      <c r="Z496" s="144"/>
      <c r="AA496" s="144"/>
      <c r="AB496" s="144"/>
      <c r="AC496" s="144"/>
    </row>
    <row r="497" spans="1:29" x14ac:dyDescent="0.2">
      <c r="A497" s="144"/>
      <c r="B497" s="144"/>
      <c r="C497" s="144"/>
      <c r="D497" s="144"/>
      <c r="E497" s="144"/>
      <c r="F497" s="144"/>
      <c r="G497" s="144"/>
      <c r="H497" s="144"/>
      <c r="I497" s="144"/>
      <c r="J497" s="144"/>
      <c r="K497" s="144"/>
      <c r="M497" s="144"/>
      <c r="N497" s="144"/>
      <c r="O497" s="144"/>
      <c r="P497" s="144"/>
      <c r="Q497" s="144"/>
      <c r="R497" s="144"/>
      <c r="S497" s="144"/>
      <c r="T497" s="144"/>
      <c r="U497" s="144"/>
      <c r="V497" s="144"/>
      <c r="W497" s="144"/>
      <c r="Y497" s="144"/>
      <c r="Z497" s="144"/>
      <c r="AA497" s="144"/>
      <c r="AB497" s="144"/>
      <c r="AC497" s="144"/>
    </row>
    <row r="498" spans="1:29" x14ac:dyDescent="0.2">
      <c r="A498" s="144"/>
      <c r="B498" s="144"/>
      <c r="C498" s="144"/>
      <c r="D498" s="144"/>
      <c r="E498" s="144"/>
      <c r="F498" s="144"/>
      <c r="G498" s="144"/>
      <c r="H498" s="144"/>
      <c r="I498" s="144"/>
      <c r="J498" s="144"/>
      <c r="K498" s="144"/>
      <c r="M498" s="144"/>
      <c r="N498" s="144"/>
      <c r="O498" s="144"/>
      <c r="P498" s="144"/>
      <c r="Q498" s="144"/>
      <c r="R498" s="144"/>
      <c r="S498" s="144"/>
      <c r="T498" s="144"/>
      <c r="U498" s="144"/>
      <c r="V498" s="144"/>
      <c r="W498" s="144"/>
      <c r="Y498" s="144"/>
      <c r="Z498" s="144"/>
      <c r="AA498" s="144"/>
      <c r="AB498" s="144"/>
      <c r="AC498" s="144"/>
    </row>
    <row r="499" spans="1:29" x14ac:dyDescent="0.2">
      <c r="A499" s="144"/>
      <c r="B499" s="144"/>
      <c r="C499" s="144"/>
      <c r="D499" s="144"/>
      <c r="E499" s="144"/>
      <c r="F499" s="144"/>
      <c r="G499" s="144"/>
      <c r="H499" s="144"/>
      <c r="I499" s="144"/>
      <c r="J499" s="144"/>
      <c r="K499" s="144"/>
      <c r="M499" s="144"/>
      <c r="N499" s="144"/>
      <c r="O499" s="144"/>
      <c r="P499" s="144"/>
      <c r="Q499" s="144"/>
      <c r="R499" s="144"/>
      <c r="S499" s="144"/>
      <c r="T499" s="144"/>
      <c r="U499" s="144"/>
      <c r="V499" s="144"/>
      <c r="W499" s="144"/>
      <c r="Y499" s="144"/>
      <c r="Z499" s="144"/>
      <c r="AA499" s="144"/>
      <c r="AB499" s="144"/>
      <c r="AC499" s="144"/>
    </row>
    <row r="500" spans="1:29" x14ac:dyDescent="0.2">
      <c r="A500" s="144"/>
      <c r="B500" s="144"/>
      <c r="C500" s="144"/>
      <c r="D500" s="144"/>
      <c r="E500" s="144"/>
      <c r="F500" s="144"/>
      <c r="G500" s="144"/>
      <c r="H500" s="144"/>
      <c r="I500" s="144"/>
      <c r="J500" s="144"/>
      <c r="K500" s="144"/>
      <c r="M500" s="144"/>
      <c r="N500" s="144"/>
      <c r="O500" s="144"/>
      <c r="P500" s="144"/>
      <c r="Q500" s="144"/>
      <c r="R500" s="144"/>
      <c r="S500" s="144"/>
      <c r="T500" s="144"/>
      <c r="U500" s="144"/>
      <c r="V500" s="144"/>
      <c r="W500" s="144"/>
      <c r="Y500" s="144"/>
      <c r="Z500" s="144"/>
      <c r="AA500" s="144"/>
      <c r="AB500" s="144"/>
      <c r="AC500" s="144"/>
    </row>
    <row r="501" spans="1:29" x14ac:dyDescent="0.2">
      <c r="A501" s="144"/>
      <c r="B501" s="144"/>
      <c r="C501" s="144"/>
      <c r="D501" s="144"/>
      <c r="E501" s="144"/>
      <c r="F501" s="144"/>
      <c r="G501" s="144"/>
      <c r="H501" s="144"/>
      <c r="I501" s="144"/>
      <c r="J501" s="144"/>
      <c r="K501" s="144"/>
      <c r="M501" s="144"/>
      <c r="N501" s="144"/>
      <c r="O501" s="144"/>
      <c r="P501" s="144"/>
      <c r="Q501" s="144"/>
      <c r="R501" s="144"/>
      <c r="S501" s="144"/>
      <c r="T501" s="144"/>
      <c r="U501" s="144"/>
      <c r="V501" s="144"/>
      <c r="W501" s="144"/>
      <c r="Y501" s="144"/>
      <c r="Z501" s="144"/>
      <c r="AA501" s="144"/>
      <c r="AB501" s="144"/>
      <c r="AC501" s="144"/>
    </row>
    <row r="502" spans="1:29" x14ac:dyDescent="0.2">
      <c r="A502" s="144"/>
      <c r="B502" s="144"/>
      <c r="C502" s="144"/>
      <c r="D502" s="144"/>
      <c r="E502" s="144"/>
      <c r="F502" s="144"/>
      <c r="G502" s="144"/>
      <c r="H502" s="144"/>
      <c r="I502" s="144"/>
      <c r="J502" s="144"/>
      <c r="K502" s="144"/>
      <c r="M502" s="144"/>
      <c r="N502" s="144"/>
      <c r="O502" s="144"/>
      <c r="P502" s="144"/>
      <c r="Q502" s="144"/>
      <c r="R502" s="144"/>
      <c r="S502" s="144"/>
      <c r="T502" s="144"/>
      <c r="U502" s="144"/>
      <c r="V502" s="144"/>
      <c r="W502" s="144"/>
      <c r="Y502" s="144"/>
      <c r="Z502" s="144"/>
      <c r="AA502" s="144"/>
      <c r="AB502" s="144"/>
      <c r="AC502" s="144"/>
    </row>
    <row r="503" spans="1:29" x14ac:dyDescent="0.2">
      <c r="A503" s="144"/>
      <c r="B503" s="144"/>
      <c r="C503" s="144"/>
      <c r="D503" s="144"/>
      <c r="E503" s="144"/>
      <c r="F503" s="144"/>
      <c r="G503" s="144"/>
      <c r="H503" s="144"/>
      <c r="I503" s="144"/>
      <c r="J503" s="144"/>
      <c r="K503" s="144"/>
      <c r="M503" s="144"/>
      <c r="N503" s="144"/>
      <c r="O503" s="144"/>
      <c r="P503" s="144"/>
      <c r="Q503" s="144"/>
      <c r="R503" s="144"/>
      <c r="S503" s="144"/>
      <c r="T503" s="144"/>
      <c r="U503" s="144"/>
      <c r="V503" s="144"/>
      <c r="W503" s="144"/>
      <c r="Y503" s="144"/>
      <c r="Z503" s="144"/>
      <c r="AA503" s="144"/>
      <c r="AB503" s="144"/>
      <c r="AC503" s="144"/>
    </row>
    <row r="504" spans="1:29" x14ac:dyDescent="0.2">
      <c r="A504" s="144"/>
      <c r="B504" s="144"/>
      <c r="C504" s="144"/>
      <c r="D504" s="144"/>
      <c r="E504" s="144"/>
      <c r="F504" s="144"/>
      <c r="G504" s="144"/>
      <c r="H504" s="144"/>
      <c r="I504" s="144"/>
      <c r="J504" s="144"/>
      <c r="K504" s="144"/>
      <c r="M504" s="144"/>
      <c r="N504" s="144"/>
      <c r="O504" s="144"/>
      <c r="P504" s="144"/>
      <c r="Q504" s="144"/>
      <c r="R504" s="144"/>
      <c r="S504" s="144"/>
      <c r="T504" s="144"/>
      <c r="U504" s="144"/>
      <c r="V504" s="144"/>
      <c r="W504" s="144"/>
      <c r="Y504" s="144"/>
      <c r="Z504" s="144"/>
      <c r="AA504" s="144"/>
      <c r="AB504" s="144"/>
      <c r="AC504" s="144"/>
    </row>
    <row r="505" spans="1:29" x14ac:dyDescent="0.2">
      <c r="A505" s="144"/>
      <c r="B505" s="144"/>
      <c r="C505" s="144"/>
      <c r="D505" s="144"/>
      <c r="E505" s="144"/>
      <c r="F505" s="144"/>
      <c r="G505" s="144"/>
      <c r="H505" s="144"/>
      <c r="I505" s="144"/>
      <c r="J505" s="144"/>
      <c r="K505" s="144"/>
      <c r="M505" s="144"/>
      <c r="N505" s="144"/>
      <c r="O505" s="144"/>
      <c r="P505" s="144"/>
      <c r="Q505" s="144"/>
      <c r="R505" s="144"/>
      <c r="S505" s="144"/>
      <c r="T505" s="144"/>
      <c r="U505" s="144"/>
      <c r="V505" s="144"/>
      <c r="W505" s="144"/>
      <c r="Y505" s="144"/>
      <c r="Z505" s="144"/>
      <c r="AA505" s="144"/>
      <c r="AB505" s="144"/>
      <c r="AC505" s="144"/>
    </row>
    <row r="506" spans="1:29" x14ac:dyDescent="0.2">
      <c r="A506" s="144"/>
      <c r="B506" s="144"/>
      <c r="C506" s="144"/>
      <c r="D506" s="144"/>
      <c r="E506" s="144"/>
      <c r="F506" s="144"/>
      <c r="G506" s="144"/>
      <c r="H506" s="144"/>
      <c r="I506" s="144"/>
      <c r="J506" s="144"/>
      <c r="K506" s="144"/>
      <c r="M506" s="144"/>
      <c r="N506" s="144"/>
      <c r="O506" s="144"/>
      <c r="P506" s="144"/>
      <c r="Q506" s="144"/>
      <c r="R506" s="144"/>
      <c r="S506" s="144"/>
      <c r="T506" s="144"/>
      <c r="U506" s="144"/>
      <c r="V506" s="144"/>
      <c r="W506" s="144"/>
      <c r="Y506" s="144"/>
      <c r="Z506" s="144"/>
      <c r="AA506" s="144"/>
      <c r="AB506" s="144"/>
      <c r="AC506" s="144"/>
    </row>
    <row r="507" spans="1:29" x14ac:dyDescent="0.2">
      <c r="A507" s="144"/>
      <c r="B507" s="144"/>
      <c r="C507" s="144"/>
      <c r="D507" s="144"/>
      <c r="E507" s="144"/>
      <c r="F507" s="144"/>
      <c r="G507" s="144"/>
      <c r="H507" s="144"/>
      <c r="I507" s="144"/>
      <c r="J507" s="144"/>
      <c r="K507" s="144"/>
      <c r="M507" s="144"/>
      <c r="N507" s="144"/>
      <c r="O507" s="144"/>
      <c r="P507" s="144"/>
      <c r="Q507" s="144"/>
      <c r="R507" s="144"/>
      <c r="S507" s="144"/>
      <c r="T507" s="144"/>
      <c r="U507" s="144"/>
      <c r="V507" s="144"/>
      <c r="W507" s="144"/>
      <c r="Y507" s="144"/>
      <c r="Z507" s="144"/>
      <c r="AA507" s="144"/>
      <c r="AB507" s="144"/>
      <c r="AC507" s="144"/>
    </row>
    <row r="508" spans="1:29" x14ac:dyDescent="0.2">
      <c r="A508" s="144"/>
      <c r="B508" s="144"/>
      <c r="C508" s="144"/>
      <c r="D508" s="144"/>
      <c r="E508" s="144"/>
      <c r="F508" s="144"/>
      <c r="G508" s="144"/>
      <c r="H508" s="144"/>
      <c r="I508" s="144"/>
      <c r="J508" s="144"/>
      <c r="K508" s="144"/>
      <c r="M508" s="144"/>
      <c r="N508" s="144"/>
      <c r="O508" s="144"/>
      <c r="P508" s="144"/>
      <c r="Q508" s="144"/>
      <c r="R508" s="144"/>
      <c r="S508" s="144"/>
      <c r="T508" s="144"/>
      <c r="U508" s="144"/>
      <c r="V508" s="144"/>
      <c r="W508" s="144"/>
      <c r="Y508" s="144"/>
      <c r="Z508" s="144"/>
      <c r="AA508" s="144"/>
      <c r="AB508" s="144"/>
      <c r="AC508" s="144"/>
    </row>
    <row r="509" spans="1:29" x14ac:dyDescent="0.2">
      <c r="A509" s="144"/>
      <c r="B509" s="144"/>
      <c r="C509" s="144"/>
      <c r="D509" s="144"/>
      <c r="E509" s="144"/>
      <c r="F509" s="144"/>
      <c r="G509" s="144"/>
      <c r="H509" s="144"/>
      <c r="I509" s="144"/>
      <c r="J509" s="144"/>
      <c r="K509" s="144"/>
      <c r="M509" s="144"/>
      <c r="N509" s="144"/>
      <c r="O509" s="144"/>
      <c r="P509" s="144"/>
      <c r="Q509" s="144"/>
      <c r="R509" s="144"/>
      <c r="S509" s="144"/>
      <c r="T509" s="144"/>
      <c r="U509" s="144"/>
      <c r="V509" s="144"/>
      <c r="W509" s="144"/>
      <c r="Y509" s="144"/>
      <c r="Z509" s="144"/>
      <c r="AA509" s="144"/>
      <c r="AB509" s="144"/>
      <c r="AC509" s="144"/>
    </row>
    <row r="510" spans="1:29" x14ac:dyDescent="0.2">
      <c r="A510" s="144"/>
      <c r="B510" s="144"/>
      <c r="C510" s="144"/>
      <c r="D510" s="144"/>
      <c r="E510" s="144"/>
      <c r="F510" s="144"/>
      <c r="G510" s="144"/>
      <c r="H510" s="144"/>
      <c r="I510" s="144"/>
      <c r="J510" s="144"/>
      <c r="K510" s="144"/>
      <c r="M510" s="144"/>
      <c r="N510" s="144"/>
      <c r="O510" s="144"/>
      <c r="P510" s="144"/>
      <c r="Q510" s="144"/>
      <c r="R510" s="144"/>
      <c r="S510" s="144"/>
      <c r="T510" s="144"/>
      <c r="U510" s="144"/>
      <c r="V510" s="144"/>
      <c r="W510" s="144"/>
      <c r="Y510" s="144"/>
      <c r="Z510" s="144"/>
      <c r="AA510" s="144"/>
      <c r="AB510" s="144"/>
      <c r="AC510" s="144"/>
    </row>
    <row r="511" spans="1:29" x14ac:dyDescent="0.2">
      <c r="A511" s="144"/>
      <c r="B511" s="144"/>
      <c r="C511" s="144"/>
      <c r="D511" s="144"/>
      <c r="E511" s="144"/>
      <c r="F511" s="144"/>
      <c r="G511" s="144"/>
      <c r="H511" s="144"/>
      <c r="I511" s="144"/>
      <c r="J511" s="144"/>
      <c r="K511" s="144"/>
      <c r="M511" s="144"/>
      <c r="N511" s="144"/>
      <c r="O511" s="144"/>
      <c r="P511" s="144"/>
      <c r="Q511" s="144"/>
      <c r="R511" s="144"/>
      <c r="S511" s="144"/>
      <c r="T511" s="144"/>
      <c r="U511" s="144"/>
      <c r="V511" s="144"/>
      <c r="W511" s="144"/>
      <c r="Y511" s="144"/>
      <c r="Z511" s="144"/>
      <c r="AA511" s="144"/>
      <c r="AB511" s="144"/>
      <c r="AC511" s="144"/>
    </row>
    <row r="512" spans="1:29" x14ac:dyDescent="0.2">
      <c r="A512" s="144"/>
      <c r="B512" s="144"/>
      <c r="C512" s="144"/>
      <c r="D512" s="144"/>
      <c r="E512" s="144"/>
      <c r="F512" s="144"/>
      <c r="G512" s="144"/>
      <c r="H512" s="144"/>
      <c r="I512" s="144"/>
      <c r="J512" s="144"/>
      <c r="K512" s="144"/>
      <c r="M512" s="144"/>
      <c r="N512" s="144"/>
      <c r="O512" s="144"/>
      <c r="P512" s="144"/>
      <c r="Q512" s="144"/>
      <c r="R512" s="144"/>
      <c r="S512" s="144"/>
      <c r="T512" s="144"/>
      <c r="U512" s="144"/>
      <c r="V512" s="144"/>
      <c r="W512" s="144"/>
      <c r="Y512" s="144"/>
      <c r="Z512" s="144"/>
      <c r="AA512" s="144"/>
      <c r="AB512" s="144"/>
      <c r="AC512" s="144"/>
    </row>
    <row r="513" spans="1:29" x14ac:dyDescent="0.2">
      <c r="A513" s="144"/>
      <c r="B513" s="144"/>
      <c r="C513" s="144"/>
      <c r="D513" s="144"/>
      <c r="E513" s="144"/>
      <c r="F513" s="144"/>
      <c r="G513" s="144"/>
      <c r="H513" s="144"/>
      <c r="I513" s="144"/>
      <c r="J513" s="144"/>
      <c r="K513" s="144"/>
      <c r="M513" s="144"/>
      <c r="N513" s="144"/>
      <c r="O513" s="144"/>
      <c r="P513" s="144"/>
      <c r="Q513" s="144"/>
      <c r="R513" s="144"/>
      <c r="S513" s="144"/>
      <c r="T513" s="144"/>
      <c r="U513" s="144"/>
      <c r="V513" s="144"/>
      <c r="W513" s="144"/>
      <c r="Y513" s="144"/>
      <c r="Z513" s="144"/>
      <c r="AA513" s="144"/>
      <c r="AB513" s="144"/>
      <c r="AC513" s="144"/>
    </row>
    <row r="514" spans="1:29" x14ac:dyDescent="0.2">
      <c r="A514" s="144"/>
      <c r="B514" s="144"/>
      <c r="C514" s="144"/>
      <c r="D514" s="144"/>
      <c r="E514" s="144"/>
      <c r="F514" s="144"/>
      <c r="G514" s="144"/>
      <c r="H514" s="144"/>
      <c r="I514" s="144"/>
      <c r="J514" s="144"/>
      <c r="K514" s="144"/>
      <c r="M514" s="144"/>
      <c r="N514" s="144"/>
      <c r="O514" s="144"/>
      <c r="P514" s="144"/>
      <c r="Q514" s="144"/>
      <c r="R514" s="144"/>
      <c r="S514" s="144"/>
      <c r="T514" s="144"/>
      <c r="U514" s="144"/>
      <c r="V514" s="144"/>
      <c r="W514" s="144"/>
      <c r="Y514" s="144"/>
      <c r="Z514" s="144"/>
      <c r="AA514" s="144"/>
      <c r="AB514" s="144"/>
      <c r="AC514" s="144"/>
    </row>
    <row r="515" spans="1:29" x14ac:dyDescent="0.2">
      <c r="A515" s="144"/>
      <c r="B515" s="144"/>
      <c r="C515" s="144"/>
      <c r="D515" s="144"/>
      <c r="E515" s="144"/>
      <c r="F515" s="144"/>
      <c r="G515" s="144"/>
      <c r="H515" s="144"/>
      <c r="I515" s="144"/>
      <c r="J515" s="144"/>
      <c r="K515" s="144"/>
      <c r="M515" s="144"/>
      <c r="N515" s="144"/>
      <c r="O515" s="144"/>
      <c r="P515" s="144"/>
      <c r="Q515" s="144"/>
      <c r="R515" s="144"/>
      <c r="S515" s="144"/>
      <c r="T515" s="144"/>
      <c r="U515" s="144"/>
      <c r="V515" s="144"/>
      <c r="W515" s="144"/>
      <c r="Y515" s="144"/>
      <c r="Z515" s="144"/>
      <c r="AA515" s="144"/>
      <c r="AB515" s="144"/>
      <c r="AC515" s="144"/>
    </row>
    <row r="516" spans="1:29" x14ac:dyDescent="0.2">
      <c r="A516" s="144"/>
      <c r="B516" s="144"/>
      <c r="C516" s="144"/>
      <c r="D516" s="144"/>
      <c r="E516" s="144"/>
      <c r="F516" s="144"/>
      <c r="G516" s="144"/>
      <c r="H516" s="144"/>
      <c r="I516" s="144"/>
      <c r="J516" s="144"/>
      <c r="K516" s="144"/>
      <c r="M516" s="144"/>
      <c r="N516" s="144"/>
      <c r="O516" s="144"/>
      <c r="P516" s="144"/>
      <c r="Q516" s="144"/>
      <c r="R516" s="144"/>
      <c r="S516" s="144"/>
      <c r="T516" s="144"/>
      <c r="U516" s="144"/>
      <c r="V516" s="144"/>
      <c r="W516" s="144"/>
      <c r="Y516" s="144"/>
      <c r="Z516" s="144"/>
      <c r="AA516" s="144"/>
      <c r="AB516" s="144"/>
      <c r="AC516" s="144"/>
    </row>
    <row r="517" spans="1:29" x14ac:dyDescent="0.2">
      <c r="A517" s="144"/>
      <c r="B517" s="144"/>
      <c r="C517" s="144"/>
      <c r="D517" s="144"/>
      <c r="E517" s="144"/>
      <c r="F517" s="144"/>
      <c r="G517" s="144"/>
      <c r="H517" s="144"/>
      <c r="I517" s="144"/>
      <c r="J517" s="144"/>
      <c r="K517" s="144"/>
      <c r="M517" s="144"/>
      <c r="N517" s="144"/>
      <c r="O517" s="144"/>
      <c r="P517" s="144"/>
      <c r="Q517" s="144"/>
      <c r="R517" s="144"/>
      <c r="S517" s="144"/>
      <c r="T517" s="144"/>
      <c r="U517" s="144"/>
      <c r="V517" s="144"/>
      <c r="W517" s="144"/>
      <c r="Y517" s="144"/>
      <c r="Z517" s="144"/>
      <c r="AA517" s="144"/>
      <c r="AB517" s="144"/>
      <c r="AC517" s="144"/>
    </row>
    <row r="518" spans="1:29" x14ac:dyDescent="0.2">
      <c r="A518" s="144"/>
      <c r="B518" s="144"/>
      <c r="C518" s="144"/>
      <c r="D518" s="144"/>
      <c r="E518" s="144"/>
      <c r="F518" s="144"/>
      <c r="G518" s="144"/>
      <c r="H518" s="144"/>
      <c r="I518" s="144"/>
      <c r="J518" s="144"/>
      <c r="K518" s="144"/>
      <c r="M518" s="144"/>
      <c r="N518" s="144"/>
      <c r="O518" s="144"/>
      <c r="P518" s="144"/>
      <c r="Q518" s="144"/>
      <c r="R518" s="144"/>
      <c r="S518" s="144"/>
      <c r="T518" s="144"/>
      <c r="U518" s="144"/>
      <c r="V518" s="144"/>
      <c r="W518" s="144"/>
      <c r="Y518" s="144"/>
      <c r="Z518" s="144"/>
      <c r="AA518" s="144"/>
      <c r="AB518" s="144"/>
      <c r="AC518" s="144"/>
    </row>
    <row r="519" spans="1:29" x14ac:dyDescent="0.2">
      <c r="A519" s="144"/>
      <c r="B519" s="144"/>
      <c r="C519" s="144"/>
      <c r="D519" s="144"/>
      <c r="E519" s="144"/>
      <c r="F519" s="144"/>
      <c r="G519" s="144"/>
      <c r="H519" s="144"/>
      <c r="I519" s="144"/>
      <c r="J519" s="144"/>
      <c r="K519" s="144"/>
      <c r="M519" s="144"/>
      <c r="N519" s="144"/>
      <c r="O519" s="144"/>
      <c r="P519" s="144"/>
      <c r="Q519" s="144"/>
      <c r="R519" s="144"/>
      <c r="S519" s="144"/>
      <c r="T519" s="144"/>
      <c r="U519" s="144"/>
      <c r="V519" s="144"/>
      <c r="W519" s="144"/>
      <c r="Y519" s="144"/>
      <c r="Z519" s="144"/>
      <c r="AA519" s="144"/>
      <c r="AB519" s="144"/>
      <c r="AC519" s="144"/>
    </row>
    <row r="520" spans="1:29" x14ac:dyDescent="0.2">
      <c r="A520" s="144"/>
      <c r="B520" s="144"/>
      <c r="C520" s="144"/>
      <c r="D520" s="144"/>
      <c r="E520" s="144"/>
      <c r="F520" s="144"/>
      <c r="G520" s="144"/>
      <c r="H520" s="144"/>
      <c r="I520" s="144"/>
      <c r="J520" s="144"/>
      <c r="K520" s="144"/>
      <c r="M520" s="144"/>
      <c r="N520" s="144"/>
      <c r="O520" s="144"/>
      <c r="P520" s="144"/>
      <c r="Q520" s="144"/>
      <c r="R520" s="144"/>
      <c r="S520" s="144"/>
      <c r="T520" s="144"/>
      <c r="U520" s="144"/>
      <c r="V520" s="144"/>
      <c r="W520" s="144"/>
      <c r="Y520" s="144"/>
      <c r="Z520" s="144"/>
      <c r="AA520" s="144"/>
      <c r="AB520" s="144"/>
      <c r="AC520" s="144"/>
    </row>
    <row r="521" spans="1:29" x14ac:dyDescent="0.2">
      <c r="A521" s="144"/>
      <c r="B521" s="144"/>
      <c r="C521" s="144"/>
      <c r="D521" s="144"/>
      <c r="E521" s="144"/>
      <c r="F521" s="144"/>
      <c r="G521" s="144"/>
      <c r="H521" s="144"/>
      <c r="I521" s="144"/>
      <c r="J521" s="144"/>
      <c r="K521" s="144"/>
      <c r="M521" s="144"/>
      <c r="N521" s="144"/>
      <c r="O521" s="144"/>
      <c r="P521" s="144"/>
      <c r="Q521" s="144"/>
      <c r="R521" s="144"/>
      <c r="S521" s="144"/>
      <c r="T521" s="144"/>
      <c r="U521" s="144"/>
      <c r="V521" s="144"/>
      <c r="W521" s="144"/>
      <c r="Y521" s="144"/>
      <c r="Z521" s="144"/>
      <c r="AA521" s="144"/>
      <c r="AB521" s="144"/>
      <c r="AC521" s="144"/>
    </row>
    <row r="522" spans="1:29" x14ac:dyDescent="0.2">
      <c r="A522" s="144"/>
      <c r="B522" s="144"/>
      <c r="C522" s="144"/>
      <c r="D522" s="144"/>
      <c r="E522" s="144"/>
      <c r="F522" s="144"/>
      <c r="G522" s="144"/>
      <c r="H522" s="144"/>
      <c r="I522" s="144"/>
      <c r="J522" s="144"/>
      <c r="K522" s="144"/>
      <c r="M522" s="144"/>
      <c r="N522" s="144"/>
      <c r="O522" s="144"/>
      <c r="P522" s="144"/>
      <c r="Q522" s="144"/>
      <c r="R522" s="144"/>
      <c r="S522" s="144"/>
      <c r="T522" s="144"/>
      <c r="U522" s="144"/>
      <c r="V522" s="144"/>
      <c r="W522" s="144"/>
      <c r="Y522" s="144"/>
      <c r="Z522" s="144"/>
      <c r="AA522" s="144"/>
      <c r="AB522" s="144"/>
      <c r="AC522" s="144"/>
    </row>
    <row r="523" spans="1:29" x14ac:dyDescent="0.2">
      <c r="A523" s="144"/>
      <c r="B523" s="144"/>
      <c r="C523" s="144"/>
      <c r="D523" s="144"/>
      <c r="E523" s="144"/>
      <c r="F523" s="144"/>
      <c r="G523" s="144"/>
      <c r="H523" s="144"/>
      <c r="I523" s="144"/>
      <c r="J523" s="144"/>
      <c r="K523" s="144"/>
      <c r="M523" s="144"/>
      <c r="N523" s="144"/>
      <c r="O523" s="144"/>
      <c r="P523" s="144"/>
      <c r="Q523" s="144"/>
      <c r="R523" s="144"/>
      <c r="S523" s="144"/>
      <c r="T523" s="144"/>
      <c r="U523" s="144"/>
      <c r="V523" s="144"/>
      <c r="W523" s="144"/>
      <c r="Y523" s="144"/>
      <c r="Z523" s="144"/>
      <c r="AA523" s="144"/>
      <c r="AB523" s="144"/>
      <c r="AC523" s="144"/>
    </row>
    <row r="524" spans="1:29" x14ac:dyDescent="0.2">
      <c r="A524" s="144"/>
      <c r="B524" s="144"/>
      <c r="C524" s="144"/>
      <c r="D524" s="144"/>
      <c r="E524" s="144"/>
      <c r="F524" s="144"/>
      <c r="G524" s="144"/>
      <c r="H524" s="144"/>
      <c r="I524" s="144"/>
      <c r="J524" s="144"/>
      <c r="K524" s="144"/>
      <c r="M524" s="144"/>
      <c r="N524" s="144"/>
      <c r="O524" s="144"/>
      <c r="P524" s="144"/>
      <c r="Q524" s="144"/>
      <c r="R524" s="144"/>
      <c r="S524" s="144"/>
      <c r="T524" s="144"/>
      <c r="U524" s="144"/>
      <c r="V524" s="144"/>
      <c r="W524" s="144"/>
      <c r="Y524" s="144"/>
      <c r="Z524" s="144"/>
      <c r="AA524" s="144"/>
      <c r="AB524" s="144"/>
      <c r="AC524" s="144"/>
    </row>
    <row r="525" spans="1:29" x14ac:dyDescent="0.2">
      <c r="A525" s="144"/>
      <c r="B525" s="144"/>
      <c r="C525" s="144"/>
      <c r="D525" s="144"/>
      <c r="E525" s="144"/>
      <c r="F525" s="144"/>
      <c r="G525" s="144"/>
      <c r="H525" s="144"/>
      <c r="I525" s="144"/>
      <c r="J525" s="144"/>
      <c r="K525" s="144"/>
      <c r="M525" s="144"/>
      <c r="N525" s="144"/>
      <c r="O525" s="144"/>
      <c r="P525" s="144"/>
      <c r="Q525" s="144"/>
      <c r="R525" s="144"/>
      <c r="S525" s="144"/>
      <c r="T525" s="144"/>
      <c r="U525" s="144"/>
      <c r="V525" s="144"/>
      <c r="W525" s="144"/>
      <c r="Y525" s="144"/>
      <c r="Z525" s="144"/>
      <c r="AA525" s="144"/>
      <c r="AB525" s="144"/>
      <c r="AC525" s="144"/>
    </row>
    <row r="526" spans="1:29" x14ac:dyDescent="0.2">
      <c r="A526" s="144"/>
      <c r="B526" s="144"/>
      <c r="C526" s="144"/>
      <c r="D526" s="144"/>
      <c r="E526" s="144"/>
      <c r="F526" s="144"/>
      <c r="G526" s="144"/>
      <c r="H526" s="144"/>
      <c r="I526" s="144"/>
      <c r="J526" s="144"/>
      <c r="K526" s="144"/>
      <c r="M526" s="144"/>
      <c r="N526" s="144"/>
      <c r="O526" s="144"/>
      <c r="P526" s="144"/>
      <c r="Q526" s="144"/>
      <c r="R526" s="144"/>
      <c r="S526" s="144"/>
      <c r="T526" s="144"/>
      <c r="U526" s="144"/>
      <c r="V526" s="144"/>
      <c r="W526" s="144"/>
      <c r="Y526" s="144"/>
      <c r="Z526" s="144"/>
      <c r="AA526" s="144"/>
      <c r="AB526" s="144"/>
      <c r="AC526" s="144"/>
    </row>
    <row r="527" spans="1:29" x14ac:dyDescent="0.2">
      <c r="A527" s="144"/>
      <c r="B527" s="144"/>
      <c r="C527" s="144"/>
      <c r="D527" s="144"/>
      <c r="E527" s="144"/>
      <c r="F527" s="144"/>
      <c r="G527" s="144"/>
      <c r="H527" s="144"/>
      <c r="I527" s="144"/>
      <c r="J527" s="144"/>
      <c r="K527" s="144"/>
      <c r="M527" s="144"/>
      <c r="N527" s="144"/>
      <c r="O527" s="144"/>
      <c r="P527" s="144"/>
      <c r="Q527" s="144"/>
      <c r="R527" s="144"/>
      <c r="S527" s="144"/>
      <c r="T527" s="144"/>
      <c r="U527" s="144"/>
      <c r="V527" s="144"/>
      <c r="W527" s="144"/>
      <c r="Y527" s="144"/>
      <c r="Z527" s="144"/>
      <c r="AA527" s="144"/>
      <c r="AB527" s="144"/>
      <c r="AC527" s="144"/>
    </row>
    <row r="528" spans="1:29" x14ac:dyDescent="0.2">
      <c r="A528" s="144"/>
      <c r="B528" s="144"/>
      <c r="C528" s="144"/>
      <c r="D528" s="144"/>
      <c r="E528" s="144"/>
      <c r="F528" s="144"/>
      <c r="G528" s="144"/>
      <c r="H528" s="144"/>
      <c r="I528" s="144"/>
      <c r="J528" s="144"/>
      <c r="K528" s="144"/>
      <c r="M528" s="144"/>
      <c r="N528" s="144"/>
      <c r="O528" s="144"/>
      <c r="P528" s="144"/>
      <c r="Q528" s="144"/>
      <c r="R528" s="144"/>
      <c r="S528" s="144"/>
      <c r="T528" s="144"/>
      <c r="U528" s="144"/>
      <c r="V528" s="144"/>
      <c r="W528" s="144"/>
      <c r="Y528" s="144"/>
      <c r="Z528" s="144"/>
      <c r="AA528" s="144"/>
      <c r="AB528" s="144"/>
      <c r="AC528" s="144"/>
    </row>
    <row r="529" spans="1:29" x14ac:dyDescent="0.2">
      <c r="A529" s="144"/>
      <c r="B529" s="144"/>
      <c r="C529" s="144"/>
      <c r="D529" s="144"/>
      <c r="E529" s="144"/>
      <c r="F529" s="144"/>
      <c r="G529" s="144"/>
      <c r="H529" s="144"/>
      <c r="I529" s="144"/>
      <c r="J529" s="144"/>
      <c r="K529" s="144"/>
      <c r="M529" s="144"/>
      <c r="N529" s="144"/>
      <c r="O529" s="144"/>
      <c r="P529" s="144"/>
      <c r="Q529" s="144"/>
      <c r="R529" s="144"/>
      <c r="S529" s="144"/>
      <c r="T529" s="144"/>
      <c r="U529" s="144"/>
      <c r="V529" s="144"/>
      <c r="W529" s="144"/>
      <c r="Y529" s="144"/>
      <c r="Z529" s="144"/>
      <c r="AA529" s="144"/>
      <c r="AB529" s="144"/>
      <c r="AC529" s="144"/>
    </row>
    <row r="530" spans="1:29" x14ac:dyDescent="0.2">
      <c r="A530" s="144"/>
      <c r="B530" s="144"/>
      <c r="C530" s="144"/>
      <c r="D530" s="144"/>
      <c r="E530" s="144"/>
      <c r="F530" s="144"/>
      <c r="G530" s="144"/>
      <c r="H530" s="144"/>
      <c r="I530" s="144"/>
      <c r="J530" s="144"/>
      <c r="K530" s="144"/>
      <c r="M530" s="144"/>
      <c r="N530" s="144"/>
      <c r="O530" s="144"/>
      <c r="P530" s="144"/>
      <c r="Q530" s="144"/>
      <c r="R530" s="144"/>
      <c r="S530" s="144"/>
      <c r="T530" s="144"/>
      <c r="U530" s="144"/>
      <c r="V530" s="144"/>
      <c r="W530" s="144"/>
      <c r="Y530" s="144"/>
      <c r="Z530" s="144"/>
      <c r="AA530" s="144"/>
      <c r="AB530" s="144"/>
      <c r="AC530" s="144"/>
    </row>
    <row r="531" spans="1:29" x14ac:dyDescent="0.2">
      <c r="A531" s="144"/>
      <c r="B531" s="144"/>
      <c r="C531" s="144"/>
      <c r="D531" s="144"/>
      <c r="E531" s="144"/>
      <c r="F531" s="144"/>
      <c r="G531" s="144"/>
      <c r="H531" s="144"/>
      <c r="I531" s="144"/>
      <c r="J531" s="144"/>
      <c r="K531" s="144"/>
      <c r="M531" s="144"/>
      <c r="N531" s="144"/>
      <c r="O531" s="144"/>
      <c r="P531" s="144"/>
      <c r="Q531" s="144"/>
      <c r="R531" s="144"/>
      <c r="S531" s="144"/>
      <c r="T531" s="144"/>
      <c r="U531" s="144"/>
      <c r="V531" s="144"/>
      <c r="W531" s="144"/>
      <c r="Y531" s="144"/>
      <c r="Z531" s="144"/>
      <c r="AA531" s="144"/>
      <c r="AB531" s="144"/>
      <c r="AC531" s="144"/>
    </row>
    <row r="532" spans="1:29" x14ac:dyDescent="0.2">
      <c r="A532" s="144"/>
      <c r="B532" s="144"/>
      <c r="C532" s="144"/>
      <c r="D532" s="144"/>
      <c r="E532" s="144"/>
      <c r="F532" s="144"/>
      <c r="G532" s="144"/>
      <c r="H532" s="144"/>
      <c r="I532" s="144"/>
      <c r="J532" s="144"/>
      <c r="K532" s="144"/>
      <c r="M532" s="144"/>
      <c r="N532" s="144"/>
      <c r="O532" s="144"/>
      <c r="P532" s="144"/>
      <c r="Q532" s="144"/>
      <c r="R532" s="144"/>
      <c r="S532" s="144"/>
      <c r="T532" s="144"/>
      <c r="U532" s="144"/>
      <c r="V532" s="144"/>
      <c r="W532" s="144"/>
      <c r="Y532" s="144"/>
      <c r="Z532" s="144"/>
      <c r="AA532" s="144"/>
      <c r="AB532" s="144"/>
      <c r="AC532" s="144"/>
    </row>
    <row r="533" spans="1:29" x14ac:dyDescent="0.2">
      <c r="A533" s="144"/>
      <c r="B533" s="144"/>
      <c r="C533" s="144"/>
      <c r="D533" s="144"/>
      <c r="E533" s="144"/>
      <c r="F533" s="144"/>
      <c r="G533" s="144"/>
      <c r="H533" s="144"/>
      <c r="I533" s="144"/>
      <c r="J533" s="144"/>
      <c r="K533" s="144"/>
      <c r="M533" s="144"/>
      <c r="N533" s="144"/>
      <c r="O533" s="144"/>
      <c r="P533" s="144"/>
      <c r="Q533" s="144"/>
      <c r="R533" s="144"/>
      <c r="S533" s="144"/>
      <c r="T533" s="144"/>
      <c r="U533" s="144"/>
      <c r="V533" s="144"/>
      <c r="W533" s="144"/>
      <c r="Y533" s="144"/>
      <c r="Z533" s="144"/>
      <c r="AA533" s="144"/>
      <c r="AB533" s="144"/>
      <c r="AC533" s="144"/>
    </row>
    <row r="534" spans="1:29" x14ac:dyDescent="0.2">
      <c r="A534" s="144"/>
      <c r="B534" s="144"/>
      <c r="C534" s="144"/>
      <c r="D534" s="144"/>
      <c r="E534" s="144"/>
      <c r="F534" s="144"/>
      <c r="G534" s="144"/>
      <c r="H534" s="144"/>
      <c r="I534" s="144"/>
      <c r="J534" s="144"/>
      <c r="K534" s="144"/>
      <c r="M534" s="144"/>
      <c r="N534" s="144"/>
      <c r="O534" s="144"/>
      <c r="P534" s="144"/>
      <c r="Q534" s="144"/>
      <c r="R534" s="144"/>
      <c r="S534" s="144"/>
      <c r="T534" s="144"/>
      <c r="U534" s="144"/>
      <c r="V534" s="144"/>
      <c r="W534" s="144"/>
      <c r="Y534" s="144"/>
      <c r="Z534" s="144"/>
      <c r="AA534" s="144"/>
      <c r="AB534" s="144"/>
      <c r="AC534" s="144"/>
    </row>
    <row r="535" spans="1:29" x14ac:dyDescent="0.2">
      <c r="A535" s="144"/>
      <c r="B535" s="144"/>
      <c r="C535" s="144"/>
      <c r="D535" s="144"/>
      <c r="E535" s="144"/>
      <c r="F535" s="144"/>
      <c r="G535" s="144"/>
      <c r="H535" s="144"/>
      <c r="I535" s="144"/>
      <c r="J535" s="144"/>
      <c r="K535" s="144"/>
      <c r="M535" s="144"/>
      <c r="N535" s="144"/>
      <c r="O535" s="144"/>
      <c r="P535" s="144"/>
      <c r="Q535" s="144"/>
      <c r="R535" s="144"/>
      <c r="S535" s="144"/>
      <c r="T535" s="144"/>
      <c r="U535" s="144"/>
      <c r="V535" s="144"/>
      <c r="W535" s="144"/>
      <c r="Y535" s="144"/>
      <c r="Z535" s="144"/>
      <c r="AA535" s="144"/>
      <c r="AB535" s="144"/>
      <c r="AC535" s="144"/>
    </row>
    <row r="536" spans="1:29" x14ac:dyDescent="0.2">
      <c r="A536" s="144"/>
      <c r="B536" s="144"/>
      <c r="C536" s="144"/>
      <c r="D536" s="144"/>
      <c r="E536" s="144"/>
      <c r="F536" s="144"/>
      <c r="G536" s="144"/>
      <c r="H536" s="144"/>
      <c r="I536" s="144"/>
      <c r="J536" s="144"/>
      <c r="K536" s="144"/>
      <c r="M536" s="144"/>
      <c r="N536" s="144"/>
      <c r="O536" s="144"/>
      <c r="P536" s="144"/>
      <c r="Q536" s="144"/>
      <c r="R536" s="144"/>
      <c r="S536" s="144"/>
      <c r="T536" s="144"/>
      <c r="U536" s="144"/>
      <c r="V536" s="144"/>
      <c r="W536" s="144"/>
      <c r="Y536" s="144"/>
      <c r="Z536" s="144"/>
      <c r="AA536" s="144"/>
      <c r="AB536" s="144"/>
      <c r="AC536" s="144"/>
    </row>
    <row r="537" spans="1:29" x14ac:dyDescent="0.2">
      <c r="A537" s="144"/>
      <c r="B537" s="144"/>
      <c r="C537" s="144"/>
      <c r="D537" s="144"/>
      <c r="E537" s="144"/>
      <c r="F537" s="144"/>
      <c r="G537" s="144"/>
      <c r="H537" s="144"/>
      <c r="I537" s="144"/>
      <c r="J537" s="144"/>
      <c r="K537" s="144"/>
      <c r="M537" s="144"/>
      <c r="N537" s="144"/>
      <c r="O537" s="144"/>
      <c r="P537" s="144"/>
      <c r="Q537" s="144"/>
      <c r="R537" s="144"/>
      <c r="S537" s="144"/>
      <c r="T537" s="144"/>
      <c r="U537" s="144"/>
      <c r="V537" s="144"/>
      <c r="W537" s="144"/>
      <c r="Y537" s="144"/>
      <c r="Z537" s="144"/>
      <c r="AA537" s="144"/>
      <c r="AB537" s="144"/>
      <c r="AC537" s="144"/>
    </row>
    <row r="538" spans="1:29" x14ac:dyDescent="0.2">
      <c r="A538" s="144"/>
      <c r="B538" s="144"/>
      <c r="C538" s="144"/>
      <c r="D538" s="144"/>
      <c r="E538" s="144"/>
      <c r="F538" s="144"/>
      <c r="G538" s="144"/>
      <c r="H538" s="144"/>
      <c r="I538" s="144"/>
      <c r="J538" s="144"/>
      <c r="K538" s="144"/>
      <c r="M538" s="144"/>
      <c r="N538" s="144"/>
      <c r="O538" s="144"/>
      <c r="P538" s="144"/>
      <c r="Q538" s="144"/>
      <c r="R538" s="144"/>
      <c r="S538" s="144"/>
      <c r="T538" s="144"/>
      <c r="U538" s="144"/>
      <c r="V538" s="144"/>
      <c r="W538" s="144"/>
      <c r="Y538" s="144"/>
      <c r="Z538" s="144"/>
      <c r="AA538" s="144"/>
      <c r="AB538" s="144"/>
      <c r="AC538" s="144"/>
    </row>
    <row r="539" spans="1:29" x14ac:dyDescent="0.2">
      <c r="A539" s="144"/>
      <c r="B539" s="144"/>
      <c r="C539" s="144"/>
      <c r="D539" s="144"/>
      <c r="E539" s="144"/>
      <c r="F539" s="144"/>
      <c r="G539" s="144"/>
      <c r="H539" s="144"/>
      <c r="I539" s="144"/>
      <c r="J539" s="144"/>
      <c r="K539" s="144"/>
      <c r="M539" s="144"/>
      <c r="N539" s="144"/>
      <c r="O539" s="144"/>
      <c r="P539" s="144"/>
      <c r="Q539" s="144"/>
      <c r="R539" s="144"/>
      <c r="S539" s="144"/>
      <c r="T539" s="144"/>
      <c r="U539" s="144"/>
      <c r="V539" s="144"/>
      <c r="W539" s="144"/>
      <c r="Y539" s="144"/>
      <c r="Z539" s="144"/>
      <c r="AA539" s="144"/>
      <c r="AB539" s="144"/>
      <c r="AC539" s="144"/>
    </row>
    <row r="540" spans="1:29" x14ac:dyDescent="0.2">
      <c r="A540" s="144"/>
      <c r="B540" s="144"/>
      <c r="C540" s="144"/>
      <c r="D540" s="144"/>
      <c r="E540" s="144"/>
      <c r="F540" s="144"/>
      <c r="G540" s="144"/>
      <c r="H540" s="144"/>
      <c r="I540" s="144"/>
      <c r="J540" s="144"/>
      <c r="K540" s="144"/>
      <c r="M540" s="144"/>
      <c r="N540" s="144"/>
      <c r="O540" s="144"/>
      <c r="P540" s="144"/>
      <c r="Q540" s="144"/>
      <c r="R540" s="144"/>
      <c r="S540" s="144"/>
      <c r="T540" s="144"/>
      <c r="U540" s="144"/>
      <c r="V540" s="144"/>
      <c r="W540" s="144"/>
      <c r="Y540" s="144"/>
      <c r="Z540" s="144"/>
      <c r="AA540" s="144"/>
      <c r="AB540" s="144"/>
      <c r="AC540" s="144"/>
    </row>
    <row r="541" spans="1:29" x14ac:dyDescent="0.2">
      <c r="A541" s="144"/>
      <c r="B541" s="144"/>
      <c r="C541" s="144"/>
      <c r="D541" s="144"/>
      <c r="E541" s="144"/>
      <c r="F541" s="144"/>
      <c r="G541" s="144"/>
      <c r="H541" s="144"/>
      <c r="I541" s="144"/>
      <c r="J541" s="144"/>
      <c r="K541" s="144"/>
      <c r="M541" s="144"/>
      <c r="N541" s="144"/>
      <c r="O541" s="144"/>
      <c r="P541" s="144"/>
      <c r="Q541" s="144"/>
      <c r="R541" s="144"/>
      <c r="S541" s="144"/>
      <c r="T541" s="144"/>
      <c r="U541" s="144"/>
      <c r="V541" s="144"/>
      <c r="W541" s="144"/>
      <c r="Y541" s="144"/>
      <c r="Z541" s="144"/>
      <c r="AA541" s="144"/>
      <c r="AB541" s="144"/>
      <c r="AC541" s="144"/>
    </row>
    <row r="542" spans="1:29" x14ac:dyDescent="0.2">
      <c r="A542" s="144"/>
      <c r="B542" s="144"/>
      <c r="C542" s="144"/>
      <c r="D542" s="144"/>
      <c r="E542" s="144"/>
      <c r="F542" s="144"/>
      <c r="G542" s="144"/>
      <c r="H542" s="144"/>
      <c r="I542" s="144"/>
      <c r="J542" s="144"/>
      <c r="K542" s="144"/>
      <c r="M542" s="144"/>
      <c r="N542" s="144"/>
      <c r="O542" s="144"/>
      <c r="P542" s="144"/>
      <c r="Q542" s="144"/>
      <c r="R542" s="144"/>
      <c r="S542" s="144"/>
      <c r="T542" s="144"/>
      <c r="U542" s="144"/>
      <c r="V542" s="144"/>
      <c r="W542" s="144"/>
      <c r="Y542" s="144"/>
      <c r="Z542" s="144"/>
      <c r="AA542" s="144"/>
      <c r="AB542" s="144"/>
      <c r="AC542" s="144"/>
    </row>
    <row r="543" spans="1:29" x14ac:dyDescent="0.2">
      <c r="A543" s="144"/>
      <c r="B543" s="144"/>
      <c r="C543" s="144"/>
      <c r="D543" s="144"/>
      <c r="E543" s="144"/>
      <c r="F543" s="144"/>
      <c r="G543" s="144"/>
      <c r="H543" s="144"/>
      <c r="I543" s="144"/>
      <c r="J543" s="144"/>
      <c r="K543" s="144"/>
      <c r="M543" s="144"/>
      <c r="N543" s="144"/>
      <c r="O543" s="144"/>
      <c r="P543" s="144"/>
      <c r="Q543" s="144"/>
      <c r="R543" s="144"/>
      <c r="S543" s="144"/>
      <c r="T543" s="144"/>
      <c r="U543" s="144"/>
      <c r="V543" s="144"/>
      <c r="W543" s="144"/>
      <c r="Y543" s="144"/>
      <c r="Z543" s="144"/>
      <c r="AA543" s="144"/>
      <c r="AB543" s="144"/>
      <c r="AC543" s="144"/>
    </row>
    <row r="544" spans="1:29" x14ac:dyDescent="0.2">
      <c r="A544" s="144"/>
      <c r="B544" s="144"/>
      <c r="C544" s="144"/>
      <c r="D544" s="144"/>
      <c r="E544" s="144"/>
      <c r="F544" s="144"/>
      <c r="G544" s="144"/>
      <c r="H544" s="144"/>
      <c r="I544" s="144"/>
      <c r="J544" s="144"/>
      <c r="K544" s="144"/>
      <c r="M544" s="144"/>
      <c r="N544" s="144"/>
      <c r="O544" s="144"/>
      <c r="P544" s="144"/>
      <c r="Q544" s="144"/>
      <c r="R544" s="144"/>
      <c r="S544" s="144"/>
      <c r="T544" s="144"/>
      <c r="U544" s="144"/>
      <c r="V544" s="144"/>
      <c r="W544" s="144"/>
      <c r="Y544" s="144"/>
      <c r="Z544" s="144"/>
      <c r="AA544" s="144"/>
      <c r="AB544" s="144"/>
      <c r="AC544" s="144"/>
    </row>
    <row r="545" spans="1:29" x14ac:dyDescent="0.2">
      <c r="A545" s="144"/>
      <c r="B545" s="144"/>
      <c r="C545" s="144"/>
      <c r="D545" s="144"/>
      <c r="E545" s="144"/>
      <c r="F545" s="144"/>
      <c r="G545" s="144"/>
      <c r="H545" s="144"/>
      <c r="I545" s="144"/>
      <c r="J545" s="144"/>
      <c r="K545" s="144"/>
      <c r="M545" s="144"/>
      <c r="N545" s="144"/>
      <c r="O545" s="144"/>
      <c r="P545" s="144"/>
      <c r="Q545" s="144"/>
      <c r="R545" s="144"/>
      <c r="S545" s="144"/>
      <c r="T545" s="144"/>
      <c r="U545" s="144"/>
      <c r="V545" s="144"/>
      <c r="W545" s="144"/>
      <c r="Y545" s="144"/>
      <c r="Z545" s="144"/>
      <c r="AA545" s="144"/>
      <c r="AB545" s="144"/>
      <c r="AC545" s="144"/>
    </row>
    <row r="546" spans="1:29" x14ac:dyDescent="0.2">
      <c r="A546" s="144"/>
      <c r="B546" s="144"/>
      <c r="C546" s="144"/>
      <c r="D546" s="144"/>
      <c r="E546" s="144"/>
      <c r="F546" s="144"/>
      <c r="G546" s="144"/>
      <c r="H546" s="144"/>
      <c r="I546" s="144"/>
      <c r="J546" s="144"/>
      <c r="K546" s="144"/>
      <c r="M546" s="144"/>
      <c r="N546" s="144"/>
      <c r="O546" s="144"/>
      <c r="P546" s="144"/>
      <c r="Q546" s="144"/>
      <c r="R546" s="144"/>
      <c r="S546" s="144"/>
      <c r="T546" s="144"/>
      <c r="U546" s="144"/>
      <c r="V546" s="144"/>
      <c r="W546" s="144"/>
      <c r="Y546" s="144"/>
      <c r="Z546" s="144"/>
      <c r="AA546" s="144"/>
      <c r="AB546" s="144"/>
      <c r="AC546" s="144"/>
    </row>
    <row r="547" spans="1:29" x14ac:dyDescent="0.2">
      <c r="A547" s="144"/>
      <c r="B547" s="144"/>
      <c r="C547" s="144"/>
      <c r="D547" s="144"/>
      <c r="E547" s="144"/>
      <c r="F547" s="144"/>
      <c r="G547" s="144"/>
      <c r="H547" s="144"/>
      <c r="I547" s="144"/>
      <c r="J547" s="144"/>
      <c r="K547" s="144"/>
      <c r="M547" s="144"/>
      <c r="N547" s="144"/>
      <c r="O547" s="144"/>
      <c r="P547" s="144"/>
      <c r="Q547" s="144"/>
      <c r="R547" s="144"/>
      <c r="S547" s="144"/>
      <c r="T547" s="144"/>
      <c r="U547" s="144"/>
      <c r="V547" s="144"/>
      <c r="W547" s="144"/>
      <c r="Y547" s="144"/>
      <c r="Z547" s="144"/>
      <c r="AA547" s="144"/>
      <c r="AB547" s="144"/>
      <c r="AC547" s="144"/>
    </row>
    <row r="548" spans="1:29" x14ac:dyDescent="0.2">
      <c r="A548" s="144"/>
      <c r="B548" s="144"/>
      <c r="C548" s="144"/>
      <c r="D548" s="144"/>
      <c r="E548" s="144"/>
      <c r="F548" s="144"/>
      <c r="G548" s="144"/>
      <c r="H548" s="144"/>
      <c r="I548" s="144"/>
      <c r="J548" s="144"/>
      <c r="K548" s="144"/>
      <c r="M548" s="144"/>
      <c r="N548" s="144"/>
      <c r="O548" s="144"/>
      <c r="P548" s="144"/>
      <c r="Q548" s="144"/>
      <c r="R548" s="144"/>
      <c r="S548" s="144"/>
      <c r="T548" s="144"/>
      <c r="U548" s="144"/>
      <c r="V548" s="144"/>
      <c r="W548" s="144"/>
      <c r="Y548" s="144"/>
      <c r="Z548" s="144"/>
      <c r="AA548" s="144"/>
      <c r="AB548" s="144"/>
      <c r="AC548" s="144"/>
    </row>
    <row r="549" spans="1:29" x14ac:dyDescent="0.2">
      <c r="A549" s="144"/>
      <c r="B549" s="144"/>
      <c r="C549" s="144"/>
      <c r="D549" s="144"/>
      <c r="E549" s="144"/>
      <c r="F549" s="144"/>
      <c r="G549" s="144"/>
      <c r="H549" s="144"/>
      <c r="I549" s="144"/>
      <c r="J549" s="144"/>
      <c r="K549" s="144"/>
      <c r="M549" s="144"/>
      <c r="N549" s="144"/>
      <c r="O549" s="144"/>
      <c r="P549" s="144"/>
      <c r="Q549" s="144"/>
      <c r="R549" s="144"/>
      <c r="S549" s="144"/>
      <c r="T549" s="144"/>
      <c r="U549" s="144"/>
      <c r="V549" s="144"/>
      <c r="W549" s="144"/>
      <c r="Y549" s="144"/>
      <c r="Z549" s="144"/>
      <c r="AA549" s="144"/>
      <c r="AB549" s="144"/>
      <c r="AC549" s="144"/>
    </row>
    <row r="550" spans="1:29" x14ac:dyDescent="0.2">
      <c r="A550" s="144"/>
      <c r="B550" s="144"/>
      <c r="C550" s="144"/>
      <c r="D550" s="144"/>
      <c r="E550" s="144"/>
      <c r="F550" s="144"/>
      <c r="G550" s="144"/>
      <c r="H550" s="144"/>
      <c r="I550" s="144"/>
      <c r="J550" s="144"/>
      <c r="K550" s="144"/>
      <c r="M550" s="144"/>
      <c r="N550" s="144"/>
      <c r="O550" s="144"/>
      <c r="P550" s="144"/>
      <c r="Q550" s="144"/>
      <c r="R550" s="144"/>
      <c r="S550" s="144"/>
      <c r="T550" s="144"/>
      <c r="U550" s="144"/>
      <c r="V550" s="144"/>
      <c r="W550" s="144"/>
      <c r="Y550" s="144"/>
      <c r="Z550" s="144"/>
      <c r="AA550" s="144"/>
      <c r="AB550" s="144"/>
      <c r="AC550" s="144"/>
    </row>
    <row r="551" spans="1:29" x14ac:dyDescent="0.2">
      <c r="A551" s="144"/>
      <c r="B551" s="144"/>
      <c r="C551" s="144"/>
      <c r="D551" s="144"/>
      <c r="E551" s="144"/>
      <c r="F551" s="144"/>
      <c r="G551" s="144"/>
      <c r="H551" s="144"/>
      <c r="I551" s="144"/>
      <c r="J551" s="144"/>
      <c r="K551" s="144"/>
      <c r="M551" s="144"/>
      <c r="N551" s="144"/>
      <c r="O551" s="144"/>
      <c r="P551" s="144"/>
      <c r="Q551" s="144"/>
      <c r="R551" s="144"/>
      <c r="S551" s="144"/>
      <c r="T551" s="144"/>
      <c r="U551" s="144"/>
      <c r="V551" s="144"/>
      <c r="W551" s="144"/>
      <c r="Y551" s="144"/>
      <c r="Z551" s="144"/>
      <c r="AA551" s="144"/>
      <c r="AB551" s="144"/>
      <c r="AC551" s="144"/>
    </row>
    <row r="552" spans="1:29" x14ac:dyDescent="0.2">
      <c r="A552" s="144"/>
      <c r="B552" s="144"/>
      <c r="C552" s="144"/>
      <c r="D552" s="144"/>
      <c r="E552" s="144"/>
      <c r="F552" s="144"/>
      <c r="G552" s="144"/>
      <c r="H552" s="144"/>
      <c r="I552" s="144"/>
      <c r="J552" s="144"/>
      <c r="K552" s="144"/>
      <c r="M552" s="144"/>
      <c r="N552" s="144"/>
      <c r="O552" s="144"/>
      <c r="P552" s="144"/>
      <c r="Q552" s="144"/>
      <c r="R552" s="144"/>
      <c r="S552" s="144"/>
      <c r="T552" s="144"/>
      <c r="U552" s="144"/>
      <c r="V552" s="144"/>
      <c r="W552" s="144"/>
      <c r="Y552" s="144"/>
      <c r="Z552" s="144"/>
      <c r="AA552" s="144"/>
      <c r="AB552" s="144"/>
      <c r="AC552" s="144"/>
    </row>
    <row r="553" spans="1:29" x14ac:dyDescent="0.2">
      <c r="A553" s="144"/>
      <c r="B553" s="144"/>
      <c r="C553" s="144"/>
      <c r="D553" s="144"/>
      <c r="E553" s="144"/>
      <c r="F553" s="144"/>
      <c r="G553" s="144"/>
      <c r="H553" s="144"/>
      <c r="I553" s="144"/>
      <c r="J553" s="144"/>
      <c r="K553" s="144"/>
      <c r="M553" s="144"/>
      <c r="N553" s="144"/>
      <c r="O553" s="144"/>
      <c r="P553" s="144"/>
      <c r="Q553" s="144"/>
      <c r="R553" s="144"/>
      <c r="S553" s="144"/>
      <c r="T553" s="144"/>
      <c r="U553" s="144"/>
      <c r="V553" s="144"/>
      <c r="W553" s="144"/>
      <c r="Y553" s="144"/>
      <c r="Z553" s="144"/>
      <c r="AA553" s="144"/>
      <c r="AB553" s="144"/>
      <c r="AC553" s="144"/>
    </row>
    <row r="554" spans="1:29" x14ac:dyDescent="0.2">
      <c r="A554" s="144"/>
      <c r="B554" s="144"/>
      <c r="C554" s="144"/>
      <c r="D554" s="144"/>
      <c r="E554" s="144"/>
      <c r="F554" s="144"/>
      <c r="G554" s="144"/>
      <c r="H554" s="144"/>
      <c r="I554" s="144"/>
      <c r="J554" s="144"/>
      <c r="K554" s="144"/>
      <c r="M554" s="144"/>
      <c r="N554" s="144"/>
      <c r="O554" s="144"/>
      <c r="P554" s="144"/>
      <c r="Q554" s="144"/>
      <c r="R554" s="144"/>
      <c r="S554" s="144"/>
      <c r="T554" s="144"/>
      <c r="U554" s="144"/>
      <c r="V554" s="144"/>
      <c r="W554" s="144"/>
      <c r="Y554" s="144"/>
      <c r="Z554" s="144"/>
      <c r="AA554" s="144"/>
      <c r="AB554" s="144"/>
      <c r="AC554" s="144"/>
    </row>
    <row r="555" spans="1:29" x14ac:dyDescent="0.2">
      <c r="A555" s="144"/>
      <c r="B555" s="144"/>
      <c r="C555" s="144"/>
      <c r="D555" s="144"/>
      <c r="E555" s="144"/>
      <c r="F555" s="144"/>
      <c r="G555" s="144"/>
      <c r="H555" s="144"/>
      <c r="I555" s="144"/>
      <c r="J555" s="144"/>
      <c r="K555" s="144"/>
      <c r="M555" s="144"/>
      <c r="N555" s="144"/>
      <c r="O555" s="144"/>
      <c r="P555" s="144"/>
      <c r="Q555" s="144"/>
      <c r="R555" s="144"/>
      <c r="S555" s="144"/>
      <c r="T555" s="144"/>
      <c r="U555" s="144"/>
      <c r="V555" s="144"/>
      <c r="W555" s="144"/>
      <c r="Y555" s="144"/>
      <c r="Z555" s="144"/>
      <c r="AA555" s="144"/>
      <c r="AB555" s="144"/>
      <c r="AC555" s="144"/>
    </row>
    <row r="556" spans="1:29" x14ac:dyDescent="0.2">
      <c r="A556" s="144"/>
      <c r="B556" s="144"/>
      <c r="C556" s="144"/>
      <c r="D556" s="144"/>
      <c r="E556" s="144"/>
      <c r="F556" s="144"/>
      <c r="G556" s="144"/>
      <c r="H556" s="144"/>
      <c r="I556" s="144"/>
      <c r="J556" s="144"/>
      <c r="K556" s="144"/>
      <c r="M556" s="144"/>
      <c r="N556" s="144"/>
      <c r="O556" s="144"/>
      <c r="P556" s="144"/>
      <c r="Q556" s="144"/>
      <c r="R556" s="144"/>
      <c r="S556" s="144"/>
      <c r="T556" s="144"/>
      <c r="U556" s="144"/>
      <c r="V556" s="144"/>
      <c r="W556" s="144"/>
      <c r="Y556" s="144"/>
      <c r="Z556" s="144"/>
      <c r="AA556" s="144"/>
      <c r="AB556" s="144"/>
      <c r="AC556" s="144"/>
    </row>
    <row r="557" spans="1:29" x14ac:dyDescent="0.2">
      <c r="A557" s="144"/>
      <c r="B557" s="144"/>
      <c r="C557" s="144"/>
      <c r="D557" s="144"/>
      <c r="E557" s="144"/>
      <c r="F557" s="144"/>
      <c r="G557" s="144"/>
      <c r="H557" s="144"/>
      <c r="I557" s="144"/>
      <c r="J557" s="144"/>
      <c r="K557" s="144"/>
      <c r="M557" s="144"/>
      <c r="N557" s="144"/>
      <c r="O557" s="144"/>
      <c r="P557" s="144"/>
      <c r="Q557" s="144"/>
      <c r="R557" s="144"/>
      <c r="S557" s="144"/>
      <c r="T557" s="144"/>
      <c r="U557" s="144"/>
      <c r="V557" s="144"/>
      <c r="W557" s="144"/>
      <c r="Y557" s="144"/>
      <c r="Z557" s="144"/>
      <c r="AA557" s="144"/>
      <c r="AB557" s="144"/>
      <c r="AC557" s="144"/>
    </row>
    <row r="558" spans="1:29" x14ac:dyDescent="0.2">
      <c r="A558" s="144"/>
      <c r="B558" s="144"/>
      <c r="C558" s="144"/>
      <c r="D558" s="144"/>
      <c r="E558" s="144"/>
      <c r="F558" s="144"/>
      <c r="G558" s="144"/>
      <c r="H558" s="144"/>
      <c r="I558" s="144"/>
      <c r="J558" s="144"/>
      <c r="K558" s="144"/>
      <c r="M558" s="144"/>
      <c r="N558" s="144"/>
      <c r="O558" s="144"/>
      <c r="P558" s="144"/>
      <c r="Q558" s="144"/>
      <c r="R558" s="144"/>
      <c r="S558" s="144"/>
      <c r="T558" s="144"/>
      <c r="U558" s="144"/>
      <c r="V558" s="144"/>
      <c r="W558" s="144"/>
      <c r="Y558" s="144"/>
      <c r="Z558" s="144"/>
      <c r="AA558" s="144"/>
      <c r="AB558" s="144"/>
      <c r="AC558" s="144"/>
    </row>
    <row r="559" spans="1:29" x14ac:dyDescent="0.2">
      <c r="A559" s="144"/>
      <c r="B559" s="144"/>
      <c r="C559" s="144"/>
      <c r="D559" s="144"/>
      <c r="E559" s="144"/>
      <c r="F559" s="144"/>
      <c r="G559" s="144"/>
      <c r="H559" s="144"/>
      <c r="I559" s="144"/>
      <c r="J559" s="144"/>
      <c r="K559" s="144"/>
      <c r="M559" s="144"/>
      <c r="N559" s="144"/>
      <c r="O559" s="144"/>
      <c r="P559" s="144"/>
      <c r="Q559" s="144"/>
      <c r="R559" s="144"/>
      <c r="S559" s="144"/>
      <c r="T559" s="144"/>
      <c r="U559" s="144"/>
      <c r="V559" s="144"/>
      <c r="W559" s="144"/>
      <c r="Y559" s="144"/>
      <c r="Z559" s="144"/>
      <c r="AA559" s="144"/>
      <c r="AB559" s="144"/>
      <c r="AC559" s="144"/>
    </row>
    <row r="560" spans="1:29" x14ac:dyDescent="0.2">
      <c r="A560" s="144"/>
      <c r="B560" s="144"/>
      <c r="C560" s="144"/>
      <c r="D560" s="144"/>
      <c r="E560" s="144"/>
      <c r="F560" s="144"/>
      <c r="G560" s="144"/>
      <c r="H560" s="144"/>
      <c r="I560" s="144"/>
      <c r="J560" s="144"/>
      <c r="K560" s="144"/>
      <c r="M560" s="144"/>
      <c r="N560" s="144"/>
      <c r="O560" s="144"/>
      <c r="P560" s="144"/>
      <c r="Q560" s="144"/>
      <c r="R560" s="144"/>
      <c r="S560" s="144"/>
      <c r="T560" s="144"/>
      <c r="U560" s="144"/>
      <c r="V560" s="144"/>
      <c r="W560" s="144"/>
      <c r="Y560" s="144"/>
      <c r="Z560" s="144"/>
      <c r="AA560" s="144"/>
      <c r="AB560" s="144"/>
      <c r="AC560" s="144"/>
    </row>
    <row r="561" spans="1:29" x14ac:dyDescent="0.2">
      <c r="A561" s="144"/>
      <c r="B561" s="144"/>
      <c r="C561" s="144"/>
      <c r="D561" s="144"/>
      <c r="E561" s="144"/>
      <c r="F561" s="144"/>
      <c r="G561" s="144"/>
      <c r="H561" s="144"/>
      <c r="I561" s="144"/>
      <c r="J561" s="144"/>
      <c r="K561" s="144"/>
      <c r="M561" s="144"/>
      <c r="N561" s="144"/>
      <c r="O561" s="144"/>
      <c r="P561" s="144"/>
      <c r="Q561" s="144"/>
      <c r="R561" s="144"/>
      <c r="S561" s="144"/>
      <c r="T561" s="144"/>
      <c r="U561" s="144"/>
      <c r="V561" s="144"/>
      <c r="W561" s="144"/>
      <c r="Y561" s="144"/>
      <c r="Z561" s="144"/>
      <c r="AA561" s="144"/>
      <c r="AB561" s="144"/>
      <c r="AC561" s="144"/>
    </row>
    <row r="562" spans="1:29" x14ac:dyDescent="0.2">
      <c r="A562" s="144"/>
      <c r="B562" s="144"/>
      <c r="C562" s="144"/>
      <c r="D562" s="144"/>
      <c r="E562" s="144"/>
      <c r="F562" s="144"/>
      <c r="G562" s="144"/>
      <c r="H562" s="144"/>
      <c r="I562" s="144"/>
      <c r="J562" s="144"/>
      <c r="K562" s="144"/>
      <c r="M562" s="144"/>
      <c r="N562" s="144"/>
      <c r="O562" s="144"/>
      <c r="P562" s="144"/>
      <c r="Q562" s="144"/>
      <c r="R562" s="144"/>
      <c r="S562" s="144"/>
      <c r="T562" s="144"/>
      <c r="U562" s="144"/>
      <c r="V562" s="144"/>
      <c r="W562" s="144"/>
      <c r="Y562" s="144"/>
      <c r="Z562" s="144"/>
      <c r="AA562" s="144"/>
      <c r="AB562" s="144"/>
      <c r="AC562" s="144"/>
    </row>
    <row r="563" spans="1:29" x14ac:dyDescent="0.2">
      <c r="A563" s="144"/>
      <c r="B563" s="144"/>
      <c r="C563" s="144"/>
      <c r="D563" s="144"/>
      <c r="E563" s="144"/>
      <c r="F563" s="144"/>
      <c r="G563" s="144"/>
      <c r="H563" s="144"/>
      <c r="I563" s="144"/>
      <c r="J563" s="144"/>
      <c r="K563" s="144"/>
      <c r="M563" s="144"/>
      <c r="N563" s="144"/>
      <c r="O563" s="144"/>
      <c r="P563" s="144"/>
      <c r="Q563" s="144"/>
      <c r="R563" s="144"/>
      <c r="S563" s="144"/>
      <c r="T563" s="144"/>
      <c r="U563" s="144"/>
      <c r="V563" s="144"/>
      <c r="W563" s="144"/>
      <c r="Y563" s="144"/>
      <c r="Z563" s="144"/>
      <c r="AA563" s="144"/>
      <c r="AB563" s="144"/>
      <c r="AC563" s="144"/>
    </row>
    <row r="564" spans="1:29" x14ac:dyDescent="0.2">
      <c r="A564" s="144"/>
      <c r="B564" s="144"/>
      <c r="C564" s="144"/>
      <c r="D564" s="144"/>
      <c r="E564" s="144"/>
      <c r="F564" s="144"/>
      <c r="G564" s="144"/>
      <c r="H564" s="144"/>
      <c r="I564" s="144"/>
      <c r="J564" s="144"/>
      <c r="K564" s="144"/>
      <c r="M564" s="144"/>
      <c r="N564" s="144"/>
      <c r="O564" s="144"/>
      <c r="P564" s="144"/>
      <c r="Q564" s="144"/>
      <c r="R564" s="144"/>
      <c r="S564" s="144"/>
      <c r="T564" s="144"/>
      <c r="U564" s="144"/>
      <c r="V564" s="144"/>
      <c r="W564" s="144"/>
      <c r="Y564" s="144"/>
      <c r="Z564" s="144"/>
      <c r="AA564" s="144"/>
      <c r="AB564" s="144"/>
      <c r="AC564" s="144"/>
    </row>
    <row r="565" spans="1:29" x14ac:dyDescent="0.2">
      <c r="A565" s="144"/>
      <c r="B565" s="144"/>
      <c r="C565" s="144"/>
      <c r="D565" s="144"/>
      <c r="E565" s="144"/>
      <c r="F565" s="144"/>
      <c r="G565" s="144"/>
      <c r="H565" s="144"/>
      <c r="I565" s="144"/>
      <c r="J565" s="144"/>
      <c r="K565" s="144"/>
      <c r="M565" s="144"/>
      <c r="N565" s="144"/>
      <c r="O565" s="144"/>
      <c r="P565" s="144"/>
      <c r="Q565" s="144"/>
      <c r="R565" s="144"/>
      <c r="S565" s="144"/>
      <c r="T565" s="144"/>
      <c r="U565" s="144"/>
      <c r="V565" s="144"/>
      <c r="W565" s="144"/>
      <c r="Y565" s="144"/>
      <c r="Z565" s="144"/>
      <c r="AA565" s="144"/>
      <c r="AB565" s="144"/>
      <c r="AC565" s="144"/>
    </row>
    <row r="566" spans="1:29" x14ac:dyDescent="0.2">
      <c r="A566" s="144"/>
      <c r="B566" s="144"/>
      <c r="C566" s="144"/>
      <c r="D566" s="144"/>
      <c r="E566" s="144"/>
      <c r="F566" s="144"/>
      <c r="G566" s="144"/>
      <c r="H566" s="144"/>
      <c r="I566" s="144"/>
      <c r="J566" s="144"/>
      <c r="K566" s="144"/>
      <c r="M566" s="144"/>
      <c r="N566" s="144"/>
      <c r="O566" s="144"/>
      <c r="P566" s="144"/>
      <c r="Q566" s="144"/>
      <c r="R566" s="144"/>
      <c r="S566" s="144"/>
      <c r="T566" s="144"/>
      <c r="U566" s="144"/>
      <c r="V566" s="144"/>
      <c r="W566" s="144"/>
      <c r="Y566" s="144"/>
      <c r="Z566" s="144"/>
      <c r="AA566" s="144"/>
      <c r="AB566" s="144"/>
      <c r="AC566" s="144"/>
    </row>
    <row r="567" spans="1:29" x14ac:dyDescent="0.2">
      <c r="A567" s="144"/>
      <c r="B567" s="144"/>
      <c r="C567" s="144"/>
      <c r="D567" s="144"/>
      <c r="E567" s="144"/>
      <c r="F567" s="144"/>
      <c r="G567" s="144"/>
      <c r="H567" s="144"/>
      <c r="I567" s="144"/>
      <c r="J567" s="144"/>
      <c r="K567" s="144"/>
      <c r="M567" s="144"/>
      <c r="N567" s="144"/>
      <c r="O567" s="144"/>
      <c r="P567" s="144"/>
      <c r="Q567" s="144"/>
      <c r="R567" s="144"/>
      <c r="S567" s="144"/>
      <c r="T567" s="144"/>
      <c r="U567" s="144"/>
      <c r="V567" s="144"/>
      <c r="W567" s="144"/>
      <c r="Y567" s="144"/>
      <c r="Z567" s="144"/>
      <c r="AA567" s="144"/>
      <c r="AB567" s="144"/>
      <c r="AC567" s="144"/>
    </row>
    <row r="568" spans="1:29" x14ac:dyDescent="0.2">
      <c r="A568" s="144"/>
      <c r="B568" s="144"/>
      <c r="C568" s="144"/>
      <c r="D568" s="144"/>
      <c r="E568" s="144"/>
      <c r="F568" s="144"/>
      <c r="G568" s="144"/>
      <c r="H568" s="144"/>
      <c r="I568" s="144"/>
      <c r="J568" s="144"/>
      <c r="K568" s="144"/>
      <c r="M568" s="144"/>
      <c r="N568" s="144"/>
      <c r="O568" s="144"/>
      <c r="P568" s="144"/>
      <c r="Q568" s="144"/>
      <c r="R568" s="144"/>
      <c r="S568" s="144"/>
      <c r="T568" s="144"/>
      <c r="U568" s="144"/>
      <c r="V568" s="144"/>
      <c r="W568" s="144"/>
      <c r="Y568" s="144"/>
      <c r="Z568" s="144"/>
      <c r="AA568" s="144"/>
      <c r="AB568" s="144"/>
      <c r="AC568" s="144"/>
    </row>
    <row r="569" spans="1:29" x14ac:dyDescent="0.2">
      <c r="A569" s="144"/>
      <c r="B569" s="144"/>
      <c r="C569" s="144"/>
      <c r="D569" s="144"/>
      <c r="E569" s="144"/>
      <c r="F569" s="144"/>
      <c r="G569" s="144"/>
      <c r="H569" s="144"/>
      <c r="I569" s="144"/>
      <c r="J569" s="144"/>
      <c r="K569" s="144"/>
      <c r="M569" s="144"/>
      <c r="N569" s="144"/>
      <c r="O569" s="144"/>
      <c r="P569" s="144"/>
      <c r="Q569" s="144"/>
      <c r="R569" s="144"/>
      <c r="S569" s="144"/>
      <c r="T569" s="144"/>
      <c r="U569" s="144"/>
      <c r="V569" s="144"/>
      <c r="W569" s="144"/>
      <c r="Y569" s="144"/>
      <c r="Z569" s="144"/>
      <c r="AA569" s="144"/>
      <c r="AB569" s="144"/>
      <c r="AC569" s="144"/>
    </row>
    <row r="570" spans="1:29" x14ac:dyDescent="0.2">
      <c r="A570" s="144"/>
      <c r="B570" s="144"/>
      <c r="C570" s="144"/>
      <c r="D570" s="144"/>
      <c r="E570" s="144"/>
      <c r="F570" s="144"/>
      <c r="G570" s="144"/>
      <c r="H570" s="144"/>
      <c r="I570" s="144"/>
      <c r="J570" s="144"/>
      <c r="K570" s="144"/>
      <c r="M570" s="144"/>
      <c r="N570" s="144"/>
      <c r="O570" s="144"/>
      <c r="P570" s="144"/>
      <c r="Q570" s="144"/>
      <c r="R570" s="144"/>
      <c r="S570" s="144"/>
      <c r="T570" s="144"/>
      <c r="U570" s="144"/>
      <c r="V570" s="144"/>
      <c r="W570" s="144"/>
      <c r="Y570" s="144"/>
      <c r="Z570" s="144"/>
      <c r="AA570" s="144"/>
      <c r="AB570" s="144"/>
      <c r="AC570" s="144"/>
    </row>
    <row r="571" spans="1:29" x14ac:dyDescent="0.2">
      <c r="A571" s="144"/>
      <c r="B571" s="144"/>
      <c r="C571" s="144"/>
      <c r="D571" s="144"/>
      <c r="E571" s="144"/>
      <c r="F571" s="144"/>
      <c r="G571" s="144"/>
      <c r="H571" s="144"/>
      <c r="I571" s="144"/>
      <c r="J571" s="144"/>
      <c r="K571" s="144"/>
      <c r="M571" s="144"/>
      <c r="N571" s="144"/>
      <c r="O571" s="144"/>
      <c r="P571" s="144"/>
      <c r="Q571" s="144"/>
      <c r="R571" s="144"/>
      <c r="S571" s="144"/>
      <c r="T571" s="144"/>
      <c r="U571" s="144"/>
      <c r="V571" s="144"/>
      <c r="W571" s="144"/>
      <c r="Y571" s="144"/>
      <c r="Z571" s="144"/>
      <c r="AA571" s="144"/>
      <c r="AB571" s="144"/>
      <c r="AC571" s="144"/>
    </row>
    <row r="572" spans="1:29" x14ac:dyDescent="0.2">
      <c r="A572" s="144"/>
      <c r="B572" s="144"/>
      <c r="C572" s="144"/>
      <c r="D572" s="144"/>
      <c r="E572" s="144"/>
      <c r="F572" s="144"/>
      <c r="G572" s="144"/>
      <c r="H572" s="144"/>
      <c r="I572" s="144"/>
      <c r="J572" s="144"/>
      <c r="K572" s="144"/>
      <c r="M572" s="144"/>
      <c r="N572" s="144"/>
      <c r="O572" s="144"/>
      <c r="P572" s="144"/>
      <c r="Q572" s="144"/>
      <c r="R572" s="144"/>
      <c r="S572" s="144"/>
      <c r="T572" s="144"/>
      <c r="U572" s="144"/>
      <c r="V572" s="144"/>
      <c r="W572" s="144"/>
      <c r="Y572" s="144"/>
      <c r="Z572" s="144"/>
      <c r="AA572" s="144"/>
      <c r="AB572" s="144"/>
      <c r="AC572" s="144"/>
    </row>
    <row r="573" spans="1:29" x14ac:dyDescent="0.2">
      <c r="A573" s="144"/>
      <c r="B573" s="144"/>
      <c r="C573" s="144"/>
      <c r="D573" s="144"/>
      <c r="E573" s="144"/>
      <c r="F573" s="144"/>
      <c r="G573" s="144"/>
      <c r="H573" s="144"/>
      <c r="I573" s="144"/>
      <c r="J573" s="144"/>
      <c r="K573" s="144"/>
      <c r="M573" s="144"/>
      <c r="N573" s="144"/>
      <c r="O573" s="144"/>
      <c r="P573" s="144"/>
      <c r="Q573" s="144"/>
      <c r="R573" s="144"/>
      <c r="S573" s="144"/>
      <c r="T573" s="144"/>
      <c r="U573" s="144"/>
      <c r="V573" s="144"/>
      <c r="W573" s="144"/>
      <c r="Y573" s="144"/>
      <c r="Z573" s="144"/>
      <c r="AA573" s="144"/>
      <c r="AB573" s="144"/>
      <c r="AC573" s="144"/>
    </row>
    <row r="574" spans="1:29" x14ac:dyDescent="0.2">
      <c r="A574" s="144"/>
      <c r="B574" s="144"/>
      <c r="C574" s="144"/>
      <c r="D574" s="144"/>
      <c r="E574" s="144"/>
      <c r="F574" s="144"/>
      <c r="G574" s="144"/>
      <c r="H574" s="144"/>
      <c r="I574" s="144"/>
      <c r="J574" s="144"/>
      <c r="K574" s="144"/>
      <c r="M574" s="144"/>
      <c r="N574" s="144"/>
      <c r="O574" s="144"/>
      <c r="P574" s="144"/>
      <c r="Q574" s="144"/>
      <c r="R574" s="144"/>
      <c r="S574" s="144"/>
      <c r="T574" s="144"/>
      <c r="U574" s="144"/>
      <c r="V574" s="144"/>
      <c r="W574" s="144"/>
      <c r="Y574" s="144"/>
      <c r="Z574" s="144"/>
      <c r="AA574" s="144"/>
      <c r="AB574" s="144"/>
      <c r="AC574" s="144"/>
    </row>
    <row r="575" spans="1:29" x14ac:dyDescent="0.2">
      <c r="A575" s="144"/>
      <c r="B575" s="144"/>
      <c r="C575" s="144"/>
      <c r="D575" s="144"/>
      <c r="E575" s="144"/>
      <c r="F575" s="144"/>
      <c r="G575" s="144"/>
      <c r="H575" s="144"/>
      <c r="I575" s="144"/>
      <c r="J575" s="144"/>
      <c r="K575" s="144"/>
      <c r="M575" s="144"/>
      <c r="N575" s="144"/>
      <c r="O575" s="144"/>
      <c r="P575" s="144"/>
      <c r="Q575" s="144"/>
      <c r="R575" s="144"/>
      <c r="S575" s="144"/>
      <c r="T575" s="144"/>
      <c r="U575" s="144"/>
      <c r="V575" s="144"/>
      <c r="W575" s="144"/>
      <c r="Y575" s="144"/>
      <c r="Z575" s="144"/>
      <c r="AA575" s="144"/>
      <c r="AB575" s="144"/>
      <c r="AC575" s="144"/>
    </row>
    <row r="576" spans="1:29" x14ac:dyDescent="0.2">
      <c r="A576" s="144"/>
      <c r="B576" s="144"/>
      <c r="C576" s="144"/>
      <c r="D576" s="144"/>
      <c r="E576" s="144"/>
      <c r="F576" s="144"/>
      <c r="G576" s="144"/>
      <c r="H576" s="144"/>
      <c r="I576" s="144"/>
      <c r="J576" s="144"/>
      <c r="K576" s="144"/>
      <c r="M576" s="144"/>
      <c r="N576" s="144"/>
      <c r="O576" s="144"/>
      <c r="P576" s="144"/>
      <c r="Q576" s="144"/>
      <c r="R576" s="144"/>
      <c r="S576" s="144"/>
      <c r="T576" s="144"/>
      <c r="U576" s="144"/>
      <c r="V576" s="144"/>
      <c r="W576" s="144"/>
      <c r="Y576" s="144"/>
      <c r="Z576" s="144"/>
      <c r="AA576" s="144"/>
      <c r="AB576" s="144"/>
      <c r="AC576" s="144"/>
    </row>
    <row r="577" spans="1:29" x14ac:dyDescent="0.2">
      <c r="A577" s="144"/>
      <c r="B577" s="144"/>
      <c r="C577" s="144"/>
      <c r="D577" s="144"/>
      <c r="E577" s="144"/>
      <c r="F577" s="144"/>
      <c r="G577" s="144"/>
      <c r="H577" s="144"/>
      <c r="I577" s="144"/>
      <c r="J577" s="144"/>
      <c r="K577" s="144"/>
      <c r="M577" s="144"/>
      <c r="N577" s="144"/>
      <c r="O577" s="144"/>
      <c r="P577" s="144"/>
      <c r="Q577" s="144"/>
      <c r="R577" s="144"/>
      <c r="S577" s="144"/>
      <c r="T577" s="144"/>
      <c r="U577" s="144"/>
      <c r="V577" s="144"/>
      <c r="W577" s="144"/>
      <c r="Y577" s="144"/>
      <c r="Z577" s="144"/>
      <c r="AA577" s="144"/>
      <c r="AB577" s="144"/>
      <c r="AC577" s="144"/>
    </row>
    <row r="578" spans="1:29" x14ac:dyDescent="0.2">
      <c r="A578" s="144"/>
      <c r="B578" s="144"/>
      <c r="C578" s="144"/>
      <c r="D578" s="144"/>
      <c r="E578" s="144"/>
      <c r="F578" s="144"/>
      <c r="G578" s="144"/>
      <c r="H578" s="144"/>
      <c r="I578" s="144"/>
      <c r="J578" s="144"/>
      <c r="K578" s="144"/>
      <c r="M578" s="144"/>
      <c r="N578" s="144"/>
      <c r="O578" s="144"/>
      <c r="P578" s="144"/>
      <c r="Q578" s="144"/>
      <c r="R578" s="144"/>
      <c r="S578" s="144"/>
      <c r="T578" s="144"/>
      <c r="U578" s="144"/>
      <c r="V578" s="144"/>
      <c r="W578" s="144"/>
      <c r="Y578" s="144"/>
      <c r="Z578" s="144"/>
      <c r="AA578" s="144"/>
      <c r="AB578" s="144"/>
      <c r="AC578" s="144"/>
    </row>
    <row r="579" spans="1:29" x14ac:dyDescent="0.2">
      <c r="A579" s="144"/>
      <c r="B579" s="144"/>
      <c r="C579" s="144"/>
      <c r="D579" s="144"/>
      <c r="E579" s="144"/>
      <c r="F579" s="144"/>
      <c r="G579" s="144"/>
      <c r="H579" s="144"/>
      <c r="I579" s="144"/>
      <c r="J579" s="144"/>
      <c r="K579" s="144"/>
      <c r="M579" s="144"/>
      <c r="N579" s="144"/>
      <c r="O579" s="144"/>
      <c r="P579" s="144"/>
      <c r="Q579" s="144"/>
      <c r="R579" s="144"/>
      <c r="S579" s="144"/>
      <c r="T579" s="144"/>
      <c r="U579" s="144"/>
      <c r="V579" s="144"/>
      <c r="W579" s="144"/>
      <c r="Y579" s="144"/>
      <c r="Z579" s="144"/>
      <c r="AA579" s="144"/>
      <c r="AB579" s="144"/>
      <c r="AC579" s="144"/>
    </row>
    <row r="580" spans="1:29" x14ac:dyDescent="0.2">
      <c r="A580" s="144"/>
      <c r="B580" s="144"/>
      <c r="C580" s="144"/>
      <c r="D580" s="144"/>
      <c r="E580" s="144"/>
      <c r="F580" s="144"/>
      <c r="G580" s="144"/>
      <c r="H580" s="144"/>
      <c r="I580" s="144"/>
      <c r="J580" s="144"/>
      <c r="K580" s="144"/>
      <c r="M580" s="144"/>
      <c r="N580" s="144"/>
      <c r="O580" s="144"/>
      <c r="P580" s="144"/>
      <c r="Q580" s="144"/>
      <c r="R580" s="144"/>
      <c r="S580" s="144"/>
      <c r="T580" s="144"/>
      <c r="U580" s="144"/>
      <c r="V580" s="144"/>
      <c r="W580" s="144"/>
      <c r="Y580" s="144"/>
      <c r="Z580" s="144"/>
      <c r="AA580" s="144"/>
      <c r="AB580" s="144"/>
      <c r="AC580" s="144"/>
    </row>
    <row r="581" spans="1:29" x14ac:dyDescent="0.2">
      <c r="A581" s="144"/>
      <c r="B581" s="144"/>
      <c r="C581" s="144"/>
      <c r="D581" s="144"/>
      <c r="E581" s="144"/>
      <c r="F581" s="144"/>
      <c r="G581" s="144"/>
      <c r="H581" s="144"/>
      <c r="I581" s="144"/>
      <c r="J581" s="144"/>
      <c r="K581" s="144"/>
      <c r="M581" s="144"/>
      <c r="N581" s="144"/>
      <c r="O581" s="144"/>
      <c r="P581" s="144"/>
      <c r="Q581" s="144"/>
      <c r="R581" s="144"/>
      <c r="S581" s="144"/>
      <c r="T581" s="144"/>
      <c r="U581" s="144"/>
      <c r="V581" s="144"/>
      <c r="W581" s="144"/>
      <c r="Y581" s="144"/>
      <c r="Z581" s="144"/>
      <c r="AA581" s="144"/>
      <c r="AB581" s="144"/>
      <c r="AC581" s="144"/>
    </row>
    <row r="582" spans="1:29" x14ac:dyDescent="0.2">
      <c r="A582" s="144"/>
      <c r="B582" s="144"/>
      <c r="C582" s="144"/>
      <c r="D582" s="144"/>
      <c r="E582" s="144"/>
      <c r="F582" s="144"/>
      <c r="G582" s="144"/>
      <c r="H582" s="144"/>
      <c r="I582" s="144"/>
      <c r="J582" s="144"/>
      <c r="K582" s="144"/>
      <c r="M582" s="144"/>
      <c r="N582" s="144"/>
      <c r="O582" s="144"/>
      <c r="P582" s="144"/>
      <c r="Q582" s="144"/>
      <c r="R582" s="144"/>
      <c r="S582" s="144"/>
      <c r="T582" s="144"/>
      <c r="U582" s="144"/>
      <c r="V582" s="144"/>
      <c r="W582" s="144"/>
      <c r="Y582" s="144"/>
      <c r="Z582" s="144"/>
      <c r="AA582" s="144"/>
      <c r="AB582" s="144"/>
      <c r="AC582" s="144"/>
    </row>
    <row r="583" spans="1:29" x14ac:dyDescent="0.2">
      <c r="A583" s="144"/>
      <c r="B583" s="144"/>
      <c r="C583" s="144"/>
      <c r="D583" s="144"/>
      <c r="E583" s="144"/>
      <c r="F583" s="144"/>
      <c r="G583" s="144"/>
      <c r="H583" s="144"/>
      <c r="I583" s="144"/>
      <c r="J583" s="144"/>
      <c r="K583" s="144"/>
      <c r="M583" s="144"/>
      <c r="N583" s="144"/>
      <c r="O583" s="144"/>
      <c r="P583" s="144"/>
      <c r="Q583" s="144"/>
      <c r="R583" s="144"/>
      <c r="S583" s="144"/>
      <c r="T583" s="144"/>
      <c r="U583" s="144"/>
      <c r="V583" s="144"/>
      <c r="W583" s="144"/>
      <c r="Y583" s="144"/>
      <c r="Z583" s="144"/>
      <c r="AA583" s="144"/>
      <c r="AB583" s="144"/>
      <c r="AC583" s="144"/>
    </row>
    <row r="584" spans="1:29" x14ac:dyDescent="0.2">
      <c r="A584" s="144"/>
      <c r="B584" s="144"/>
      <c r="C584" s="144"/>
      <c r="D584" s="144"/>
      <c r="E584" s="144"/>
      <c r="F584" s="144"/>
      <c r="G584" s="144"/>
      <c r="H584" s="144"/>
      <c r="I584" s="144"/>
      <c r="J584" s="144"/>
      <c r="K584" s="144"/>
      <c r="M584" s="144"/>
      <c r="N584" s="144"/>
      <c r="O584" s="144"/>
      <c r="P584" s="144"/>
      <c r="Q584" s="144"/>
      <c r="R584" s="144"/>
      <c r="S584" s="144"/>
      <c r="T584" s="144"/>
      <c r="U584" s="144"/>
      <c r="V584" s="144"/>
      <c r="W584" s="144"/>
      <c r="Y584" s="144"/>
      <c r="Z584" s="144"/>
      <c r="AA584" s="144"/>
      <c r="AB584" s="144"/>
      <c r="AC584" s="144"/>
    </row>
    <row r="585" spans="1:29" x14ac:dyDescent="0.2">
      <c r="A585" s="144"/>
      <c r="B585" s="144"/>
      <c r="C585" s="144"/>
      <c r="D585" s="144"/>
      <c r="E585" s="144"/>
      <c r="F585" s="144"/>
      <c r="G585" s="144"/>
      <c r="H585" s="144"/>
      <c r="I585" s="144"/>
      <c r="J585" s="144"/>
      <c r="K585" s="144"/>
      <c r="M585" s="144"/>
      <c r="N585" s="144"/>
      <c r="O585" s="144"/>
      <c r="P585" s="144"/>
      <c r="Q585" s="144"/>
      <c r="R585" s="144"/>
      <c r="S585" s="144"/>
      <c r="T585" s="144"/>
      <c r="U585" s="144"/>
      <c r="V585" s="144"/>
      <c r="W585" s="144"/>
      <c r="Y585" s="144"/>
      <c r="Z585" s="144"/>
      <c r="AA585" s="144"/>
      <c r="AB585" s="144"/>
      <c r="AC585" s="144"/>
    </row>
    <row r="586" spans="1:29" x14ac:dyDescent="0.2">
      <c r="A586" s="144"/>
      <c r="B586" s="144"/>
      <c r="C586" s="144"/>
      <c r="D586" s="144"/>
      <c r="E586" s="144"/>
      <c r="F586" s="144"/>
      <c r="G586" s="144"/>
      <c r="H586" s="144"/>
      <c r="I586" s="144"/>
      <c r="J586" s="144"/>
      <c r="K586" s="144"/>
      <c r="M586" s="144"/>
      <c r="N586" s="144"/>
      <c r="O586" s="144"/>
      <c r="P586" s="144"/>
      <c r="Q586" s="144"/>
      <c r="R586" s="144"/>
      <c r="S586" s="144"/>
      <c r="T586" s="144"/>
      <c r="U586" s="144"/>
      <c r="V586" s="144"/>
      <c r="W586" s="144"/>
      <c r="Y586" s="144"/>
      <c r="Z586" s="144"/>
      <c r="AA586" s="144"/>
      <c r="AB586" s="144"/>
      <c r="AC586" s="144"/>
    </row>
    <row r="587" spans="1:29" x14ac:dyDescent="0.2">
      <c r="A587" s="144"/>
      <c r="B587" s="144"/>
      <c r="C587" s="144"/>
      <c r="D587" s="144"/>
      <c r="E587" s="144"/>
      <c r="F587" s="144"/>
      <c r="G587" s="144"/>
      <c r="H587" s="144"/>
      <c r="I587" s="144"/>
      <c r="J587" s="144"/>
      <c r="K587" s="144"/>
      <c r="M587" s="144"/>
      <c r="N587" s="144"/>
      <c r="O587" s="144"/>
      <c r="P587" s="144"/>
      <c r="Q587" s="144"/>
      <c r="R587" s="144"/>
      <c r="S587" s="144"/>
      <c r="T587" s="144"/>
      <c r="U587" s="144"/>
      <c r="V587" s="144"/>
      <c r="W587" s="144"/>
      <c r="Y587" s="144"/>
      <c r="Z587" s="144"/>
      <c r="AA587" s="144"/>
      <c r="AB587" s="144"/>
      <c r="AC587" s="144"/>
    </row>
    <row r="588" spans="1:29" x14ac:dyDescent="0.2">
      <c r="A588" s="144"/>
      <c r="B588" s="144"/>
      <c r="C588" s="144"/>
      <c r="D588" s="144"/>
      <c r="E588" s="144"/>
      <c r="F588" s="144"/>
      <c r="G588" s="144"/>
      <c r="H588" s="144"/>
      <c r="I588" s="144"/>
      <c r="J588" s="144"/>
      <c r="K588" s="144"/>
      <c r="M588" s="144"/>
      <c r="N588" s="144"/>
      <c r="O588" s="144"/>
      <c r="P588" s="144"/>
      <c r="Q588" s="144"/>
      <c r="R588" s="144"/>
      <c r="S588" s="144"/>
      <c r="T588" s="144"/>
      <c r="U588" s="144"/>
      <c r="V588" s="144"/>
      <c r="W588" s="144"/>
      <c r="Y588" s="144"/>
      <c r="Z588" s="144"/>
      <c r="AA588" s="144"/>
      <c r="AB588" s="144"/>
      <c r="AC588" s="144"/>
    </row>
    <row r="589" spans="1:29" x14ac:dyDescent="0.2">
      <c r="A589" s="144"/>
      <c r="B589" s="144"/>
      <c r="C589" s="144"/>
      <c r="D589" s="144"/>
      <c r="E589" s="144"/>
      <c r="F589" s="144"/>
      <c r="G589" s="144"/>
      <c r="H589" s="144"/>
      <c r="I589" s="144"/>
      <c r="J589" s="144"/>
      <c r="K589" s="144"/>
      <c r="M589" s="144"/>
      <c r="N589" s="144"/>
      <c r="O589" s="144"/>
      <c r="P589" s="144"/>
      <c r="Q589" s="144"/>
      <c r="R589" s="144"/>
      <c r="S589" s="144"/>
      <c r="T589" s="144"/>
      <c r="U589" s="144"/>
      <c r="V589" s="144"/>
      <c r="W589" s="144"/>
      <c r="Y589" s="144"/>
      <c r="Z589" s="144"/>
      <c r="AA589" s="144"/>
      <c r="AB589" s="144"/>
      <c r="AC589" s="144"/>
    </row>
    <row r="590" spans="1:29" x14ac:dyDescent="0.2">
      <c r="A590" s="144"/>
      <c r="B590" s="144"/>
      <c r="C590" s="144"/>
      <c r="D590" s="144"/>
      <c r="E590" s="144"/>
      <c r="F590" s="144"/>
      <c r="G590" s="144"/>
      <c r="H590" s="144"/>
      <c r="I590" s="144"/>
      <c r="J590" s="144"/>
      <c r="K590" s="144"/>
      <c r="M590" s="144"/>
      <c r="N590" s="144"/>
      <c r="O590" s="144"/>
      <c r="P590" s="144"/>
      <c r="Q590" s="144"/>
      <c r="R590" s="144"/>
      <c r="S590" s="144"/>
      <c r="T590" s="144"/>
      <c r="U590" s="144"/>
      <c r="V590" s="144"/>
      <c r="W590" s="144"/>
      <c r="Y590" s="144"/>
      <c r="Z590" s="144"/>
      <c r="AA590" s="144"/>
      <c r="AB590" s="144"/>
      <c r="AC590" s="144"/>
    </row>
    <row r="591" spans="1:29" x14ac:dyDescent="0.2">
      <c r="A591" s="144"/>
      <c r="B591" s="144"/>
      <c r="C591" s="144"/>
      <c r="D591" s="144"/>
      <c r="E591" s="144"/>
      <c r="F591" s="144"/>
      <c r="G591" s="144"/>
      <c r="H591" s="144"/>
      <c r="I591" s="144"/>
      <c r="J591" s="144"/>
      <c r="K591" s="144"/>
      <c r="M591" s="144"/>
      <c r="N591" s="144"/>
      <c r="O591" s="144"/>
      <c r="P591" s="144"/>
      <c r="Q591" s="144"/>
      <c r="R591" s="144"/>
      <c r="S591" s="144"/>
      <c r="T591" s="144"/>
      <c r="U591" s="144"/>
      <c r="V591" s="144"/>
      <c r="W591" s="144"/>
      <c r="Y591" s="144"/>
      <c r="Z591" s="144"/>
      <c r="AA591" s="144"/>
      <c r="AB591" s="144"/>
      <c r="AC591" s="144"/>
    </row>
    <row r="592" spans="1:29" x14ac:dyDescent="0.2">
      <c r="A592" s="144"/>
      <c r="B592" s="144"/>
      <c r="C592" s="144"/>
      <c r="D592" s="144"/>
      <c r="E592" s="144"/>
      <c r="F592" s="144"/>
      <c r="G592" s="144"/>
      <c r="H592" s="144"/>
      <c r="I592" s="144"/>
      <c r="J592" s="144"/>
      <c r="K592" s="144"/>
      <c r="M592" s="144"/>
      <c r="N592" s="144"/>
      <c r="O592" s="144"/>
      <c r="P592" s="144"/>
      <c r="Q592" s="144"/>
      <c r="R592" s="144"/>
      <c r="S592" s="144"/>
      <c r="T592" s="144"/>
      <c r="U592" s="144"/>
      <c r="V592" s="144"/>
      <c r="W592" s="144"/>
      <c r="Y592" s="144"/>
      <c r="Z592" s="144"/>
      <c r="AA592" s="144"/>
      <c r="AB592" s="144"/>
      <c r="AC592" s="144"/>
    </row>
    <row r="593" spans="1:29" x14ac:dyDescent="0.2">
      <c r="A593" s="144"/>
      <c r="B593" s="144"/>
      <c r="C593" s="144"/>
      <c r="D593" s="144"/>
      <c r="E593" s="144"/>
      <c r="F593" s="144"/>
      <c r="G593" s="144"/>
      <c r="H593" s="144"/>
      <c r="I593" s="144"/>
      <c r="J593" s="144"/>
      <c r="K593" s="144"/>
      <c r="M593" s="144"/>
      <c r="N593" s="144"/>
      <c r="O593" s="144"/>
      <c r="P593" s="144"/>
      <c r="Q593" s="144"/>
      <c r="R593" s="144"/>
      <c r="S593" s="144"/>
      <c r="T593" s="144"/>
      <c r="U593" s="144"/>
      <c r="V593" s="144"/>
      <c r="W593" s="144"/>
      <c r="Y593" s="144"/>
      <c r="Z593" s="144"/>
      <c r="AA593" s="144"/>
      <c r="AB593" s="144"/>
      <c r="AC593" s="144"/>
    </row>
    <row r="594" spans="1:29" x14ac:dyDescent="0.2">
      <c r="A594" s="144"/>
      <c r="B594" s="144"/>
      <c r="C594" s="144"/>
      <c r="D594" s="144"/>
      <c r="E594" s="144"/>
      <c r="F594" s="144"/>
      <c r="G594" s="144"/>
      <c r="H594" s="144"/>
      <c r="I594" s="144"/>
      <c r="J594" s="144"/>
      <c r="K594" s="144"/>
      <c r="M594" s="144"/>
      <c r="N594" s="144"/>
      <c r="O594" s="144"/>
      <c r="P594" s="144"/>
      <c r="Q594" s="144"/>
      <c r="R594" s="144"/>
      <c r="S594" s="144"/>
      <c r="T594" s="144"/>
      <c r="U594" s="144"/>
      <c r="V594" s="144"/>
      <c r="W594" s="144"/>
      <c r="Y594" s="144"/>
      <c r="Z594" s="144"/>
      <c r="AA594" s="144"/>
      <c r="AB594" s="144"/>
      <c r="AC594" s="144"/>
    </row>
    <row r="595" spans="1:29" x14ac:dyDescent="0.2">
      <c r="A595" s="144"/>
      <c r="B595" s="144"/>
      <c r="C595" s="144"/>
      <c r="D595" s="144"/>
      <c r="E595" s="144"/>
      <c r="F595" s="144"/>
      <c r="G595" s="144"/>
      <c r="H595" s="144"/>
      <c r="I595" s="144"/>
      <c r="J595" s="144"/>
      <c r="K595" s="144"/>
      <c r="M595" s="144"/>
      <c r="N595" s="144"/>
      <c r="O595" s="144"/>
      <c r="P595" s="144"/>
      <c r="Q595" s="144"/>
      <c r="R595" s="144"/>
      <c r="S595" s="144"/>
      <c r="T595" s="144"/>
      <c r="U595" s="144"/>
      <c r="V595" s="144"/>
      <c r="W595" s="144"/>
      <c r="Y595" s="144"/>
      <c r="Z595" s="144"/>
      <c r="AA595" s="144"/>
      <c r="AB595" s="144"/>
      <c r="AC595" s="144"/>
    </row>
    <row r="596" spans="1:29" x14ac:dyDescent="0.2">
      <c r="A596" s="144"/>
      <c r="B596" s="144"/>
      <c r="C596" s="144"/>
      <c r="D596" s="144"/>
      <c r="E596" s="144"/>
      <c r="F596" s="144"/>
      <c r="G596" s="144"/>
      <c r="H596" s="144"/>
      <c r="I596" s="144"/>
      <c r="J596" s="144"/>
      <c r="K596" s="144"/>
      <c r="M596" s="144"/>
      <c r="N596" s="144"/>
      <c r="O596" s="144"/>
      <c r="P596" s="144"/>
      <c r="Q596" s="144"/>
      <c r="R596" s="144"/>
      <c r="S596" s="144"/>
      <c r="T596" s="144"/>
      <c r="U596" s="144"/>
      <c r="V596" s="144"/>
      <c r="W596" s="144"/>
      <c r="Y596" s="144"/>
      <c r="Z596" s="144"/>
      <c r="AA596" s="144"/>
      <c r="AB596" s="144"/>
      <c r="AC596" s="144"/>
    </row>
    <row r="597" spans="1:29" x14ac:dyDescent="0.2">
      <c r="A597" s="144"/>
      <c r="B597" s="144"/>
      <c r="C597" s="144"/>
      <c r="D597" s="144"/>
      <c r="E597" s="144"/>
      <c r="F597" s="144"/>
      <c r="G597" s="144"/>
      <c r="H597" s="144"/>
      <c r="I597" s="144"/>
      <c r="J597" s="144"/>
      <c r="K597" s="144"/>
      <c r="M597" s="144"/>
      <c r="N597" s="144"/>
      <c r="O597" s="144"/>
      <c r="P597" s="144"/>
      <c r="Q597" s="144"/>
      <c r="R597" s="144"/>
      <c r="S597" s="144"/>
      <c r="T597" s="144"/>
      <c r="U597" s="144"/>
      <c r="V597" s="144"/>
      <c r="W597" s="144"/>
      <c r="Y597" s="144"/>
      <c r="Z597" s="144"/>
      <c r="AA597" s="144"/>
      <c r="AB597" s="144"/>
      <c r="AC597" s="144"/>
    </row>
    <row r="598" spans="1:29" x14ac:dyDescent="0.2">
      <c r="A598" s="144"/>
      <c r="B598" s="144"/>
      <c r="C598" s="144"/>
      <c r="D598" s="144"/>
      <c r="E598" s="144"/>
      <c r="F598" s="144"/>
      <c r="G598" s="144"/>
      <c r="H598" s="144"/>
      <c r="I598" s="144"/>
      <c r="J598" s="144"/>
      <c r="K598" s="144"/>
      <c r="M598" s="144"/>
      <c r="N598" s="144"/>
      <c r="O598" s="144"/>
      <c r="P598" s="144"/>
      <c r="Q598" s="144"/>
      <c r="R598" s="144"/>
      <c r="S598" s="144"/>
      <c r="T598" s="144"/>
      <c r="U598" s="144"/>
      <c r="V598" s="144"/>
      <c r="W598" s="144"/>
      <c r="Y598" s="144"/>
      <c r="Z598" s="144"/>
      <c r="AA598" s="144"/>
      <c r="AB598" s="144"/>
      <c r="AC598" s="144"/>
    </row>
    <row r="599" spans="1:29" x14ac:dyDescent="0.2">
      <c r="A599" s="144"/>
      <c r="B599" s="144"/>
      <c r="C599" s="144"/>
      <c r="D599" s="144"/>
      <c r="E599" s="144"/>
      <c r="F599" s="144"/>
      <c r="G599" s="144"/>
      <c r="H599" s="144"/>
      <c r="I599" s="144"/>
      <c r="J599" s="144"/>
      <c r="K599" s="144"/>
      <c r="M599" s="144"/>
      <c r="N599" s="144"/>
      <c r="O599" s="144"/>
      <c r="P599" s="144"/>
      <c r="Q599" s="144"/>
      <c r="R599" s="144"/>
      <c r="S599" s="144"/>
      <c r="T599" s="144"/>
      <c r="U599" s="144"/>
      <c r="V599" s="144"/>
      <c r="W599" s="144"/>
      <c r="Y599" s="144"/>
      <c r="Z599" s="144"/>
      <c r="AA599" s="144"/>
      <c r="AB599" s="144"/>
      <c r="AC599" s="144"/>
    </row>
    <row r="600" spans="1:29" x14ac:dyDescent="0.2">
      <c r="A600" s="144"/>
      <c r="B600" s="144"/>
      <c r="C600" s="144"/>
      <c r="D600" s="144"/>
      <c r="E600" s="144"/>
      <c r="F600" s="144"/>
      <c r="G600" s="144"/>
      <c r="H600" s="144"/>
      <c r="I600" s="144"/>
      <c r="J600" s="144"/>
      <c r="K600" s="144"/>
      <c r="M600" s="144"/>
      <c r="N600" s="144"/>
      <c r="O600" s="144"/>
      <c r="P600" s="144"/>
      <c r="Q600" s="144"/>
      <c r="R600" s="144"/>
      <c r="S600" s="144"/>
      <c r="T600" s="144"/>
      <c r="U600" s="144"/>
      <c r="V600" s="144"/>
      <c r="W600" s="144"/>
      <c r="Y600" s="144"/>
      <c r="Z600" s="144"/>
      <c r="AA600" s="144"/>
      <c r="AB600" s="144"/>
      <c r="AC600" s="144"/>
    </row>
    <row r="601" spans="1:29" x14ac:dyDescent="0.2">
      <c r="A601" s="144"/>
      <c r="B601" s="144"/>
      <c r="C601" s="144"/>
      <c r="D601" s="144"/>
      <c r="E601" s="144"/>
      <c r="F601" s="144"/>
      <c r="G601" s="144"/>
      <c r="H601" s="144"/>
      <c r="I601" s="144"/>
      <c r="J601" s="144"/>
      <c r="K601" s="144"/>
      <c r="M601" s="144"/>
      <c r="N601" s="144"/>
      <c r="O601" s="144"/>
      <c r="P601" s="144"/>
      <c r="Q601" s="144"/>
      <c r="R601" s="144"/>
      <c r="S601" s="144"/>
      <c r="T601" s="144"/>
      <c r="U601" s="144"/>
      <c r="V601" s="144"/>
      <c r="W601" s="144"/>
      <c r="Y601" s="144"/>
      <c r="Z601" s="144"/>
      <c r="AA601" s="144"/>
      <c r="AB601" s="144"/>
      <c r="AC601" s="144"/>
    </row>
    <row r="602" spans="1:29" x14ac:dyDescent="0.2">
      <c r="A602" s="144"/>
      <c r="B602" s="144"/>
      <c r="C602" s="144"/>
      <c r="D602" s="144"/>
      <c r="E602" s="144"/>
      <c r="F602" s="144"/>
      <c r="G602" s="144"/>
      <c r="H602" s="144"/>
      <c r="I602" s="144"/>
      <c r="J602" s="144"/>
      <c r="K602" s="144"/>
      <c r="M602" s="144"/>
      <c r="N602" s="144"/>
      <c r="O602" s="144"/>
      <c r="P602" s="144"/>
      <c r="Q602" s="144"/>
      <c r="R602" s="144"/>
      <c r="S602" s="144"/>
      <c r="T602" s="144"/>
      <c r="U602" s="144"/>
      <c r="V602" s="144"/>
      <c r="W602" s="144"/>
      <c r="Y602" s="144"/>
      <c r="Z602" s="144"/>
      <c r="AA602" s="144"/>
      <c r="AB602" s="144"/>
      <c r="AC602" s="144"/>
    </row>
    <row r="603" spans="1:29" x14ac:dyDescent="0.2">
      <c r="A603" s="144"/>
      <c r="B603" s="144"/>
      <c r="C603" s="144"/>
      <c r="D603" s="144"/>
      <c r="E603" s="144"/>
      <c r="F603" s="144"/>
      <c r="G603" s="144"/>
      <c r="H603" s="144"/>
      <c r="I603" s="144"/>
      <c r="J603" s="144"/>
      <c r="K603" s="144"/>
      <c r="M603" s="144"/>
      <c r="N603" s="144"/>
      <c r="O603" s="144"/>
      <c r="P603" s="144"/>
      <c r="Q603" s="144"/>
      <c r="R603" s="144"/>
      <c r="S603" s="144"/>
      <c r="T603" s="144"/>
      <c r="U603" s="144"/>
      <c r="V603" s="144"/>
      <c r="W603" s="144"/>
      <c r="Y603" s="144"/>
      <c r="Z603" s="144"/>
      <c r="AA603" s="144"/>
      <c r="AB603" s="144"/>
      <c r="AC603" s="144"/>
    </row>
    <row r="604" spans="1:29" x14ac:dyDescent="0.2">
      <c r="A604" s="144"/>
      <c r="B604" s="144"/>
      <c r="C604" s="144"/>
      <c r="D604" s="144"/>
      <c r="E604" s="144"/>
      <c r="F604" s="144"/>
      <c r="G604" s="144"/>
      <c r="H604" s="144"/>
      <c r="I604" s="144"/>
      <c r="J604" s="144"/>
      <c r="K604" s="144"/>
      <c r="M604" s="144"/>
      <c r="N604" s="144"/>
      <c r="O604" s="144"/>
      <c r="P604" s="144"/>
      <c r="Q604" s="144"/>
      <c r="R604" s="144"/>
      <c r="S604" s="144"/>
      <c r="T604" s="144"/>
      <c r="U604" s="144"/>
      <c r="V604" s="144"/>
      <c r="W604" s="144"/>
      <c r="Y604" s="144"/>
      <c r="Z604" s="144"/>
      <c r="AA604" s="144"/>
      <c r="AB604" s="144"/>
      <c r="AC604" s="144"/>
    </row>
    <row r="605" spans="1:29" x14ac:dyDescent="0.2">
      <c r="A605" s="144"/>
      <c r="B605" s="144"/>
      <c r="C605" s="144"/>
      <c r="D605" s="144"/>
      <c r="E605" s="144"/>
      <c r="F605" s="144"/>
      <c r="G605" s="144"/>
      <c r="H605" s="144"/>
      <c r="I605" s="144"/>
      <c r="J605" s="144"/>
      <c r="K605" s="144"/>
      <c r="M605" s="144"/>
      <c r="N605" s="144"/>
      <c r="O605" s="144"/>
      <c r="P605" s="144"/>
      <c r="Q605" s="144"/>
      <c r="R605" s="144"/>
      <c r="S605" s="144"/>
      <c r="T605" s="144"/>
      <c r="U605" s="144"/>
      <c r="V605" s="144"/>
      <c r="W605" s="144"/>
      <c r="Y605" s="144"/>
      <c r="Z605" s="144"/>
      <c r="AA605" s="144"/>
      <c r="AB605" s="144"/>
      <c r="AC605" s="144"/>
    </row>
    <row r="606" spans="1:29" x14ac:dyDescent="0.2">
      <c r="A606" s="144"/>
      <c r="B606" s="144"/>
      <c r="C606" s="144"/>
      <c r="D606" s="144"/>
      <c r="E606" s="144"/>
      <c r="F606" s="144"/>
      <c r="G606" s="144"/>
      <c r="H606" s="144"/>
      <c r="I606" s="144"/>
      <c r="J606" s="144"/>
      <c r="K606" s="144"/>
      <c r="M606" s="144"/>
      <c r="N606" s="144"/>
      <c r="O606" s="144"/>
      <c r="P606" s="144"/>
      <c r="Q606" s="144"/>
      <c r="R606" s="144"/>
      <c r="S606" s="144"/>
      <c r="T606" s="144"/>
      <c r="U606" s="144"/>
      <c r="V606" s="144"/>
      <c r="W606" s="144"/>
      <c r="Y606" s="144"/>
      <c r="Z606" s="144"/>
      <c r="AA606" s="144"/>
      <c r="AB606" s="144"/>
      <c r="AC606" s="144"/>
    </row>
    <row r="607" spans="1:29" x14ac:dyDescent="0.2">
      <c r="A607" s="144"/>
      <c r="B607" s="144"/>
      <c r="C607" s="144"/>
      <c r="D607" s="144"/>
      <c r="E607" s="144"/>
      <c r="F607" s="144"/>
      <c r="G607" s="144"/>
      <c r="H607" s="144"/>
      <c r="I607" s="144"/>
      <c r="J607" s="144"/>
      <c r="K607" s="144"/>
      <c r="M607" s="144"/>
      <c r="N607" s="144"/>
      <c r="O607" s="144"/>
      <c r="P607" s="144"/>
      <c r="Q607" s="144"/>
      <c r="R607" s="144"/>
      <c r="S607" s="144"/>
      <c r="T607" s="144"/>
      <c r="U607" s="144"/>
      <c r="V607" s="144"/>
      <c r="W607" s="144"/>
      <c r="Y607" s="144"/>
      <c r="Z607" s="144"/>
      <c r="AA607" s="144"/>
      <c r="AB607" s="144"/>
      <c r="AC607" s="144"/>
    </row>
    <row r="608" spans="1:29" x14ac:dyDescent="0.2">
      <c r="A608" s="144"/>
      <c r="B608" s="144"/>
      <c r="C608" s="144"/>
      <c r="D608" s="144"/>
      <c r="E608" s="144"/>
      <c r="F608" s="144"/>
      <c r="G608" s="144"/>
      <c r="H608" s="144"/>
      <c r="I608" s="144"/>
      <c r="J608" s="144"/>
      <c r="K608" s="144"/>
      <c r="M608" s="144"/>
      <c r="N608" s="144"/>
      <c r="O608" s="144"/>
      <c r="P608" s="144"/>
      <c r="Q608" s="144"/>
      <c r="R608" s="144"/>
      <c r="S608" s="144"/>
      <c r="T608" s="144"/>
      <c r="U608" s="144"/>
      <c r="V608" s="144"/>
      <c r="W608" s="144"/>
      <c r="Y608" s="144"/>
      <c r="Z608" s="144"/>
      <c r="AA608" s="144"/>
      <c r="AB608" s="144"/>
      <c r="AC608" s="144"/>
    </row>
    <row r="609" spans="1:29" x14ac:dyDescent="0.2">
      <c r="A609" s="144"/>
      <c r="B609" s="144"/>
      <c r="C609" s="144"/>
      <c r="D609" s="144"/>
      <c r="E609" s="144"/>
      <c r="F609" s="144"/>
      <c r="G609" s="144"/>
      <c r="H609" s="144"/>
      <c r="I609" s="144"/>
      <c r="J609" s="144"/>
      <c r="K609" s="144"/>
      <c r="M609" s="144"/>
      <c r="N609" s="144"/>
      <c r="O609" s="144"/>
      <c r="P609" s="144"/>
      <c r="Q609" s="144"/>
      <c r="R609" s="144"/>
      <c r="S609" s="144"/>
      <c r="T609" s="144"/>
      <c r="U609" s="144"/>
      <c r="V609" s="144"/>
      <c r="W609" s="144"/>
      <c r="Y609" s="144"/>
      <c r="Z609" s="144"/>
      <c r="AA609" s="144"/>
      <c r="AB609" s="144"/>
      <c r="AC609" s="144"/>
    </row>
    <row r="610" spans="1:29" x14ac:dyDescent="0.2">
      <c r="A610" s="144"/>
      <c r="B610" s="144"/>
      <c r="C610" s="144"/>
      <c r="D610" s="144"/>
      <c r="E610" s="144"/>
      <c r="F610" s="144"/>
      <c r="G610" s="144"/>
      <c r="H610" s="144"/>
      <c r="I610" s="144"/>
      <c r="J610" s="144"/>
      <c r="K610" s="144"/>
      <c r="M610" s="144"/>
      <c r="N610" s="144"/>
      <c r="O610" s="144"/>
      <c r="P610" s="144"/>
      <c r="Q610" s="144"/>
      <c r="R610" s="144"/>
      <c r="S610" s="144"/>
      <c r="T610" s="144"/>
      <c r="U610" s="144"/>
      <c r="V610" s="144"/>
      <c r="W610" s="144"/>
      <c r="Y610" s="144"/>
      <c r="Z610" s="144"/>
      <c r="AA610" s="144"/>
      <c r="AB610" s="144"/>
      <c r="AC610" s="144"/>
    </row>
    <row r="611" spans="1:29" x14ac:dyDescent="0.2">
      <c r="A611" s="144"/>
      <c r="B611" s="144"/>
      <c r="C611" s="144"/>
      <c r="D611" s="144"/>
      <c r="E611" s="144"/>
      <c r="F611" s="144"/>
      <c r="G611" s="144"/>
      <c r="H611" s="144"/>
      <c r="I611" s="144"/>
      <c r="J611" s="144"/>
      <c r="K611" s="144"/>
      <c r="M611" s="144"/>
      <c r="N611" s="144"/>
      <c r="O611" s="144"/>
      <c r="P611" s="144"/>
      <c r="Q611" s="144"/>
      <c r="R611" s="144"/>
      <c r="S611" s="144"/>
      <c r="T611" s="144"/>
      <c r="U611" s="144"/>
      <c r="V611" s="144"/>
      <c r="W611" s="144"/>
      <c r="Y611" s="144"/>
      <c r="Z611" s="144"/>
      <c r="AA611" s="144"/>
      <c r="AB611" s="144"/>
      <c r="AC611" s="144"/>
    </row>
    <row r="612" spans="1:29" x14ac:dyDescent="0.2">
      <c r="A612" s="144"/>
      <c r="B612" s="144"/>
      <c r="C612" s="144"/>
      <c r="D612" s="144"/>
      <c r="E612" s="144"/>
      <c r="F612" s="144"/>
      <c r="G612" s="144"/>
      <c r="H612" s="144"/>
      <c r="I612" s="144"/>
      <c r="J612" s="144"/>
      <c r="K612" s="144"/>
      <c r="M612" s="144"/>
      <c r="N612" s="144"/>
      <c r="O612" s="144"/>
      <c r="P612" s="144"/>
      <c r="Q612" s="144"/>
      <c r="R612" s="144"/>
      <c r="S612" s="144"/>
      <c r="T612" s="144"/>
      <c r="U612" s="144"/>
      <c r="V612" s="144"/>
      <c r="W612" s="144"/>
      <c r="Y612" s="144"/>
      <c r="Z612" s="144"/>
      <c r="AA612" s="144"/>
      <c r="AB612" s="144"/>
      <c r="AC612" s="144"/>
    </row>
    <row r="613" spans="1:29" x14ac:dyDescent="0.2">
      <c r="A613" s="144"/>
      <c r="B613" s="144"/>
      <c r="C613" s="144"/>
      <c r="D613" s="144"/>
      <c r="E613" s="144"/>
      <c r="F613" s="144"/>
      <c r="G613" s="144"/>
      <c r="H613" s="144"/>
      <c r="I613" s="144"/>
      <c r="J613" s="144"/>
      <c r="K613" s="144"/>
      <c r="M613" s="144"/>
      <c r="N613" s="144"/>
      <c r="O613" s="144"/>
      <c r="P613" s="144"/>
      <c r="Q613" s="144"/>
      <c r="R613" s="144"/>
      <c r="S613" s="144"/>
      <c r="T613" s="144"/>
      <c r="U613" s="144"/>
      <c r="V613" s="144"/>
      <c r="W613" s="144"/>
      <c r="Y613" s="144"/>
      <c r="Z613" s="144"/>
      <c r="AA613" s="144"/>
      <c r="AB613" s="144"/>
      <c r="AC613" s="144"/>
    </row>
    <row r="614" spans="1:29" x14ac:dyDescent="0.2">
      <c r="A614" s="144"/>
      <c r="B614" s="144"/>
      <c r="C614" s="144"/>
      <c r="D614" s="144"/>
      <c r="E614" s="144"/>
      <c r="F614" s="144"/>
      <c r="G614" s="144"/>
      <c r="H614" s="144"/>
      <c r="I614" s="144"/>
      <c r="J614" s="144"/>
      <c r="K614" s="144"/>
      <c r="M614" s="144"/>
      <c r="N614" s="144"/>
      <c r="O614" s="144"/>
      <c r="P614" s="144"/>
      <c r="Q614" s="144"/>
      <c r="R614" s="144"/>
      <c r="S614" s="144"/>
      <c r="T614" s="144"/>
      <c r="U614" s="144"/>
      <c r="V614" s="144"/>
      <c r="W614" s="144"/>
      <c r="Y614" s="144"/>
      <c r="Z614" s="144"/>
      <c r="AA614" s="144"/>
      <c r="AB614" s="144"/>
      <c r="AC614" s="144"/>
    </row>
    <row r="615" spans="1:29" x14ac:dyDescent="0.2">
      <c r="A615" s="144"/>
      <c r="B615" s="144"/>
      <c r="C615" s="144"/>
      <c r="D615" s="144"/>
      <c r="E615" s="144"/>
      <c r="F615" s="144"/>
      <c r="G615" s="144"/>
      <c r="H615" s="144"/>
      <c r="I615" s="144"/>
      <c r="J615" s="144"/>
      <c r="K615" s="144"/>
      <c r="M615" s="144"/>
      <c r="N615" s="144"/>
      <c r="O615" s="144"/>
      <c r="P615" s="144"/>
      <c r="Q615" s="144"/>
      <c r="R615" s="144"/>
      <c r="S615" s="144"/>
      <c r="T615" s="144"/>
      <c r="U615" s="144"/>
      <c r="V615" s="144"/>
      <c r="W615" s="144"/>
      <c r="Y615" s="144"/>
      <c r="Z615" s="144"/>
      <c r="AA615" s="144"/>
      <c r="AB615" s="144"/>
      <c r="AC615" s="144"/>
    </row>
    <row r="616" spans="1:29" x14ac:dyDescent="0.2">
      <c r="A616" s="144"/>
      <c r="B616" s="144"/>
      <c r="C616" s="144"/>
      <c r="D616" s="144"/>
      <c r="E616" s="144"/>
      <c r="F616" s="144"/>
      <c r="G616" s="144"/>
      <c r="H616" s="144"/>
      <c r="I616" s="144"/>
      <c r="J616" s="144"/>
      <c r="K616" s="144"/>
      <c r="M616" s="144"/>
      <c r="N616" s="144"/>
      <c r="O616" s="144"/>
      <c r="P616" s="144"/>
      <c r="Q616" s="144"/>
      <c r="R616" s="144"/>
      <c r="S616" s="144"/>
      <c r="T616" s="144"/>
      <c r="U616" s="144"/>
      <c r="V616" s="144"/>
      <c r="W616" s="144"/>
      <c r="Y616" s="144"/>
      <c r="Z616" s="144"/>
      <c r="AA616" s="144"/>
      <c r="AB616" s="144"/>
      <c r="AC616" s="144"/>
    </row>
    <row r="617" spans="1:29" x14ac:dyDescent="0.2">
      <c r="A617" s="144"/>
      <c r="B617" s="144"/>
      <c r="C617" s="144"/>
      <c r="D617" s="144"/>
      <c r="E617" s="144"/>
      <c r="F617" s="144"/>
      <c r="G617" s="144"/>
      <c r="H617" s="144"/>
      <c r="I617" s="144"/>
      <c r="J617" s="144"/>
      <c r="K617" s="144"/>
      <c r="M617" s="144"/>
      <c r="N617" s="144"/>
      <c r="O617" s="144"/>
      <c r="P617" s="144"/>
      <c r="Q617" s="144"/>
      <c r="R617" s="144"/>
      <c r="S617" s="144"/>
      <c r="T617" s="144"/>
      <c r="U617" s="144"/>
      <c r="V617" s="144"/>
      <c r="W617" s="144"/>
      <c r="Y617" s="144"/>
      <c r="Z617" s="144"/>
      <c r="AA617" s="144"/>
      <c r="AB617" s="144"/>
      <c r="AC617" s="144"/>
    </row>
    <row r="618" spans="1:29" x14ac:dyDescent="0.2">
      <c r="A618" s="144"/>
      <c r="B618" s="144"/>
      <c r="C618" s="144"/>
      <c r="D618" s="144"/>
      <c r="E618" s="144"/>
      <c r="F618" s="144"/>
      <c r="G618" s="144"/>
      <c r="H618" s="144"/>
      <c r="I618" s="144"/>
      <c r="J618" s="144"/>
      <c r="K618" s="144"/>
      <c r="M618" s="144"/>
      <c r="N618" s="144"/>
      <c r="O618" s="144"/>
      <c r="P618" s="144"/>
      <c r="Q618" s="144"/>
      <c r="R618" s="144"/>
      <c r="S618" s="144"/>
      <c r="T618" s="144"/>
      <c r="U618" s="144"/>
      <c r="V618" s="144"/>
      <c r="W618" s="144"/>
      <c r="Y618" s="144"/>
      <c r="Z618" s="144"/>
      <c r="AA618" s="144"/>
      <c r="AB618" s="144"/>
      <c r="AC618" s="144"/>
    </row>
    <row r="619" spans="1:29" x14ac:dyDescent="0.2">
      <c r="A619" s="144"/>
      <c r="B619" s="144"/>
      <c r="C619" s="144"/>
      <c r="D619" s="144"/>
      <c r="E619" s="144"/>
      <c r="F619" s="144"/>
      <c r="G619" s="144"/>
      <c r="H619" s="144"/>
      <c r="I619" s="144"/>
      <c r="J619" s="144"/>
      <c r="K619" s="144"/>
      <c r="M619" s="144"/>
      <c r="N619" s="144"/>
      <c r="O619" s="144"/>
      <c r="P619" s="144"/>
      <c r="Q619" s="144"/>
      <c r="R619" s="144"/>
      <c r="S619" s="144"/>
      <c r="T619" s="144"/>
      <c r="U619" s="144"/>
      <c r="V619" s="144"/>
      <c r="W619" s="144"/>
      <c r="Y619" s="144"/>
      <c r="Z619" s="144"/>
      <c r="AA619" s="144"/>
      <c r="AB619" s="144"/>
      <c r="AC619" s="144"/>
    </row>
    <row r="620" spans="1:29" x14ac:dyDescent="0.2">
      <c r="A620" s="144"/>
      <c r="B620" s="144"/>
      <c r="C620" s="144"/>
      <c r="D620" s="144"/>
      <c r="E620" s="144"/>
      <c r="F620" s="144"/>
      <c r="G620" s="144"/>
      <c r="H620" s="144"/>
      <c r="I620" s="144"/>
      <c r="J620" s="144"/>
      <c r="K620" s="144"/>
      <c r="M620" s="144"/>
      <c r="N620" s="144"/>
      <c r="O620" s="144"/>
      <c r="P620" s="144"/>
      <c r="Q620" s="144"/>
      <c r="R620" s="144"/>
      <c r="S620" s="144"/>
      <c r="T620" s="144"/>
      <c r="U620" s="144"/>
      <c r="V620" s="144"/>
      <c r="W620" s="144"/>
      <c r="Y620" s="144"/>
      <c r="Z620" s="144"/>
      <c r="AA620" s="144"/>
      <c r="AB620" s="144"/>
      <c r="AC620" s="144"/>
    </row>
    <row r="621" spans="1:29" x14ac:dyDescent="0.2">
      <c r="A621" s="144"/>
      <c r="B621" s="144"/>
      <c r="C621" s="144"/>
      <c r="D621" s="144"/>
      <c r="E621" s="144"/>
      <c r="F621" s="144"/>
      <c r="G621" s="144"/>
      <c r="H621" s="144"/>
      <c r="I621" s="144"/>
      <c r="J621" s="144"/>
      <c r="K621" s="144"/>
      <c r="M621" s="144"/>
      <c r="N621" s="144"/>
      <c r="O621" s="144"/>
      <c r="P621" s="144"/>
      <c r="Q621" s="144"/>
      <c r="R621" s="144"/>
      <c r="S621" s="144"/>
      <c r="T621" s="144"/>
      <c r="U621" s="144"/>
      <c r="V621" s="144"/>
      <c r="W621" s="144"/>
      <c r="Y621" s="144"/>
      <c r="Z621" s="144"/>
      <c r="AA621" s="144"/>
      <c r="AB621" s="144"/>
      <c r="AC621" s="144"/>
    </row>
    <row r="622" spans="1:29" x14ac:dyDescent="0.2">
      <c r="A622" s="144"/>
      <c r="B622" s="144"/>
      <c r="C622" s="144"/>
      <c r="D622" s="144"/>
      <c r="E622" s="144"/>
      <c r="F622" s="144"/>
      <c r="G622" s="144"/>
      <c r="H622" s="144"/>
      <c r="I622" s="144"/>
      <c r="J622" s="144"/>
      <c r="K622" s="144"/>
      <c r="M622" s="144"/>
      <c r="N622" s="144"/>
      <c r="O622" s="144"/>
      <c r="P622" s="144"/>
      <c r="Q622" s="144"/>
      <c r="R622" s="144"/>
      <c r="S622" s="144"/>
      <c r="T622" s="144"/>
      <c r="U622" s="144"/>
      <c r="V622" s="144"/>
      <c r="W622" s="144"/>
      <c r="Y622" s="144"/>
      <c r="Z622" s="144"/>
      <c r="AA622" s="144"/>
      <c r="AB622" s="144"/>
      <c r="AC622" s="144"/>
    </row>
    <row r="623" spans="1:29" x14ac:dyDescent="0.2">
      <c r="A623" s="144"/>
      <c r="B623" s="144"/>
      <c r="C623" s="144"/>
      <c r="D623" s="144"/>
      <c r="E623" s="144"/>
      <c r="F623" s="144"/>
      <c r="G623" s="144"/>
      <c r="H623" s="144"/>
      <c r="I623" s="144"/>
      <c r="J623" s="144"/>
      <c r="K623" s="144"/>
      <c r="M623" s="144"/>
      <c r="N623" s="144"/>
      <c r="O623" s="144"/>
      <c r="P623" s="144"/>
      <c r="Q623" s="144"/>
      <c r="R623" s="144"/>
      <c r="S623" s="144"/>
      <c r="T623" s="144"/>
      <c r="U623" s="144"/>
      <c r="V623" s="144"/>
      <c r="W623" s="144"/>
      <c r="Y623" s="144"/>
      <c r="Z623" s="144"/>
      <c r="AA623" s="144"/>
      <c r="AB623" s="144"/>
      <c r="AC623" s="144"/>
    </row>
    <row r="624" spans="1:29" x14ac:dyDescent="0.2">
      <c r="A624" s="144"/>
      <c r="B624" s="144"/>
      <c r="C624" s="144"/>
      <c r="D624" s="144"/>
      <c r="E624" s="144"/>
      <c r="F624" s="144"/>
      <c r="G624" s="144"/>
      <c r="H624" s="144"/>
      <c r="I624" s="144"/>
      <c r="J624" s="144"/>
      <c r="K624" s="144"/>
      <c r="M624" s="144"/>
      <c r="N624" s="144"/>
      <c r="O624" s="144"/>
      <c r="P624" s="144"/>
      <c r="Q624" s="144"/>
      <c r="R624" s="144"/>
      <c r="S624" s="144"/>
      <c r="T624" s="144"/>
      <c r="U624" s="144"/>
      <c r="V624" s="144"/>
      <c r="W624" s="144"/>
      <c r="Y624" s="144"/>
      <c r="Z624" s="144"/>
      <c r="AA624" s="144"/>
      <c r="AB624" s="144"/>
      <c r="AC624" s="144"/>
    </row>
    <row r="625" spans="1:29" x14ac:dyDescent="0.2">
      <c r="A625" s="144"/>
      <c r="B625" s="144"/>
      <c r="C625" s="144"/>
      <c r="D625" s="144"/>
      <c r="E625" s="144"/>
      <c r="F625" s="144"/>
      <c r="G625" s="144"/>
      <c r="H625" s="144"/>
      <c r="I625" s="144"/>
      <c r="J625" s="144"/>
      <c r="K625" s="144"/>
      <c r="M625" s="144"/>
      <c r="N625" s="144"/>
      <c r="O625" s="144"/>
      <c r="P625" s="144"/>
      <c r="Q625" s="144"/>
      <c r="R625" s="144"/>
      <c r="S625" s="144"/>
      <c r="T625" s="144"/>
      <c r="U625" s="144"/>
      <c r="V625" s="144"/>
      <c r="W625" s="144"/>
      <c r="Y625" s="144"/>
      <c r="Z625" s="144"/>
      <c r="AA625" s="144"/>
      <c r="AB625" s="144"/>
      <c r="AC625" s="144"/>
    </row>
    <row r="626" spans="1:29" x14ac:dyDescent="0.2">
      <c r="A626" s="144"/>
      <c r="B626" s="144"/>
      <c r="C626" s="144"/>
      <c r="D626" s="144"/>
      <c r="E626" s="144"/>
      <c r="F626" s="144"/>
      <c r="G626" s="144"/>
      <c r="H626" s="144"/>
      <c r="I626" s="144"/>
      <c r="J626" s="144"/>
      <c r="K626" s="144"/>
      <c r="M626" s="144"/>
      <c r="N626" s="144"/>
      <c r="O626" s="144"/>
      <c r="P626" s="144"/>
      <c r="Q626" s="144"/>
      <c r="R626" s="144"/>
      <c r="S626" s="144"/>
      <c r="T626" s="144"/>
      <c r="U626" s="144"/>
      <c r="V626" s="144"/>
      <c r="W626" s="144"/>
      <c r="Y626" s="144"/>
      <c r="Z626" s="144"/>
      <c r="AA626" s="144"/>
      <c r="AB626" s="144"/>
      <c r="AC626" s="144"/>
    </row>
    <row r="627" spans="1:29" x14ac:dyDescent="0.2">
      <c r="A627" s="144"/>
      <c r="B627" s="144"/>
      <c r="C627" s="144"/>
      <c r="D627" s="144"/>
      <c r="E627" s="144"/>
      <c r="F627" s="144"/>
      <c r="G627" s="144"/>
      <c r="H627" s="144"/>
      <c r="I627" s="144"/>
      <c r="J627" s="144"/>
      <c r="K627" s="144"/>
      <c r="M627" s="144"/>
      <c r="N627" s="144"/>
      <c r="O627" s="144"/>
      <c r="P627" s="144"/>
      <c r="Q627" s="144"/>
      <c r="R627" s="144"/>
      <c r="S627" s="144"/>
      <c r="T627" s="144"/>
      <c r="U627" s="144"/>
      <c r="V627" s="144"/>
      <c r="W627" s="144"/>
      <c r="Y627" s="144"/>
      <c r="Z627" s="144"/>
      <c r="AA627" s="144"/>
      <c r="AB627" s="144"/>
      <c r="AC627" s="144"/>
    </row>
    <row r="628" spans="1:29" x14ac:dyDescent="0.2">
      <c r="A628" s="144"/>
      <c r="B628" s="144"/>
      <c r="C628" s="144"/>
      <c r="D628" s="144"/>
      <c r="E628" s="144"/>
      <c r="F628" s="144"/>
      <c r="G628" s="144"/>
      <c r="H628" s="144"/>
      <c r="I628" s="144"/>
      <c r="J628" s="144"/>
      <c r="K628" s="144"/>
      <c r="M628" s="144"/>
      <c r="N628" s="144"/>
      <c r="O628" s="144"/>
      <c r="P628" s="144"/>
      <c r="Q628" s="144"/>
      <c r="R628" s="144"/>
      <c r="S628" s="144"/>
      <c r="T628" s="144"/>
      <c r="U628" s="144"/>
      <c r="V628" s="144"/>
      <c r="W628" s="144"/>
      <c r="Y628" s="144"/>
      <c r="Z628" s="144"/>
      <c r="AA628" s="144"/>
      <c r="AB628" s="144"/>
      <c r="AC628" s="144"/>
    </row>
    <row r="629" spans="1:29" x14ac:dyDescent="0.2">
      <c r="A629" s="144"/>
      <c r="B629" s="144"/>
      <c r="C629" s="144"/>
      <c r="D629" s="144"/>
      <c r="E629" s="144"/>
      <c r="F629" s="144"/>
      <c r="G629" s="144"/>
      <c r="H629" s="144"/>
      <c r="I629" s="144"/>
      <c r="J629" s="144"/>
      <c r="K629" s="144"/>
      <c r="M629" s="144"/>
      <c r="N629" s="144"/>
      <c r="O629" s="144"/>
      <c r="P629" s="144"/>
      <c r="Q629" s="144"/>
      <c r="R629" s="144"/>
      <c r="S629" s="144"/>
      <c r="T629" s="144"/>
      <c r="U629" s="144"/>
      <c r="V629" s="144"/>
      <c r="W629" s="144"/>
      <c r="Y629" s="144"/>
      <c r="Z629" s="144"/>
      <c r="AA629" s="144"/>
      <c r="AB629" s="144"/>
      <c r="AC629" s="144"/>
    </row>
    <row r="630" spans="1:29" x14ac:dyDescent="0.2">
      <c r="A630" s="144"/>
      <c r="B630" s="144"/>
      <c r="C630" s="144"/>
      <c r="D630" s="144"/>
      <c r="E630" s="144"/>
      <c r="F630" s="144"/>
      <c r="G630" s="144"/>
      <c r="H630" s="144"/>
      <c r="I630" s="144"/>
      <c r="J630" s="144"/>
      <c r="K630" s="144"/>
      <c r="M630" s="144"/>
      <c r="N630" s="144"/>
      <c r="O630" s="144"/>
      <c r="P630" s="144"/>
      <c r="Q630" s="144"/>
      <c r="R630" s="144"/>
      <c r="S630" s="144"/>
      <c r="T630" s="144"/>
      <c r="U630" s="144"/>
      <c r="V630" s="144"/>
      <c r="W630" s="144"/>
      <c r="Y630" s="144"/>
      <c r="Z630" s="144"/>
      <c r="AA630" s="144"/>
      <c r="AB630" s="144"/>
      <c r="AC630" s="144"/>
    </row>
    <row r="631" spans="1:29" x14ac:dyDescent="0.2">
      <c r="A631" s="144"/>
      <c r="B631" s="144"/>
      <c r="C631" s="144"/>
      <c r="D631" s="144"/>
      <c r="E631" s="144"/>
      <c r="F631" s="144"/>
      <c r="G631" s="144"/>
      <c r="H631" s="144"/>
      <c r="I631" s="144"/>
      <c r="J631" s="144"/>
      <c r="K631" s="144"/>
      <c r="M631" s="144"/>
      <c r="N631" s="144"/>
      <c r="O631" s="144"/>
      <c r="P631" s="144"/>
      <c r="Q631" s="144"/>
      <c r="R631" s="144"/>
      <c r="S631" s="144"/>
      <c r="T631" s="144"/>
      <c r="U631" s="144"/>
      <c r="V631" s="144"/>
      <c r="W631" s="144"/>
      <c r="Y631" s="144"/>
      <c r="Z631" s="144"/>
      <c r="AA631" s="144"/>
      <c r="AB631" s="144"/>
      <c r="AC631" s="144"/>
    </row>
    <row r="632" spans="1:29" x14ac:dyDescent="0.2">
      <c r="A632" s="144"/>
      <c r="B632" s="144"/>
      <c r="C632" s="144"/>
      <c r="D632" s="144"/>
      <c r="E632" s="144"/>
      <c r="F632" s="144"/>
      <c r="G632" s="144"/>
      <c r="H632" s="144"/>
      <c r="I632" s="144"/>
      <c r="J632" s="144"/>
      <c r="K632" s="144"/>
      <c r="M632" s="144"/>
      <c r="N632" s="144"/>
      <c r="O632" s="144"/>
      <c r="P632" s="144"/>
      <c r="Q632" s="144"/>
      <c r="R632" s="144"/>
      <c r="S632" s="144"/>
      <c r="T632" s="144"/>
      <c r="U632" s="144"/>
      <c r="V632" s="144"/>
      <c r="W632" s="144"/>
      <c r="Y632" s="144"/>
      <c r="Z632" s="144"/>
      <c r="AA632" s="144"/>
      <c r="AB632" s="144"/>
      <c r="AC632" s="144"/>
    </row>
    <row r="633" spans="1:29" x14ac:dyDescent="0.2">
      <c r="A633" s="144"/>
      <c r="B633" s="144"/>
      <c r="C633" s="144"/>
      <c r="D633" s="144"/>
      <c r="E633" s="144"/>
      <c r="F633" s="144"/>
      <c r="G633" s="144"/>
      <c r="H633" s="144"/>
      <c r="I633" s="144"/>
      <c r="J633" s="144"/>
      <c r="K633" s="144"/>
      <c r="M633" s="144"/>
      <c r="N633" s="144"/>
      <c r="O633" s="144"/>
      <c r="P633" s="144"/>
      <c r="Q633" s="144"/>
      <c r="R633" s="144"/>
      <c r="S633" s="144"/>
      <c r="T633" s="144"/>
      <c r="U633" s="144"/>
      <c r="V633" s="144"/>
      <c r="W633" s="144"/>
      <c r="Y633" s="144"/>
      <c r="Z633" s="144"/>
      <c r="AA633" s="144"/>
      <c r="AB633" s="144"/>
      <c r="AC633" s="144"/>
    </row>
    <row r="634" spans="1:29" x14ac:dyDescent="0.2">
      <c r="A634" s="144"/>
      <c r="B634" s="144"/>
      <c r="C634" s="144"/>
      <c r="D634" s="144"/>
      <c r="E634" s="144"/>
      <c r="F634" s="144"/>
      <c r="G634" s="144"/>
      <c r="H634" s="144"/>
      <c r="I634" s="144"/>
      <c r="J634" s="144"/>
      <c r="K634" s="144"/>
      <c r="M634" s="144"/>
      <c r="N634" s="144"/>
      <c r="O634" s="144"/>
      <c r="P634" s="144"/>
      <c r="Q634" s="144"/>
      <c r="R634" s="144"/>
      <c r="S634" s="144"/>
      <c r="T634" s="144"/>
      <c r="U634" s="144"/>
      <c r="V634" s="144"/>
      <c r="W634" s="144"/>
      <c r="Y634" s="144"/>
      <c r="Z634" s="144"/>
      <c r="AA634" s="144"/>
      <c r="AB634" s="144"/>
      <c r="AC634" s="144"/>
    </row>
    <row r="635" spans="1:29" x14ac:dyDescent="0.2">
      <c r="A635" s="144"/>
      <c r="B635" s="144"/>
      <c r="C635" s="144"/>
      <c r="D635" s="144"/>
      <c r="E635" s="144"/>
      <c r="F635" s="144"/>
      <c r="G635" s="144"/>
      <c r="H635" s="144"/>
      <c r="I635" s="144"/>
      <c r="J635" s="144"/>
      <c r="K635" s="144"/>
      <c r="M635" s="144"/>
      <c r="N635" s="144"/>
      <c r="O635" s="144"/>
      <c r="P635" s="144"/>
      <c r="Q635" s="144"/>
      <c r="R635" s="144"/>
      <c r="S635" s="144"/>
      <c r="T635" s="144"/>
      <c r="U635" s="144"/>
      <c r="V635" s="144"/>
      <c r="W635" s="144"/>
      <c r="Y635" s="144"/>
      <c r="Z635" s="144"/>
      <c r="AA635" s="144"/>
      <c r="AB635" s="144"/>
      <c r="AC635" s="144"/>
    </row>
    <row r="636" spans="1:29" x14ac:dyDescent="0.2">
      <c r="A636" s="144"/>
      <c r="B636" s="144"/>
      <c r="C636" s="144"/>
      <c r="D636" s="144"/>
      <c r="E636" s="144"/>
      <c r="F636" s="144"/>
      <c r="G636" s="144"/>
      <c r="H636" s="144"/>
      <c r="I636" s="144"/>
      <c r="J636" s="144"/>
      <c r="K636" s="144"/>
      <c r="M636" s="144"/>
      <c r="N636" s="144"/>
      <c r="O636" s="144"/>
      <c r="P636" s="144"/>
      <c r="Q636" s="144"/>
      <c r="R636" s="144"/>
      <c r="S636" s="144"/>
      <c r="T636" s="144"/>
      <c r="U636" s="144"/>
      <c r="V636" s="144"/>
      <c r="W636" s="144"/>
      <c r="Y636" s="144"/>
      <c r="Z636" s="144"/>
      <c r="AA636" s="144"/>
      <c r="AB636" s="144"/>
      <c r="AC636" s="144"/>
    </row>
    <row r="637" spans="1:29" x14ac:dyDescent="0.2">
      <c r="A637" s="144"/>
      <c r="B637" s="144"/>
      <c r="C637" s="144"/>
      <c r="D637" s="144"/>
      <c r="E637" s="144"/>
      <c r="F637" s="144"/>
      <c r="G637" s="144"/>
      <c r="H637" s="144"/>
      <c r="I637" s="144"/>
      <c r="J637" s="144"/>
      <c r="K637" s="144"/>
      <c r="M637" s="144"/>
      <c r="N637" s="144"/>
      <c r="O637" s="144"/>
      <c r="P637" s="144"/>
      <c r="Q637" s="144"/>
      <c r="R637" s="144"/>
      <c r="S637" s="144"/>
      <c r="T637" s="144"/>
      <c r="U637" s="144"/>
      <c r="V637" s="144"/>
      <c r="W637" s="144"/>
      <c r="Y637" s="144"/>
      <c r="Z637" s="144"/>
      <c r="AA637" s="144"/>
      <c r="AB637" s="144"/>
      <c r="AC637" s="144"/>
    </row>
    <row r="638" spans="1:29" x14ac:dyDescent="0.2">
      <c r="A638" s="144"/>
      <c r="B638" s="144"/>
      <c r="C638" s="144"/>
      <c r="D638" s="144"/>
      <c r="E638" s="144"/>
      <c r="F638" s="144"/>
      <c r="G638" s="144"/>
      <c r="H638" s="144"/>
      <c r="I638" s="144"/>
      <c r="J638" s="144"/>
      <c r="K638" s="144"/>
      <c r="M638" s="144"/>
      <c r="N638" s="144"/>
      <c r="O638" s="144"/>
      <c r="P638" s="144"/>
      <c r="Q638" s="144"/>
      <c r="R638" s="144"/>
      <c r="S638" s="144"/>
      <c r="T638" s="144"/>
      <c r="U638" s="144"/>
      <c r="V638" s="144"/>
      <c r="W638" s="144"/>
      <c r="Y638" s="144"/>
      <c r="Z638" s="144"/>
      <c r="AA638" s="144"/>
      <c r="AB638" s="144"/>
      <c r="AC638" s="144"/>
    </row>
    <row r="639" spans="1:29" x14ac:dyDescent="0.2">
      <c r="A639" s="144"/>
      <c r="B639" s="144"/>
      <c r="C639" s="144"/>
      <c r="D639" s="144"/>
      <c r="E639" s="144"/>
      <c r="F639" s="144"/>
      <c r="G639" s="144"/>
      <c r="H639" s="144"/>
      <c r="I639" s="144"/>
      <c r="J639" s="144"/>
      <c r="K639" s="144"/>
      <c r="M639" s="144"/>
      <c r="N639" s="144"/>
      <c r="O639" s="144"/>
      <c r="P639" s="144"/>
      <c r="Q639" s="144"/>
      <c r="R639" s="144"/>
      <c r="S639" s="144"/>
      <c r="T639" s="144"/>
      <c r="U639" s="144"/>
      <c r="V639" s="144"/>
      <c r="W639" s="144"/>
      <c r="Y639" s="144"/>
      <c r="Z639" s="144"/>
      <c r="AA639" s="144"/>
      <c r="AB639" s="144"/>
      <c r="AC639" s="144"/>
    </row>
    <row r="640" spans="1:29" x14ac:dyDescent="0.2">
      <c r="A640" s="144"/>
      <c r="B640" s="144"/>
      <c r="C640" s="144"/>
      <c r="D640" s="144"/>
      <c r="E640" s="144"/>
      <c r="F640" s="144"/>
      <c r="G640" s="144"/>
      <c r="H640" s="144"/>
      <c r="I640" s="144"/>
      <c r="J640" s="144"/>
      <c r="K640" s="144"/>
      <c r="M640" s="144"/>
      <c r="N640" s="144"/>
      <c r="O640" s="144"/>
      <c r="P640" s="144"/>
      <c r="Q640" s="144"/>
      <c r="R640" s="144"/>
      <c r="S640" s="144"/>
      <c r="T640" s="144"/>
      <c r="U640" s="144"/>
      <c r="V640" s="144"/>
      <c r="W640" s="144"/>
      <c r="Y640" s="144"/>
      <c r="Z640" s="144"/>
      <c r="AA640" s="144"/>
      <c r="AB640" s="144"/>
      <c r="AC640" s="144"/>
    </row>
    <row r="641" spans="1:29" x14ac:dyDescent="0.2">
      <c r="A641" s="144"/>
      <c r="B641" s="144"/>
      <c r="C641" s="144"/>
      <c r="D641" s="144"/>
      <c r="E641" s="144"/>
      <c r="F641" s="144"/>
      <c r="G641" s="144"/>
      <c r="H641" s="144"/>
      <c r="I641" s="144"/>
      <c r="J641" s="144"/>
      <c r="K641" s="144"/>
      <c r="M641" s="144"/>
      <c r="N641" s="144"/>
      <c r="O641" s="144"/>
      <c r="P641" s="144"/>
      <c r="Q641" s="144"/>
      <c r="R641" s="144"/>
      <c r="S641" s="144"/>
      <c r="T641" s="144"/>
      <c r="U641" s="144"/>
      <c r="V641" s="144"/>
      <c r="W641" s="144"/>
      <c r="Y641" s="144"/>
      <c r="Z641" s="144"/>
      <c r="AA641" s="144"/>
      <c r="AB641" s="144"/>
      <c r="AC641" s="144"/>
    </row>
    <row r="642" spans="1:29" x14ac:dyDescent="0.2">
      <c r="A642" s="144"/>
      <c r="B642" s="144"/>
      <c r="C642" s="144"/>
      <c r="D642" s="144"/>
      <c r="E642" s="144"/>
      <c r="F642" s="144"/>
      <c r="G642" s="144"/>
      <c r="H642" s="144"/>
      <c r="I642" s="144"/>
      <c r="J642" s="144"/>
      <c r="K642" s="144"/>
      <c r="M642" s="144"/>
      <c r="N642" s="144"/>
      <c r="O642" s="144"/>
      <c r="P642" s="144"/>
      <c r="Q642" s="144"/>
      <c r="R642" s="144"/>
      <c r="S642" s="144"/>
      <c r="T642" s="144"/>
      <c r="U642" s="144"/>
      <c r="V642" s="144"/>
      <c r="W642" s="144"/>
      <c r="Y642" s="144"/>
      <c r="Z642" s="144"/>
      <c r="AA642" s="144"/>
      <c r="AB642" s="144"/>
      <c r="AC642" s="144"/>
    </row>
    <row r="643" spans="1:29" x14ac:dyDescent="0.2">
      <c r="A643" s="144"/>
      <c r="B643" s="144"/>
      <c r="C643" s="144"/>
      <c r="D643" s="144"/>
      <c r="E643" s="144"/>
      <c r="F643" s="144"/>
      <c r="G643" s="144"/>
      <c r="H643" s="144"/>
      <c r="I643" s="144"/>
      <c r="J643" s="144"/>
      <c r="K643" s="144"/>
      <c r="M643" s="144"/>
      <c r="N643" s="144"/>
      <c r="O643" s="144"/>
      <c r="P643" s="144"/>
      <c r="Q643" s="144"/>
      <c r="R643" s="144"/>
      <c r="S643" s="144"/>
      <c r="T643" s="144"/>
      <c r="U643" s="144"/>
      <c r="V643" s="144"/>
      <c r="W643" s="144"/>
      <c r="Y643" s="144"/>
      <c r="Z643" s="144"/>
      <c r="AA643" s="144"/>
      <c r="AB643" s="144"/>
      <c r="AC643" s="144"/>
    </row>
    <row r="644" spans="1:29" x14ac:dyDescent="0.2">
      <c r="A644" s="144"/>
      <c r="B644" s="144"/>
      <c r="C644" s="144"/>
      <c r="D644" s="144"/>
      <c r="E644" s="144"/>
      <c r="F644" s="144"/>
      <c r="G644" s="144"/>
      <c r="H644" s="144"/>
      <c r="I644" s="144"/>
      <c r="J644" s="144"/>
      <c r="K644" s="144"/>
      <c r="M644" s="144"/>
      <c r="N644" s="144"/>
      <c r="O644" s="144"/>
      <c r="P644" s="144"/>
      <c r="Q644" s="144"/>
      <c r="R644" s="144"/>
      <c r="S644" s="144"/>
      <c r="T644" s="144"/>
      <c r="U644" s="144"/>
      <c r="V644" s="144"/>
      <c r="W644" s="144"/>
      <c r="Y644" s="144"/>
      <c r="Z644" s="144"/>
      <c r="AA644" s="144"/>
      <c r="AB644" s="144"/>
      <c r="AC644" s="144"/>
    </row>
    <row r="645" spans="1:29" x14ac:dyDescent="0.2">
      <c r="A645" s="144"/>
      <c r="B645" s="144"/>
      <c r="C645" s="144"/>
      <c r="D645" s="144"/>
      <c r="E645" s="144"/>
      <c r="F645" s="144"/>
      <c r="G645" s="144"/>
      <c r="H645" s="144"/>
      <c r="I645" s="144"/>
      <c r="J645" s="144"/>
      <c r="K645" s="144"/>
      <c r="M645" s="144"/>
      <c r="N645" s="144"/>
      <c r="O645" s="144"/>
      <c r="P645" s="144"/>
      <c r="Q645" s="144"/>
      <c r="R645" s="144"/>
      <c r="S645" s="144"/>
      <c r="T645" s="144"/>
      <c r="U645" s="144"/>
      <c r="V645" s="144"/>
      <c r="W645" s="144"/>
      <c r="Y645" s="144"/>
      <c r="Z645" s="144"/>
      <c r="AA645" s="144"/>
      <c r="AB645" s="144"/>
      <c r="AC645" s="144"/>
    </row>
    <row r="646" spans="1:29" x14ac:dyDescent="0.2">
      <c r="A646" s="144"/>
      <c r="B646" s="144"/>
      <c r="C646" s="144"/>
      <c r="D646" s="144"/>
      <c r="E646" s="144"/>
      <c r="F646" s="144"/>
      <c r="G646" s="144"/>
      <c r="H646" s="144"/>
      <c r="I646" s="144"/>
      <c r="J646" s="144"/>
      <c r="K646" s="144"/>
      <c r="M646" s="144"/>
      <c r="N646" s="144"/>
      <c r="O646" s="144"/>
      <c r="P646" s="144"/>
      <c r="Q646" s="144"/>
      <c r="R646" s="144"/>
      <c r="S646" s="144"/>
      <c r="T646" s="144"/>
      <c r="U646" s="144"/>
      <c r="V646" s="144"/>
      <c r="W646" s="144"/>
      <c r="Y646" s="144"/>
      <c r="Z646" s="144"/>
      <c r="AA646" s="144"/>
      <c r="AB646" s="144"/>
      <c r="AC646" s="144"/>
    </row>
    <row r="647" spans="1:29" x14ac:dyDescent="0.2">
      <c r="A647" s="144"/>
      <c r="B647" s="144"/>
      <c r="C647" s="144"/>
      <c r="D647" s="144"/>
      <c r="E647" s="144"/>
      <c r="F647" s="144"/>
      <c r="G647" s="144"/>
      <c r="H647" s="144"/>
      <c r="I647" s="144"/>
      <c r="J647" s="144"/>
      <c r="K647" s="144"/>
      <c r="M647" s="144"/>
      <c r="N647" s="144"/>
      <c r="O647" s="144"/>
      <c r="P647" s="144"/>
      <c r="Q647" s="144"/>
      <c r="R647" s="144"/>
      <c r="S647" s="144"/>
      <c r="T647" s="144"/>
      <c r="U647" s="144"/>
      <c r="V647" s="144"/>
      <c r="W647" s="144"/>
      <c r="Y647" s="144"/>
      <c r="Z647" s="144"/>
      <c r="AA647" s="144"/>
      <c r="AB647" s="144"/>
      <c r="AC647" s="144"/>
    </row>
    <row r="648" spans="1:29" x14ac:dyDescent="0.2">
      <c r="A648" s="144"/>
      <c r="B648" s="144"/>
      <c r="C648" s="144"/>
      <c r="D648" s="144"/>
      <c r="E648" s="144"/>
      <c r="F648" s="144"/>
      <c r="G648" s="144"/>
      <c r="H648" s="144"/>
      <c r="I648" s="144"/>
      <c r="J648" s="144"/>
      <c r="K648" s="144"/>
      <c r="M648" s="144"/>
      <c r="N648" s="144"/>
      <c r="O648" s="144"/>
      <c r="P648" s="144"/>
      <c r="Q648" s="144"/>
      <c r="R648" s="144"/>
      <c r="S648" s="144"/>
      <c r="T648" s="144"/>
      <c r="U648" s="144"/>
      <c r="V648" s="144"/>
      <c r="W648" s="144"/>
      <c r="Y648" s="144"/>
      <c r="Z648" s="144"/>
      <c r="AA648" s="144"/>
      <c r="AB648" s="144"/>
      <c r="AC648" s="144"/>
    </row>
    <row r="649" spans="1:29" x14ac:dyDescent="0.2">
      <c r="A649" s="144"/>
      <c r="B649" s="144"/>
      <c r="C649" s="144"/>
      <c r="D649" s="144"/>
      <c r="E649" s="144"/>
      <c r="F649" s="144"/>
      <c r="G649" s="144"/>
      <c r="H649" s="144"/>
      <c r="I649" s="144"/>
      <c r="J649" s="144"/>
      <c r="K649" s="144"/>
      <c r="M649" s="144"/>
      <c r="N649" s="144"/>
      <c r="O649" s="144"/>
      <c r="P649" s="144"/>
      <c r="Q649" s="144"/>
      <c r="R649" s="144"/>
      <c r="S649" s="144"/>
      <c r="T649" s="144"/>
      <c r="U649" s="144"/>
      <c r="V649" s="144"/>
      <c r="W649" s="144"/>
      <c r="Y649" s="144"/>
      <c r="Z649" s="144"/>
      <c r="AA649" s="144"/>
      <c r="AB649" s="144"/>
      <c r="AC649" s="144"/>
    </row>
    <row r="650" spans="1:29" x14ac:dyDescent="0.2">
      <c r="A650" s="144"/>
      <c r="B650" s="144"/>
      <c r="C650" s="144"/>
      <c r="D650" s="144"/>
      <c r="E650" s="144"/>
      <c r="F650" s="144"/>
      <c r="G650" s="144"/>
      <c r="H650" s="144"/>
      <c r="I650" s="144"/>
      <c r="J650" s="144"/>
      <c r="K650" s="144"/>
      <c r="M650" s="144"/>
      <c r="N650" s="144"/>
      <c r="O650" s="144"/>
      <c r="P650" s="144"/>
      <c r="Q650" s="144"/>
      <c r="R650" s="144"/>
      <c r="S650" s="144"/>
      <c r="T650" s="144"/>
      <c r="U650" s="144"/>
      <c r="V650" s="144"/>
      <c r="W650" s="144"/>
      <c r="Y650" s="144"/>
      <c r="Z650" s="144"/>
      <c r="AA650" s="144"/>
      <c r="AB650" s="144"/>
      <c r="AC650" s="144"/>
    </row>
    <row r="651" spans="1:29" x14ac:dyDescent="0.2">
      <c r="A651" s="144"/>
      <c r="B651" s="144"/>
      <c r="C651" s="144"/>
      <c r="D651" s="144"/>
      <c r="E651" s="144"/>
      <c r="F651" s="144"/>
      <c r="G651" s="144"/>
      <c r="H651" s="144"/>
      <c r="I651" s="144"/>
      <c r="J651" s="144"/>
      <c r="K651" s="144"/>
      <c r="M651" s="144"/>
      <c r="N651" s="144"/>
      <c r="O651" s="144"/>
      <c r="P651" s="144"/>
      <c r="Q651" s="144"/>
      <c r="R651" s="144"/>
      <c r="S651" s="144"/>
      <c r="T651" s="144"/>
      <c r="U651" s="144"/>
      <c r="V651" s="144"/>
      <c r="W651" s="144"/>
      <c r="Y651" s="144"/>
      <c r="Z651" s="144"/>
      <c r="AA651" s="144"/>
      <c r="AB651" s="144"/>
      <c r="AC651" s="144"/>
    </row>
    <row r="652" spans="1:29" x14ac:dyDescent="0.2">
      <c r="A652" s="144"/>
      <c r="B652" s="144"/>
      <c r="C652" s="144"/>
      <c r="D652" s="144"/>
      <c r="E652" s="144"/>
      <c r="F652" s="144"/>
      <c r="G652" s="144"/>
      <c r="H652" s="144"/>
      <c r="I652" s="144"/>
      <c r="J652" s="144"/>
      <c r="K652" s="144"/>
      <c r="M652" s="144"/>
      <c r="N652" s="144"/>
      <c r="O652" s="144"/>
      <c r="P652" s="144"/>
      <c r="Q652" s="144"/>
      <c r="R652" s="144"/>
      <c r="S652" s="144"/>
      <c r="T652" s="144"/>
      <c r="U652" s="144"/>
      <c r="V652" s="144"/>
      <c r="W652" s="144"/>
      <c r="Y652" s="144"/>
      <c r="Z652" s="144"/>
      <c r="AA652" s="144"/>
      <c r="AB652" s="144"/>
      <c r="AC652" s="144"/>
    </row>
    <row r="653" spans="1:29" x14ac:dyDescent="0.2">
      <c r="A653" s="144"/>
      <c r="B653" s="144"/>
      <c r="C653" s="144"/>
      <c r="D653" s="144"/>
      <c r="E653" s="144"/>
      <c r="F653" s="144"/>
      <c r="G653" s="144"/>
      <c r="H653" s="144"/>
      <c r="I653" s="144"/>
      <c r="J653" s="144"/>
      <c r="K653" s="144"/>
      <c r="M653" s="144"/>
      <c r="N653" s="144"/>
      <c r="O653" s="144"/>
      <c r="P653" s="144"/>
      <c r="Q653" s="144"/>
      <c r="R653" s="144"/>
      <c r="S653" s="144"/>
      <c r="T653" s="144"/>
      <c r="U653" s="144"/>
      <c r="V653" s="144"/>
      <c r="W653" s="144"/>
      <c r="Y653" s="144"/>
      <c r="Z653" s="144"/>
      <c r="AA653" s="144"/>
      <c r="AB653" s="144"/>
      <c r="AC653" s="144"/>
    </row>
    <row r="654" spans="1:29" x14ac:dyDescent="0.2">
      <c r="A654" s="144"/>
      <c r="B654" s="144"/>
      <c r="C654" s="144"/>
      <c r="D654" s="144"/>
      <c r="E654" s="144"/>
      <c r="F654" s="144"/>
      <c r="G654" s="144"/>
      <c r="H654" s="144"/>
      <c r="I654" s="144"/>
      <c r="J654" s="144"/>
      <c r="K654" s="144"/>
      <c r="M654" s="144"/>
      <c r="N654" s="144"/>
      <c r="O654" s="144"/>
      <c r="P654" s="144"/>
      <c r="Q654" s="144"/>
      <c r="R654" s="144"/>
      <c r="S654" s="144"/>
      <c r="T654" s="144"/>
      <c r="U654" s="144"/>
      <c r="V654" s="144"/>
      <c r="W654" s="144"/>
      <c r="Y654" s="144"/>
      <c r="Z654" s="144"/>
      <c r="AA654" s="144"/>
      <c r="AB654" s="144"/>
      <c r="AC654" s="144"/>
    </row>
    <row r="655" spans="1:29" x14ac:dyDescent="0.2">
      <c r="A655" s="144"/>
      <c r="B655" s="144"/>
      <c r="C655" s="144"/>
      <c r="D655" s="144"/>
      <c r="E655" s="144"/>
      <c r="F655" s="144"/>
      <c r="G655" s="144"/>
      <c r="H655" s="144"/>
      <c r="I655" s="144"/>
      <c r="J655" s="144"/>
      <c r="K655" s="144"/>
      <c r="M655" s="144"/>
      <c r="N655" s="144"/>
      <c r="O655" s="144"/>
      <c r="P655" s="144"/>
      <c r="Q655" s="144"/>
      <c r="R655" s="144"/>
      <c r="S655" s="144"/>
      <c r="T655" s="144"/>
      <c r="U655" s="144"/>
      <c r="V655" s="144"/>
      <c r="W655" s="144"/>
      <c r="Y655" s="144"/>
      <c r="Z655" s="144"/>
      <c r="AA655" s="144"/>
      <c r="AB655" s="144"/>
      <c r="AC655" s="144"/>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5</vt:i4>
      </vt:variant>
      <vt:variant>
        <vt:lpstr>Benannte Bereiche</vt:lpstr>
      </vt:variant>
      <vt:variant>
        <vt:i4>1</vt:i4>
      </vt:variant>
    </vt:vector>
  </HeadingPairs>
  <TitlesOfParts>
    <vt:vector size="6" baseType="lpstr">
      <vt:lpstr>Main</vt:lpstr>
      <vt:lpstr>Help</vt:lpstr>
      <vt:lpstr>Teleskope</vt:lpstr>
      <vt:lpstr>Changelog</vt:lpstr>
      <vt:lpstr>Settings</vt:lpstr>
      <vt:lpstr>Main!Druckbereich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Jürgen Kaufer</dc:creator>
  <cp:lastModifiedBy>Sven Kopetzki</cp:lastModifiedBy>
  <cp:lastPrinted>2025-12-27T22:01:09Z</cp:lastPrinted>
  <dcterms:created xsi:type="dcterms:W3CDTF">2025-12-27T15:21:00Z</dcterms:created>
  <dcterms:modified xsi:type="dcterms:W3CDTF">2026-05-22T16:09:32Z</dcterms:modified>
</cp:coreProperties>
</file>